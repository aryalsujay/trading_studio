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TAL" sheetId="1" r:id="rId5"/>
    <sheet state="visible" name="ENTRY" sheetId="2" r:id="rId6"/>
    <sheet state="visible" name="JOURNAL" sheetId="3" r:id="rId7"/>
    <sheet state="visible" name="SA_PROFIT_SHARING" sheetId="4" r:id="rId8"/>
    <sheet state="visible" name="SG_PROFIT_SHARING" sheetId="5" r:id="rId9"/>
    <sheet state="visible" name="TXN" sheetId="6" r:id="rId10"/>
    <sheet state="hidden" name="Brokerage" sheetId="7" r:id="rId11"/>
  </sheets>
  <definedNames/>
  <calcPr/>
</workbook>
</file>

<file path=xl/sharedStrings.xml><?xml version="1.0" encoding="utf-8"?>
<sst xmlns="http://schemas.openxmlformats.org/spreadsheetml/2006/main" count="684" uniqueCount="154">
  <si>
    <t>CAPITAL</t>
  </si>
  <si>
    <t>DIVISION</t>
  </si>
  <si>
    <t>CAPITAL/ TRADE</t>
  </si>
  <si>
    <t>NEW WEIGHT</t>
  </si>
  <si>
    <t>WEIGHT = Pers cap/ tot cap</t>
  </si>
  <si>
    <t>SA</t>
  </si>
  <si>
    <t>SG</t>
  </si>
  <si>
    <t>DS</t>
  </si>
  <si>
    <t>Trade No.</t>
  </si>
  <si>
    <t>Script</t>
  </si>
  <si>
    <t>Entry Date</t>
  </si>
  <si>
    <t>Entry Price</t>
  </si>
  <si>
    <t>Total Qty</t>
  </si>
  <si>
    <t>Exit Price</t>
  </si>
  <si>
    <t>Exit Date</t>
  </si>
  <si>
    <t>SA DIVISION</t>
  </si>
  <si>
    <t>NK DIVISION</t>
  </si>
  <si>
    <t>DS DIVISION</t>
  </si>
  <si>
    <t>SA CAPITAL/ TRADE</t>
  </si>
  <si>
    <t>NK CAPITAL/ TRADE</t>
  </si>
  <si>
    <t>DS CAPITAL/ TRADE</t>
  </si>
  <si>
    <t>TOT CAPITAL/ TRADE</t>
  </si>
  <si>
    <t>SA WEIGHT</t>
  </si>
  <si>
    <t>NK WEIGHT</t>
  </si>
  <si>
    <t>DS WEIGHT</t>
  </si>
  <si>
    <t>EMULTIMQ</t>
  </si>
  <si>
    <t>LIVE</t>
  </si>
  <si>
    <t>FMCGIETF</t>
  </si>
  <si>
    <t>MOHEALTH</t>
  </si>
  <si>
    <t>SILVERBEES</t>
  </si>
  <si>
    <t>HNGSNGBEES</t>
  </si>
  <si>
    <t>GOLDBEES</t>
  </si>
  <si>
    <t>SILVER LIFE (ADITYA BIRLA)</t>
  </si>
  <si>
    <t>TWCGOLD TEF</t>
  </si>
  <si>
    <t>SILVERBAND (BANDHAN BANK)</t>
  </si>
  <si>
    <t>m</t>
  </si>
  <si>
    <t>2026</t>
  </si>
  <si>
    <t>Total Gain on Capital         →</t>
  </si>
  <si>
    <t>TOTAL CAPITAL</t>
  </si>
  <si>
    <t>Capital</t>
  </si>
  <si>
    <t>SA - Qty</t>
  </si>
  <si>
    <t>SG - Qty</t>
  </si>
  <si>
    <t>DS - Qty</t>
  </si>
  <si>
    <t>Investment</t>
  </si>
  <si>
    <t>ROI</t>
  </si>
  <si>
    <t>ROC</t>
  </si>
  <si>
    <t>Brokerage</t>
  </si>
  <si>
    <t>Brokerage - SA</t>
  </si>
  <si>
    <t>Brokerage - SG</t>
  </si>
  <si>
    <t>Brokerage - DS</t>
  </si>
  <si>
    <t>%</t>
  </si>
  <si>
    <t>Profit</t>
  </si>
  <si>
    <t>SA Profit</t>
  </si>
  <si>
    <t>SG Profit</t>
  </si>
  <si>
    <t>DS Profit</t>
  </si>
  <si>
    <t>Net Profit</t>
  </si>
  <si>
    <t>SA Net Profit</t>
  </si>
  <si>
    <t>SG Net Profit</t>
  </si>
  <si>
    <t>DS Net Profit</t>
  </si>
  <si>
    <t>Net %</t>
  </si>
  <si>
    <t>MOM30IETF</t>
  </si>
  <si>
    <t>NIFTYQLITY</t>
  </si>
  <si>
    <t>VAL30IETF</t>
  </si>
  <si>
    <t>ABSLPSE</t>
  </si>
  <si>
    <t>UTISXN50</t>
  </si>
  <si>
    <t>CPSEETF</t>
  </si>
  <si>
    <t>MAHKTECH</t>
  </si>
  <si>
    <t>HDFCGROWTH</t>
  </si>
  <si>
    <t>LOWVOLIETF</t>
  </si>
  <si>
    <t>HDFCQUAL</t>
  </si>
  <si>
    <t>BSE500IETF</t>
  </si>
  <si>
    <t>COMMOIETF</t>
  </si>
  <si>
    <t>FINIETF</t>
  </si>
  <si>
    <t>INFRAIETF</t>
  </si>
  <si>
    <t>MNC</t>
  </si>
  <si>
    <t>ALPHAETF</t>
  </si>
  <si>
    <t>MIDSMALL</t>
  </si>
  <si>
    <t>SMALLCAP</t>
  </si>
  <si>
    <t>MONIFTY500</t>
  </si>
  <si>
    <t>MOREALTY</t>
  </si>
  <si>
    <t>MOSMALL250</t>
  </si>
  <si>
    <t>MOVALUE</t>
  </si>
  <si>
    <t>MONQ50</t>
  </si>
  <si>
    <t>MON100</t>
  </si>
  <si>
    <t>TOP100CASE</t>
  </si>
  <si>
    <t>NIFTYBEES</t>
  </si>
  <si>
    <t>MOMENTUM50</t>
  </si>
  <si>
    <t>ALPHA</t>
  </si>
  <si>
    <t>ALPL30IETF</t>
  </si>
  <si>
    <t>AUTOIETF</t>
  </si>
  <si>
    <t>BANKBEES</t>
  </si>
  <si>
    <t>DIVOPPBEES</t>
  </si>
  <si>
    <t>EVINDIA</t>
  </si>
  <si>
    <t>BFSI</t>
  </si>
  <si>
    <t>HEALTHY</t>
  </si>
  <si>
    <t>CONSUMBEES</t>
  </si>
  <si>
    <t>MODEFENCE</t>
  </si>
  <si>
    <t>TNIDETF</t>
  </si>
  <si>
    <t>MAKEINDIA</t>
  </si>
  <si>
    <t>ITBEES</t>
  </si>
  <si>
    <t>METALIETF</t>
  </si>
  <si>
    <t>MOM100</t>
  </si>
  <si>
    <t>MIDCAPETF</t>
  </si>
  <si>
    <t>MIDQ50ADD</t>
  </si>
  <si>
    <t>MIDCAP</t>
  </si>
  <si>
    <t>NEXT50IETF</t>
  </si>
  <si>
    <t>OILIETF</t>
  </si>
  <si>
    <t>PHARMABEES</t>
  </si>
  <si>
    <t>PVTBANIETF</t>
  </si>
  <si>
    <t>PSUBNKBEES</t>
  </si>
  <si>
    <t>TOP10ADD</t>
  </si>
  <si>
    <t>ESG</t>
  </si>
  <si>
    <t>NV20IETF</t>
  </si>
  <si>
    <t>MULTICAP</t>
  </si>
  <si>
    <t>MAFANG</t>
  </si>
  <si>
    <t>MASPTOP50</t>
  </si>
  <si>
    <t>ICICIB22</t>
  </si>
  <si>
    <t>MIDSELIETF</t>
  </si>
  <si>
    <t xml:space="preserve">SENSEXIETF
</t>
  </si>
  <si>
    <t>SHARIABEES</t>
  </si>
  <si>
    <t>JUNIORBEES</t>
  </si>
  <si>
    <t>AUTOBEES</t>
  </si>
  <si>
    <t>HDFCSML250</t>
  </si>
  <si>
    <t>INFRABEES</t>
  </si>
  <si>
    <t>MID150BEES</t>
  </si>
  <si>
    <t>GOLD360</t>
  </si>
  <si>
    <t>Total Gain on GIVEN Capital     →</t>
  </si>
  <si>
    <t>Availabe for Withdraw</t>
  </si>
  <si>
    <t>NO.</t>
  </si>
  <si>
    <t>DATE</t>
  </si>
  <si>
    <t>AMOUNT</t>
  </si>
  <si>
    <t>SUJAY</t>
  </si>
  <si>
    <t>DENISH</t>
  </si>
  <si>
    <t>SHARING STATUS</t>
  </si>
  <si>
    <t>DONE</t>
  </si>
  <si>
    <t>2025 Profit</t>
  </si>
  <si>
    <t>SA - FUND GIVEN</t>
  </si>
  <si>
    <t>SG - FUND GIVEN</t>
  </si>
  <si>
    <t>SUM</t>
  </si>
  <si>
    <t>Before Brokrage</t>
  </si>
  <si>
    <t>TOTAL PROFIT</t>
  </si>
  <si>
    <t>BUY</t>
  </si>
  <si>
    <t>SELL</t>
  </si>
  <si>
    <t>QNT</t>
  </si>
  <si>
    <t>Total Brokrage</t>
  </si>
  <si>
    <t>VALUE</t>
  </si>
  <si>
    <t>Net Release</t>
  </si>
  <si>
    <t>STT/CTT</t>
  </si>
  <si>
    <t>TRANSACTION</t>
  </si>
  <si>
    <t>SEBI</t>
  </si>
  <si>
    <t>Transaction + SEBI</t>
  </si>
  <si>
    <t>GST ON TRANSACTION AND SEBI CHARGES</t>
  </si>
  <si>
    <t>0.0001/100</t>
  </si>
  <si>
    <t>STAMP DUTY (Buy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</si>
</sst>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d&quot;-&quot;mmm&quot;-&quot;yyyy"/>
    <numFmt numFmtId="166" formatCode="[$₹]#,##0.00"/>
    <numFmt numFmtId="167" formatCode="0.000"/>
    <numFmt numFmtId="168" formatCode="#,##0.000"/>
    <numFmt numFmtId="169" formatCode="d-mmm-yyyy"/>
    <numFmt numFmtId="170" formatCode="0.00000%"/>
    <numFmt numFmtId="171" formatCode="0.0000"/>
    <numFmt numFmtId="172" formatCode="0.000%"/>
  </numFmts>
  <fonts count="2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rgb="FF434343"/>
      <name val="Arial"/>
      <scheme val="minor"/>
    </font>
    <font>
      <sz val="11.0"/>
      <color theme="1"/>
      <name val="Arial"/>
      <scheme val="minor"/>
    </font>
    <font/>
    <font>
      <b/>
      <sz val="12.0"/>
      <color rgb="FF434343"/>
      <name val="Arial"/>
      <scheme val="minor"/>
    </font>
    <font>
      <b/>
      <sz val="11.0"/>
      <color rgb="FF666666"/>
      <name val="Calibri"/>
    </font>
    <font>
      <color theme="1"/>
      <name val="Arial"/>
    </font>
    <font>
      <b/>
      <sz val="15.0"/>
      <color rgb="FF000000"/>
      <name val="Lexend"/>
    </font>
    <font>
      <b/>
      <sz val="12.0"/>
      <color rgb="FF0B5394"/>
      <name val="Arial"/>
      <scheme val="minor"/>
    </font>
    <font>
      <b/>
      <sz val="26.0"/>
      <color theme="1"/>
      <name val="Arial"/>
      <scheme val="minor"/>
    </font>
    <font>
      <b/>
      <sz val="13.0"/>
      <color rgb="FF3D85C6"/>
      <name val="Arial"/>
      <scheme val="minor"/>
    </font>
    <font>
      <b/>
      <sz val="13.0"/>
      <color rgb="FF38761D"/>
      <name val="Arial"/>
      <scheme val="minor"/>
    </font>
    <font>
      <b/>
      <sz val="12.0"/>
      <color rgb="FF134F5C"/>
      <name val="Arial"/>
      <scheme val="minor"/>
    </font>
    <font>
      <b/>
      <color rgb="FF434343"/>
      <name val="Arial"/>
      <scheme val="minor"/>
    </font>
    <font>
      <b/>
      <color rgb="FF38761D"/>
      <name val="Arial"/>
      <scheme val="minor"/>
    </font>
    <font>
      <b/>
      <color rgb="FF000000"/>
      <name val="Arial"/>
      <scheme val="minor"/>
    </font>
    <font>
      <sz val="11.0"/>
      <color rgb="FF000000"/>
      <name val="Calibri"/>
    </font>
    <font>
      <b/>
      <sz val="9.0"/>
      <color rgb="FF3D85C6"/>
      <name val="Arial"/>
      <scheme val="minor"/>
    </font>
    <font>
      <b/>
      <sz val="11.0"/>
      <color theme="1"/>
      <name val="Arial"/>
      <scheme val="minor"/>
    </font>
    <font>
      <b/>
      <color rgb="FFB7B7B7"/>
      <name val="Arial"/>
      <scheme val="minor"/>
    </font>
    <font>
      <b/>
      <sz val="12.0"/>
      <color theme="1"/>
      <name val="Arial"/>
      <scheme val="minor"/>
    </font>
    <font>
      <sz val="11.0"/>
      <color rgb="FF424242"/>
      <name val="Inter"/>
    </font>
    <font>
      <color rgb="FFD9D9D9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DEAD7"/>
        <bgColor rgb="FFDDEAD7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BFBFB"/>
        <bgColor rgb="FFFBFBFB"/>
      </patternFill>
    </fill>
  </fills>
  <borders count="34">
    <border/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top style="double">
        <color rgb="FF000000"/>
      </top>
    </border>
    <border>
      <left style="medium">
        <color rgb="FF000000"/>
      </lef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medium">
        <color rgb="FF93C47D"/>
      </bottom>
    </border>
    <border>
      <right style="double">
        <color rgb="FF000000"/>
      </right>
      <top style="double">
        <color rgb="FF000000"/>
      </top>
    </border>
    <border>
      <right style="double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2" fillId="3" fontId="6" numFmtId="0" xfId="0" applyAlignment="1" applyBorder="1" applyFill="1" applyFont="1">
      <alignment horizontal="center" readingOrder="0" shrinkToFit="0" vertical="center" wrapText="1"/>
    </xf>
    <xf borderId="2" fillId="3" fontId="6" numFmtId="164" xfId="0" applyAlignment="1" applyBorder="1" applyFont="1" applyNumberFormat="1">
      <alignment horizontal="center" readingOrder="0" vertical="center"/>
    </xf>
    <xf borderId="2" fillId="3" fontId="6" numFmtId="3" xfId="0" applyAlignment="1" applyBorder="1" applyFont="1" applyNumberForma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4" fontId="2" numFmtId="0" xfId="0" applyAlignment="1" applyBorder="1" applyFill="1" applyFont="1">
      <alignment horizontal="center" readingOrder="0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7" numFmtId="165" xfId="0" applyAlignment="1" applyBorder="1" applyFont="1" applyNumberFormat="1">
      <alignment horizontal="center" readingOrder="0" shrinkToFit="0" vertical="center" wrapText="0"/>
    </xf>
    <xf borderId="4" fillId="5" fontId="8" numFmtId="166" xfId="0" applyAlignment="1" applyBorder="1" applyFill="1" applyFont="1" applyNumberFormat="1">
      <alignment horizontal="center" readingOrder="0"/>
    </xf>
    <xf borderId="4" fillId="5" fontId="8" numFmtId="3" xfId="0" applyAlignment="1" applyBorder="1" applyFont="1" applyNumberFormat="1">
      <alignment horizontal="center" readingOrder="0"/>
    </xf>
    <xf borderId="4" fillId="4" fontId="2" numFmtId="166" xfId="0" applyAlignment="1" applyBorder="1" applyFont="1" applyNumberFormat="1">
      <alignment horizontal="center" readingOrder="0" vertical="center"/>
    </xf>
    <xf borderId="4" fillId="4" fontId="7" numFmtId="165" xfId="0" applyAlignment="1" applyBorder="1" applyFont="1" applyNumberFormat="1">
      <alignment horizontal="center" readingOrder="0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2" numFmtId="166" xfId="0" applyAlignment="1" applyBorder="1" applyFont="1" applyNumberFormat="1">
      <alignment horizontal="center" readingOrder="0" vertical="center"/>
    </xf>
    <xf borderId="4" fillId="4" fontId="2" numFmtId="3" xfId="0" applyAlignment="1" applyBorder="1" applyFont="1" applyNumberFormat="1">
      <alignment horizontal="center" readingOrder="0" vertical="center"/>
    </xf>
    <xf borderId="4" fillId="4" fontId="7" numFmtId="0" xfId="0" applyAlignment="1" applyBorder="1" applyFont="1">
      <alignment horizontal="center" readingOrder="0" shrinkToFit="0" vertical="center" wrapText="0"/>
    </xf>
    <xf borderId="4" fillId="3" fontId="7" numFmtId="165" xfId="0" applyAlignment="1" applyBorder="1" applyFont="1" applyNumberFormat="1">
      <alignment horizontal="center" readingOrder="0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4" fontId="2" numFmtId="0" xfId="0" applyBorder="1" applyFont="1"/>
    <xf borderId="4" fillId="4" fontId="2" numFmtId="3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0" fillId="6" fontId="9" numFmtId="0" xfId="0" applyAlignment="1" applyFill="1" applyFont="1">
      <alignment horizontal="center" readingOrder="0" vertical="center"/>
    </xf>
    <xf borderId="5" fillId="7" fontId="9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0" fillId="6" fontId="9" numFmtId="4" xfId="0" applyAlignment="1" applyFont="1" applyNumberFormat="1">
      <alignment horizontal="center" readingOrder="0" vertical="center"/>
    </xf>
    <xf borderId="0" fillId="8" fontId="2" numFmtId="0" xfId="0" applyAlignment="1" applyFill="1" applyFont="1">
      <alignment horizontal="center" vertical="center"/>
    </xf>
    <xf borderId="0" fillId="9" fontId="2" numFmtId="0" xfId="0" applyAlignment="1" applyFill="1" applyFont="1">
      <alignment horizontal="center" vertical="center"/>
    </xf>
    <xf borderId="0" fillId="9" fontId="10" numFmtId="0" xfId="0" applyAlignment="1" applyFont="1">
      <alignment horizontal="center" readingOrder="0" vertical="center"/>
    </xf>
    <xf borderId="0" fillId="9" fontId="1" numFmtId="166" xfId="0" applyAlignment="1" applyFont="1" applyNumberFormat="1">
      <alignment horizontal="center" readingOrder="0" vertical="center"/>
    </xf>
    <xf borderId="0" fillId="9" fontId="11" numFmtId="49" xfId="0" applyAlignment="1" applyFont="1" applyNumberFormat="1">
      <alignment horizontal="center" readingOrder="0" vertical="center"/>
    </xf>
    <xf borderId="0" fillId="5" fontId="2" numFmtId="4" xfId="0" applyAlignment="1" applyFont="1" applyNumberFormat="1">
      <alignment horizontal="right" readingOrder="0" vertical="top"/>
    </xf>
    <xf borderId="8" fillId="4" fontId="12" numFmtId="0" xfId="0" applyAlignment="1" applyBorder="1" applyFont="1">
      <alignment horizontal="center" readingOrder="0" vertical="center"/>
    </xf>
    <xf borderId="9" fillId="4" fontId="13" numFmtId="10" xfId="0" applyAlignment="1" applyBorder="1" applyFont="1" applyNumberFormat="1">
      <alignment horizontal="center" vertical="center"/>
    </xf>
    <xf borderId="10" fillId="4" fontId="13" numFmtId="166" xfId="0" applyAlignment="1" applyBorder="1" applyFont="1" applyNumberForma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0" fillId="9" fontId="2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8" fontId="14" numFmtId="4" xfId="0" applyAlignment="1" applyFont="1" applyNumberForma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2" fillId="3" fontId="6" numFmtId="166" xfId="0" applyAlignment="1" applyBorder="1" applyFont="1" applyNumberFormat="1">
      <alignment horizontal="center" readingOrder="0" vertical="center"/>
    </xf>
    <xf borderId="2" fillId="3" fontId="6" numFmtId="167" xfId="0" applyAlignment="1" applyBorder="1" applyFont="1" applyNumberFormat="1">
      <alignment horizontal="center" readingOrder="0" vertical="center"/>
    </xf>
    <xf borderId="15" fillId="9" fontId="6" numFmtId="0" xfId="0" applyAlignment="1" applyBorder="1" applyFont="1">
      <alignment horizontal="center" readingOrder="0" vertical="center"/>
    </xf>
    <xf borderId="16" fillId="0" fontId="5" numFmtId="0" xfId="0" applyBorder="1" applyFont="1"/>
    <xf borderId="16" fillId="10" fontId="6" numFmtId="166" xfId="0" applyAlignment="1" applyBorder="1" applyFill="1" applyFont="1" applyNumberFormat="1">
      <alignment horizontal="center" readingOrder="0" vertical="center"/>
    </xf>
    <xf borderId="16" fillId="7" fontId="6" numFmtId="166" xfId="0" applyAlignment="1" applyBorder="1" applyFont="1" applyNumberFormat="1">
      <alignment horizontal="center" readingOrder="0" vertical="center"/>
    </xf>
    <xf borderId="16" fillId="11" fontId="6" numFmtId="166" xfId="0" applyAlignment="1" applyBorder="1" applyFill="1" applyFont="1" applyNumberFormat="1">
      <alignment horizontal="center" readingOrder="0" vertical="center"/>
    </xf>
    <xf borderId="17" fillId="9" fontId="6" numFmtId="0" xfId="0" applyAlignment="1" applyBorder="1" applyFont="1">
      <alignment horizontal="center" readingOrder="0" vertical="center"/>
    </xf>
    <xf borderId="4" fillId="12" fontId="6" numFmtId="0" xfId="0" applyAlignment="1" applyBorder="1" applyFill="1" applyFont="1">
      <alignment horizontal="center" readingOrder="0" vertical="center"/>
    </xf>
    <xf borderId="0" fillId="9" fontId="6" numFmtId="4" xfId="0" applyAlignment="1" applyFont="1" applyNumberFormat="1">
      <alignment horizontal="center" readingOrder="0" vertical="center"/>
    </xf>
    <xf borderId="4" fillId="0" fontId="15" numFmtId="0" xfId="0" applyAlignment="1" applyBorder="1" applyFont="1">
      <alignment horizontal="center" readingOrder="0" vertical="center"/>
    </xf>
    <xf borderId="17" fillId="0" fontId="15" numFmtId="0" xfId="0" applyAlignment="1" applyBorder="1" applyFont="1">
      <alignment horizontal="center" readingOrder="0" vertical="center"/>
    </xf>
    <xf borderId="0" fillId="0" fontId="15" numFmtId="4" xfId="0" applyAlignment="1" applyFont="1" applyNumberFormat="1">
      <alignment horizontal="center" readingOrder="0" vertical="center"/>
    </xf>
    <xf borderId="4" fillId="0" fontId="7" numFmtId="0" xfId="0" applyAlignment="1" applyBorder="1" applyFont="1">
      <alignment readingOrder="0"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18" fillId="0" fontId="2" numFmtId="10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4" fillId="0" fontId="7" numFmtId="0" xfId="0" applyAlignment="1" applyBorder="1" applyFont="1">
      <alignment readingOrder="0" vertical="bottom"/>
    </xf>
    <xf borderId="0" fillId="13" fontId="2" numFmtId="0" xfId="0" applyAlignment="1" applyFill="1" applyFont="1">
      <alignment horizontal="center" readingOrder="0" vertical="center"/>
    </xf>
    <xf borderId="4" fillId="13" fontId="7" numFmtId="0" xfId="0" applyAlignment="1" applyBorder="1" applyFont="1">
      <alignment horizontal="center" readingOrder="0" shrinkToFit="0" vertical="center" wrapText="0"/>
    </xf>
    <xf borderId="0" fillId="13" fontId="7" numFmtId="3" xfId="0" applyAlignment="1" applyFont="1" applyNumberFormat="1">
      <alignment horizontal="center" readingOrder="0" shrinkToFit="0" vertical="center" wrapText="0"/>
    </xf>
    <xf borderId="0" fillId="13" fontId="7" numFmtId="165" xfId="0" applyAlignment="1" applyFont="1" applyNumberFormat="1">
      <alignment horizontal="center" readingOrder="0" shrinkToFit="0" vertical="center" wrapText="0"/>
    </xf>
    <xf borderId="0" fillId="13" fontId="2" numFmtId="166" xfId="0" applyAlignment="1" applyFont="1" applyNumberFormat="1">
      <alignment horizontal="center" readingOrder="0" vertical="center"/>
    </xf>
    <xf borderId="0" fillId="13" fontId="2" numFmtId="3" xfId="0" applyAlignment="1" applyFont="1" applyNumberFormat="1">
      <alignment horizontal="center" readingOrder="0" vertical="center"/>
    </xf>
    <xf borderId="0" fillId="13" fontId="2" numFmtId="168" xfId="0" applyAlignment="1" applyFont="1" applyNumberFormat="1">
      <alignment horizontal="center" readingOrder="0" vertical="center"/>
    </xf>
    <xf borderId="0" fillId="13" fontId="2" numFmtId="10" xfId="0" applyAlignment="1" applyFont="1" applyNumberFormat="1">
      <alignment horizontal="center" vertical="center"/>
    </xf>
    <xf borderId="0" fillId="13" fontId="2" numFmtId="166" xfId="0" applyAlignment="1" applyFont="1" applyNumberFormat="1">
      <alignment horizontal="center" vertical="center"/>
    </xf>
    <xf borderId="0" fillId="13" fontId="16" numFmtId="166" xfId="0" applyAlignment="1" applyFont="1" applyNumberFormat="1">
      <alignment horizontal="center" vertical="center"/>
    </xf>
    <xf borderId="0" fillId="5" fontId="2" numFmtId="10" xfId="0" applyAlignment="1" applyFont="1" applyNumberFormat="1">
      <alignment horizontal="center" vertical="center"/>
    </xf>
    <xf borderId="18" fillId="6" fontId="17" numFmtId="10" xfId="0" applyAlignment="1" applyBorder="1" applyFont="1" applyNumberFormat="1">
      <alignment horizontal="center" vertical="center"/>
    </xf>
    <xf borderId="0" fillId="5" fontId="2" numFmtId="4" xfId="0" applyAlignment="1" applyFont="1" applyNumberFormat="1">
      <alignment horizontal="center" vertical="center"/>
    </xf>
    <xf borderId="4" fillId="4" fontId="7" numFmtId="0" xfId="0" applyAlignment="1" applyBorder="1" applyFont="1">
      <alignment readingOrder="0" vertical="bottom"/>
    </xf>
    <xf borderId="0" fillId="4" fontId="2" numFmtId="0" xfId="0" applyAlignment="1" applyFont="1">
      <alignment horizontal="center" readingOrder="0" vertical="center"/>
    </xf>
    <xf borderId="0" fillId="4" fontId="7" numFmtId="3" xfId="0" applyAlignment="1" applyFont="1" applyNumberFormat="1">
      <alignment horizontal="center" readingOrder="0" shrinkToFit="0" vertical="center" wrapText="0"/>
    </xf>
    <xf borderId="0" fillId="4" fontId="7" numFmtId="165" xfId="0" applyAlignment="1" applyFont="1" applyNumberFormat="1">
      <alignment horizontal="center" readingOrder="0" shrinkToFit="0" vertical="center" wrapText="0"/>
    </xf>
    <xf borderId="0" fillId="4" fontId="2" numFmtId="166" xfId="0" applyAlignment="1" applyFont="1" applyNumberFormat="1">
      <alignment horizontal="center" readingOrder="0" vertical="center"/>
    </xf>
    <xf borderId="0" fillId="4" fontId="2" numFmtId="3" xfId="0" applyAlignment="1" applyFont="1" applyNumberFormat="1">
      <alignment horizontal="center" readingOrder="0" vertical="center"/>
    </xf>
    <xf borderId="0" fillId="4" fontId="2" numFmtId="168" xfId="0" applyAlignment="1" applyFont="1" applyNumberFormat="1">
      <alignment horizontal="center" readingOrder="0" vertical="center"/>
    </xf>
    <xf borderId="0" fillId="4" fontId="2" numFmtId="10" xfId="0" applyAlignment="1" applyFont="1" applyNumberFormat="1">
      <alignment horizontal="center" vertical="center"/>
    </xf>
    <xf borderId="0" fillId="4" fontId="2" numFmtId="166" xfId="0" applyAlignment="1" applyFont="1" applyNumberFormat="1">
      <alignment horizontal="center" vertical="center"/>
    </xf>
    <xf borderId="0" fillId="4" fontId="16" numFmtId="166" xfId="0" applyAlignment="1" applyFont="1" applyNumberFormat="1">
      <alignment horizontal="center" vertical="center"/>
    </xf>
    <xf borderId="0" fillId="5" fontId="2" numFmtId="0" xfId="0" applyAlignment="1" applyFont="1">
      <alignment horizontal="center" readingOrder="0" vertical="center"/>
    </xf>
    <xf borderId="19" fillId="5" fontId="2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4" fillId="5" fontId="7" numFmtId="0" xfId="0" applyAlignment="1" applyBorder="1" applyFont="1">
      <alignment horizontal="center" readingOrder="0" shrinkToFit="0" vertical="center" wrapText="0"/>
    </xf>
    <xf borderId="0" fillId="5" fontId="7" numFmtId="165" xfId="0" applyAlignment="1" applyFont="1" applyNumberFormat="1">
      <alignment horizontal="center" readingOrder="0" shrinkToFit="0" vertical="center" wrapText="0"/>
    </xf>
    <xf borderId="0" fillId="5" fontId="2" numFmtId="166" xfId="0" applyAlignment="1" applyFont="1" applyNumberFormat="1">
      <alignment horizontal="center" readingOrder="0" vertical="center"/>
    </xf>
    <xf borderId="0" fillId="5" fontId="2" numFmtId="3" xfId="0" applyAlignment="1" applyFont="1" applyNumberFormat="1">
      <alignment horizontal="center" readingOrder="0" vertical="center"/>
    </xf>
    <xf borderId="0" fillId="5" fontId="18" numFmtId="2" xfId="0" applyAlignment="1" applyFont="1" applyNumberFormat="1">
      <alignment horizontal="center" readingOrder="0" shrinkToFit="0" vertical="center" wrapText="0"/>
    </xf>
    <xf borderId="0" fillId="5" fontId="2" numFmtId="164" xfId="0" applyAlignment="1" applyFont="1" applyNumberFormat="1">
      <alignment horizontal="center" vertical="center"/>
    </xf>
    <xf borderId="0" fillId="5" fontId="2" numFmtId="166" xfId="0" applyAlignment="1" applyFont="1" applyNumberFormat="1">
      <alignment horizontal="center" vertical="center"/>
    </xf>
    <xf borderId="0" fillId="5" fontId="2" numFmtId="3" xfId="0" applyAlignment="1" applyFont="1" applyNumberFormat="1">
      <alignment horizontal="center" vertical="center"/>
    </xf>
    <xf borderId="0" fillId="6" fontId="2" numFmtId="0" xfId="0" applyAlignment="1" applyFont="1">
      <alignment horizontal="center" vertical="center"/>
    </xf>
    <xf borderId="8" fillId="0" fontId="19" numFmtId="0" xfId="0" applyAlignment="1" applyBorder="1" applyFont="1">
      <alignment horizontal="center" readingOrder="0" vertical="center"/>
    </xf>
    <xf borderId="20" fillId="0" fontId="5" numFmtId="0" xfId="0" applyBorder="1" applyFont="1"/>
    <xf borderId="0" fillId="0" fontId="20" numFmtId="10" xfId="0" applyAlignment="1" applyFont="1" applyNumberFormat="1">
      <alignment horizontal="center" readingOrder="0" vertical="center"/>
    </xf>
    <xf borderId="0" fillId="0" fontId="20" numFmtId="166" xfId="0" applyAlignment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21" fillId="0" fontId="5" numFmtId="0" xfId="0" applyBorder="1" applyFont="1"/>
    <xf borderId="0" fillId="14" fontId="1" numFmtId="166" xfId="0" applyAlignment="1" applyFill="1" applyFont="1" applyNumberForma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22" fillId="3" fontId="2" numFmtId="0" xfId="0" applyAlignment="1" applyBorder="1" applyFont="1">
      <alignment horizontal="center" readingOrder="0" vertical="center"/>
    </xf>
    <xf borderId="23" fillId="3" fontId="2" numFmtId="0" xfId="0" applyAlignment="1" applyBorder="1" applyFont="1">
      <alignment horizontal="center" readingOrder="0" vertical="center"/>
    </xf>
    <xf borderId="24" fillId="3" fontId="2" numFmtId="0" xfId="0" applyAlignment="1" applyBorder="1" applyFont="1">
      <alignment horizontal="center" readingOrder="0" vertical="center"/>
    </xf>
    <xf borderId="25" fillId="3" fontId="2" numFmtId="0" xfId="0" applyAlignment="1" applyBorder="1" applyFont="1">
      <alignment horizontal="center" readingOrder="0" vertical="center"/>
    </xf>
    <xf borderId="26" fillId="3" fontId="2" numFmtId="0" xfId="0" applyAlignment="1" applyBorder="1" applyFont="1">
      <alignment horizontal="center" readingOrder="0" vertical="center"/>
    </xf>
    <xf borderId="27" fillId="3" fontId="2" numFmtId="0" xfId="0" applyAlignment="1" applyBorder="1" applyFont="1">
      <alignment horizontal="center" readingOrder="0" shrinkToFit="0" vertical="center" wrapText="1"/>
    </xf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3" fontId="2" numFmtId="9" xfId="0" applyAlignment="1" applyBorder="1" applyFont="1" applyNumberFormat="1">
      <alignment horizontal="center" readingOrder="0" vertical="center"/>
    </xf>
    <xf borderId="32" fillId="3" fontId="2" numFmtId="9" xfId="0" applyAlignment="1" applyBorder="1" applyFont="1" applyNumberFormat="1">
      <alignment horizontal="center" readingOrder="0" vertical="center"/>
    </xf>
    <xf borderId="33" fillId="0" fontId="5" numFmtId="0" xfId="0" applyBorder="1" applyFont="1"/>
    <xf borderId="4" fillId="0" fontId="2" numFmtId="0" xfId="0" applyAlignment="1" applyBorder="1" applyFont="1">
      <alignment horizontal="center" readingOrder="0" vertical="center"/>
    </xf>
    <xf borderId="4" fillId="0" fontId="2" numFmtId="166" xfId="0" applyAlignment="1" applyBorder="1" applyFont="1" applyNumberFormat="1">
      <alignment horizontal="center" readingOrder="0" vertical="center"/>
    </xf>
    <xf borderId="4" fillId="0" fontId="2" numFmtId="169" xfId="0" applyAlignment="1" applyBorder="1" applyFont="1" applyNumberFormat="1">
      <alignment horizontal="center" readingOrder="0" vertical="center"/>
    </xf>
    <xf borderId="4" fillId="0" fontId="2" numFmtId="166" xfId="0" applyAlignment="1" applyBorder="1" applyFont="1" applyNumberFormat="1">
      <alignment horizontal="center" vertical="center"/>
    </xf>
    <xf borderId="4" fillId="5" fontId="2" numFmtId="0" xfId="0" applyAlignment="1" applyBorder="1" applyFont="1">
      <alignment horizontal="center" readingOrder="0" vertical="center"/>
    </xf>
    <xf borderId="4" fillId="5" fontId="2" numFmtId="166" xfId="0" applyAlignment="1" applyBorder="1" applyFont="1" applyNumberFormat="1">
      <alignment horizontal="center" readingOrder="0" vertical="center"/>
    </xf>
    <xf borderId="4" fillId="5" fontId="2" numFmtId="169" xfId="0" applyAlignment="1" applyBorder="1" applyFont="1" applyNumberFormat="1">
      <alignment horizontal="center" readingOrder="0" vertical="center"/>
    </xf>
    <xf borderId="4" fillId="5" fontId="2" numFmtId="166" xfId="0" applyAlignment="1" applyBorder="1" applyFont="1" applyNumberFormat="1">
      <alignment horizontal="center" vertical="center"/>
    </xf>
    <xf borderId="2" fillId="5" fontId="2" numFmtId="166" xfId="0" applyAlignment="1" applyBorder="1" applyFont="1" applyNumberFormat="1">
      <alignment horizontal="center" readingOrder="0" vertical="center"/>
    </xf>
    <xf borderId="4" fillId="4" fontId="2" numFmtId="0" xfId="0" applyAlignment="1" applyBorder="1" applyFont="1">
      <alignment horizontal="center" readingOrder="0" vertical="center"/>
    </xf>
    <xf borderId="4" fillId="4" fontId="2" numFmtId="166" xfId="0" applyAlignment="1" applyBorder="1" applyFont="1" applyNumberFormat="1">
      <alignment horizontal="center" vertical="center"/>
    </xf>
    <xf borderId="0" fillId="4" fontId="1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15" fontId="22" numFmtId="0" xfId="0" applyAlignment="1" applyFill="1" applyFont="1">
      <alignment horizontal="center" readingOrder="0" vertical="center"/>
    </xf>
    <xf borderId="0" fillId="4" fontId="22" numFmtId="0" xfId="0" applyAlignment="1" applyFont="1">
      <alignment horizontal="center" readingOrder="0" vertical="center"/>
    </xf>
    <xf borderId="0" fillId="7" fontId="2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readingOrder="0" vertical="center"/>
    </xf>
    <xf borderId="0" fillId="0" fontId="23" numFmtId="170" xfId="0" applyAlignment="1" applyFont="1" applyNumberFormat="1">
      <alignment horizontal="center" readingOrder="0" vertical="center"/>
    </xf>
    <xf borderId="0" fillId="0" fontId="2" numFmtId="2" xfId="0" applyAlignment="1" applyFont="1" applyNumberFormat="1">
      <alignment horizontal="center" vertical="center"/>
    </xf>
    <xf borderId="0" fillId="16" fontId="23" numFmtId="170" xfId="0" applyAlignment="1" applyFill="1" applyFont="1" applyNumberFormat="1">
      <alignment horizontal="center" readingOrder="0" vertical="center"/>
    </xf>
    <xf borderId="0" fillId="0" fontId="2" numFmtId="171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0" fontId="2" numFmtId="9" xfId="0" applyAlignment="1" applyFont="1" applyNumberFormat="1">
      <alignment horizontal="center" readingOrder="0" vertical="center"/>
    </xf>
    <xf borderId="0" fillId="0" fontId="2" numFmtId="172" xfId="0" applyAlignment="1" applyFont="1" applyNumberFormat="1">
      <alignment horizontal="center" readingOrder="0" vertical="center"/>
    </xf>
    <xf borderId="0" fillId="0" fontId="2" numFmtId="167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EAD7"/>
          <bgColor rgb="FFDDEAD7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2">
    <tableStyle count="2" pivot="0" name="ENTRY-style">
      <tableStyleElement dxfId="1" type="firstRowStripe"/>
      <tableStyleElement dxfId="2" type="secondRowStripe"/>
    </tableStyle>
    <tableStyle count="3" pivot="0" name="JOURNAL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K1000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NTRY-style" showColumnStripes="0" showFirstColumn="1" showLastColumn="1" showRowStripes="1"/>
</table>
</file>

<file path=xl/tables/table2.xml><?xml version="1.0" encoding="utf-8"?>
<table xmlns="http://schemas.openxmlformats.org/spreadsheetml/2006/main" headerRowCount="0" ref="B9:V125" displayName="Table_2" name="Table_2" id="2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JOUR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5" max="8" width="19.5"/>
  </cols>
  <sheetData>
    <row r="1" ht="9.0" customHeight="1">
      <c r="A1" s="1" t="s">
        <v>0</v>
      </c>
      <c r="C1" s="2"/>
      <c r="E1" s="1" t="s">
        <v>1</v>
      </c>
      <c r="F1" s="1" t="s">
        <v>2</v>
      </c>
      <c r="G1" s="1" t="s">
        <v>3</v>
      </c>
      <c r="H1" s="3" t="s">
        <v>4</v>
      </c>
    </row>
    <row r="2">
      <c r="C2" s="4">
        <f>SUM(C5:D15)</f>
        <v>3350000</v>
      </c>
    </row>
    <row r="4" ht="8.25" customHeight="1">
      <c r="C4" s="2"/>
    </row>
    <row r="5" ht="30.0" customHeight="1">
      <c r="A5" s="5">
        <v>1.0</v>
      </c>
      <c r="B5" s="5" t="s">
        <v>5</v>
      </c>
      <c r="C5" s="5">
        <v>150000.0</v>
      </c>
      <c r="E5" s="6">
        <v>30.0</v>
      </c>
      <c r="F5" s="2">
        <f t="shared" ref="F5:F7" si="1">C5/E5</f>
        <v>5000</v>
      </c>
      <c r="G5" s="2">
        <f t="shared" ref="G5:G14" si="2">F5/$F$15</f>
        <v>0.05294117647</v>
      </c>
      <c r="H5" s="2">
        <f t="shared" ref="H5:H14" si="3">C5/$C$2</f>
        <v>0.0447761194</v>
      </c>
    </row>
    <row r="6" ht="27.0" customHeight="1">
      <c r="A6" s="5">
        <v>2.0</v>
      </c>
      <c r="B6" s="5" t="s">
        <v>6</v>
      </c>
      <c r="C6" s="5">
        <v>700000.0</v>
      </c>
      <c r="E6" s="6">
        <v>35.0</v>
      </c>
      <c r="F6" s="2">
        <f t="shared" si="1"/>
        <v>20000</v>
      </c>
      <c r="G6" s="2">
        <f t="shared" si="2"/>
        <v>0.2117647059</v>
      </c>
      <c r="H6" s="2">
        <f t="shared" si="3"/>
        <v>0.2089552239</v>
      </c>
    </row>
    <row r="7" ht="32.25" customHeight="1">
      <c r="A7" s="5">
        <v>3.0</v>
      </c>
      <c r="B7" s="5" t="s">
        <v>7</v>
      </c>
      <c r="C7" s="5">
        <v>2500000.0</v>
      </c>
      <c r="E7" s="6">
        <v>36.0</v>
      </c>
      <c r="F7" s="7">
        <f t="shared" si="1"/>
        <v>69444.44444</v>
      </c>
      <c r="G7" s="2">
        <f t="shared" si="2"/>
        <v>0.7352941176</v>
      </c>
      <c r="H7" s="2">
        <f t="shared" si="3"/>
        <v>0.7462686567</v>
      </c>
    </row>
    <row r="8" ht="32.25" customHeight="1">
      <c r="A8" s="5"/>
      <c r="B8" s="5"/>
      <c r="C8" s="5"/>
      <c r="E8" s="2"/>
      <c r="F8" s="2"/>
      <c r="G8" s="2">
        <f t="shared" si="2"/>
        <v>0</v>
      </c>
      <c r="H8" s="2">
        <f t="shared" si="3"/>
        <v>0</v>
      </c>
    </row>
    <row r="9" ht="32.25" customHeight="1">
      <c r="A9" s="5"/>
      <c r="B9" s="5"/>
      <c r="C9" s="5"/>
      <c r="E9" s="2"/>
      <c r="F9" s="2"/>
      <c r="G9" s="2">
        <f t="shared" si="2"/>
        <v>0</v>
      </c>
      <c r="H9" s="2">
        <f t="shared" si="3"/>
        <v>0</v>
      </c>
    </row>
    <row r="10" ht="32.25" customHeight="1">
      <c r="A10" s="5"/>
      <c r="B10" s="5"/>
      <c r="C10" s="5"/>
      <c r="E10" s="2"/>
      <c r="F10" s="2"/>
      <c r="G10" s="2">
        <f t="shared" si="2"/>
        <v>0</v>
      </c>
      <c r="H10" s="2">
        <f t="shared" si="3"/>
        <v>0</v>
      </c>
    </row>
    <row r="11" ht="32.25" customHeight="1">
      <c r="A11" s="5"/>
      <c r="B11" s="5"/>
      <c r="C11" s="5"/>
      <c r="E11" s="2"/>
      <c r="F11" s="2"/>
      <c r="G11" s="2">
        <f t="shared" si="2"/>
        <v>0</v>
      </c>
      <c r="H11" s="2">
        <f t="shared" si="3"/>
        <v>0</v>
      </c>
    </row>
    <row r="12" ht="32.25" customHeight="1">
      <c r="A12" s="5"/>
      <c r="B12" s="5"/>
      <c r="C12" s="5"/>
      <c r="E12" s="2"/>
      <c r="F12" s="2"/>
      <c r="G12" s="2">
        <f t="shared" si="2"/>
        <v>0</v>
      </c>
      <c r="H12" s="2">
        <f t="shared" si="3"/>
        <v>0</v>
      </c>
    </row>
    <row r="13" ht="32.25" customHeight="1">
      <c r="A13" s="5"/>
      <c r="B13" s="5"/>
      <c r="C13" s="5"/>
      <c r="E13" s="2"/>
      <c r="F13" s="2"/>
      <c r="G13" s="2">
        <f t="shared" si="2"/>
        <v>0</v>
      </c>
      <c r="H13" s="2">
        <f t="shared" si="3"/>
        <v>0</v>
      </c>
    </row>
    <row r="14" ht="32.25" customHeight="1">
      <c r="A14" s="5"/>
      <c r="B14" s="5"/>
      <c r="C14" s="5"/>
      <c r="E14" s="2"/>
      <c r="F14" s="2"/>
      <c r="G14" s="2">
        <f t="shared" si="2"/>
        <v>0</v>
      </c>
      <c r="H14" s="2">
        <f t="shared" si="3"/>
        <v>0</v>
      </c>
    </row>
    <row r="15" ht="32.25" customHeight="1">
      <c r="A15" s="8">
        <f>count(A5:A14)</f>
        <v>3</v>
      </c>
      <c r="B15" s="8"/>
      <c r="C15" s="8"/>
      <c r="D15" s="9"/>
      <c r="E15" s="10"/>
      <c r="F15" s="11">
        <f t="shared" ref="F15:H15" si="4">SUM(F5:F14)</f>
        <v>94444.44444</v>
      </c>
      <c r="G15" s="10">
        <f t="shared" si="4"/>
        <v>1</v>
      </c>
      <c r="H15" s="10">
        <f t="shared" si="4"/>
        <v>1</v>
      </c>
    </row>
    <row r="16">
      <c r="A16" s="5"/>
      <c r="B16" s="5"/>
      <c r="C16" s="5"/>
      <c r="E16" s="6"/>
      <c r="F16" s="6"/>
      <c r="G16" s="6"/>
      <c r="H16" s="6"/>
    </row>
    <row r="17">
      <c r="A17" s="5"/>
      <c r="B17" s="5"/>
      <c r="C17" s="5"/>
      <c r="E17" s="6"/>
      <c r="F17" s="6"/>
      <c r="G17" s="6"/>
      <c r="H17" s="6"/>
    </row>
    <row r="18">
      <c r="A18" s="5"/>
      <c r="B18" s="5"/>
      <c r="C18" s="5"/>
      <c r="E18" s="6"/>
      <c r="F18" s="6"/>
      <c r="G18" s="6"/>
      <c r="H18" s="6"/>
    </row>
  </sheetData>
  <mergeCells count="22">
    <mergeCell ref="A1:B4"/>
    <mergeCell ref="C1:D1"/>
    <mergeCell ref="E1:E4"/>
    <mergeCell ref="F1:F4"/>
    <mergeCell ref="G1:G4"/>
    <mergeCell ref="H1:H4"/>
    <mergeCell ref="C2:D3"/>
    <mergeCell ref="C11:D11"/>
    <mergeCell ref="C12:D12"/>
    <mergeCell ref="C13:D13"/>
    <mergeCell ref="C14:D14"/>
    <mergeCell ref="C15:D15"/>
    <mergeCell ref="C16:D16"/>
    <mergeCell ref="C17:D17"/>
    <mergeCell ref="C18:D18"/>
    <mergeCell ref="C4:D4"/>
    <mergeCell ref="C5:D5"/>
    <mergeCell ref="C6:D6"/>
    <mergeCell ref="C7:D7"/>
    <mergeCell ref="C8:D8"/>
    <mergeCell ref="C9:D9"/>
    <mergeCell ref="C10:D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13"/>
    <col customWidth="1" min="2" max="2" width="34.0"/>
    <col customWidth="1" min="3" max="3" width="14.63"/>
    <col customWidth="1" min="7" max="7" width="15.25"/>
    <col customWidth="1" min="8" max="8" width="13.75"/>
    <col customWidth="1" min="9" max="17" width="14.63"/>
  </cols>
  <sheetData>
    <row r="1">
      <c r="A1" s="12" t="s">
        <v>8</v>
      </c>
      <c r="B1" s="12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5" t="s">
        <v>15</v>
      </c>
      <c r="I1" s="15" t="s">
        <v>16</v>
      </c>
      <c r="J1" s="15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>
      <c r="A3" s="17">
        <v>1.0</v>
      </c>
      <c r="B3" s="18" t="s">
        <v>25</v>
      </c>
      <c r="C3" s="19">
        <v>46023.0</v>
      </c>
      <c r="D3" s="20">
        <v>41.25</v>
      </c>
      <c r="E3" s="21">
        <v>2289.0</v>
      </c>
      <c r="F3" s="22" t="s">
        <v>26</v>
      </c>
      <c r="G3" s="23"/>
      <c r="H3" s="24">
        <v>30.0</v>
      </c>
      <c r="I3" s="24">
        <v>35.0</v>
      </c>
      <c r="J3" s="24">
        <v>36.0</v>
      </c>
      <c r="K3" s="24">
        <f>IF(H3=0,0,CAPITAL!$C$5/H3)
</f>
        <v>5000</v>
      </c>
      <c r="L3" s="24">
        <f>IF(I3=0,0,CAPITAL!$C$6/I3)
</f>
        <v>20000</v>
      </c>
      <c r="M3" s="24">
        <f>IF(J3=0,0,CAPITAL!$C$7/J3)
</f>
        <v>69444.44444</v>
      </c>
      <c r="N3" s="24">
        <f t="shared" ref="N3:N1000" si="1">K3+L3+M3</f>
        <v>94444.44444</v>
      </c>
      <c r="O3" s="24">
        <f t="shared" ref="O3:O1000" si="2">K3/N3</f>
        <v>0.05294117647</v>
      </c>
      <c r="P3" s="24">
        <f t="shared" ref="P3:P1000" si="3">L3/N3</f>
        <v>0.2117647059</v>
      </c>
      <c r="Q3" s="24">
        <f t="shared" ref="Q3:Q1000" si="4">M3/N3</f>
        <v>0.7352941176</v>
      </c>
    </row>
    <row r="4">
      <c r="A4" s="17">
        <v>2.0</v>
      </c>
      <c r="B4" s="18" t="s">
        <v>27</v>
      </c>
      <c r="C4" s="19">
        <v>46024.0</v>
      </c>
      <c r="D4" s="25">
        <v>56.85</v>
      </c>
      <c r="E4" s="26">
        <v>1661.0</v>
      </c>
      <c r="F4" s="22" t="s">
        <v>26</v>
      </c>
      <c r="G4" s="23"/>
      <c r="H4" s="24">
        <v>20.0</v>
      </c>
      <c r="I4" s="24">
        <v>35.0</v>
      </c>
      <c r="J4" s="24">
        <v>36.0</v>
      </c>
      <c r="K4" s="24">
        <f>IF(H4=0,0,CAPITAL!$C$5/H4)
</f>
        <v>7500</v>
      </c>
      <c r="L4" s="24">
        <f>IF(I4=0,0,CAPITAL!$C$6/I4)
</f>
        <v>20000</v>
      </c>
      <c r="M4" s="24">
        <f>IF(J4=0,0,CAPITAL!$C$7/J4)
</f>
        <v>69444.44444</v>
      </c>
      <c r="N4" s="24">
        <f t="shared" si="1"/>
        <v>96944.44444</v>
      </c>
      <c r="O4" s="24">
        <f t="shared" si="2"/>
        <v>0.07736389685</v>
      </c>
      <c r="P4" s="24">
        <f t="shared" si="3"/>
        <v>0.2063037249</v>
      </c>
      <c r="Q4" s="24">
        <f t="shared" si="4"/>
        <v>0.7163323782</v>
      </c>
    </row>
    <row r="5">
      <c r="A5" s="17">
        <v>3.0</v>
      </c>
      <c r="B5" s="18" t="s">
        <v>28</v>
      </c>
      <c r="C5" s="19">
        <v>46027.0</v>
      </c>
      <c r="D5" s="25">
        <v>44.71</v>
      </c>
      <c r="E5" s="26">
        <v>2112.0</v>
      </c>
      <c r="F5" s="22" t="s">
        <v>26</v>
      </c>
      <c r="G5" s="27"/>
      <c r="H5" s="24">
        <v>50.0</v>
      </c>
      <c r="I5" s="24">
        <v>70.0</v>
      </c>
      <c r="J5" s="24">
        <v>40.0</v>
      </c>
      <c r="K5" s="24">
        <f>IF(H5=0,0,CAPITAL!$C$5/H5)
</f>
        <v>3000</v>
      </c>
      <c r="L5" s="24">
        <f>IF(I5=0,0,CAPITAL!$C$6/I5)
</f>
        <v>10000</v>
      </c>
      <c r="M5" s="24">
        <f>IF(J5=0,0,CAPITAL!$C$7/J5)
</f>
        <v>62500</v>
      </c>
      <c r="N5" s="24">
        <f t="shared" si="1"/>
        <v>75500</v>
      </c>
      <c r="O5" s="24">
        <f t="shared" si="2"/>
        <v>0.03973509934</v>
      </c>
      <c r="P5" s="24">
        <f t="shared" si="3"/>
        <v>0.1324503311</v>
      </c>
      <c r="Q5" s="24">
        <f t="shared" si="4"/>
        <v>0.8278145695</v>
      </c>
    </row>
    <row r="6">
      <c r="A6" s="17">
        <v>4.0</v>
      </c>
      <c r="B6" s="18" t="s">
        <v>28</v>
      </c>
      <c r="C6" s="19">
        <v>46029.0</v>
      </c>
      <c r="D6" s="25">
        <v>45.25</v>
      </c>
      <c r="E6" s="26">
        <v>2087.0</v>
      </c>
      <c r="F6" s="22" t="s">
        <v>26</v>
      </c>
      <c r="G6" s="27"/>
      <c r="H6" s="24">
        <v>30.0</v>
      </c>
      <c r="I6" s="24">
        <v>35.0</v>
      </c>
      <c r="J6" s="24">
        <v>36.0</v>
      </c>
      <c r="K6" s="24">
        <f>IF(H6=0,0,CAPITAL!$C$5/H6)
</f>
        <v>5000</v>
      </c>
      <c r="L6" s="24">
        <f>IF(I6=0,0,CAPITAL!$C$6/I6)
</f>
        <v>20000</v>
      </c>
      <c r="M6" s="24">
        <f>IF(J6=0,0,CAPITAL!$C$7/J6)
</f>
        <v>69444.44444</v>
      </c>
      <c r="N6" s="24">
        <f t="shared" si="1"/>
        <v>94444.44444</v>
      </c>
      <c r="O6" s="24">
        <f t="shared" si="2"/>
        <v>0.05294117647</v>
      </c>
      <c r="P6" s="24">
        <f t="shared" si="3"/>
        <v>0.2117647059</v>
      </c>
      <c r="Q6" s="24">
        <f t="shared" si="4"/>
        <v>0.7352941176</v>
      </c>
    </row>
    <row r="7">
      <c r="A7" s="17">
        <v>5.0</v>
      </c>
      <c r="B7" s="18" t="s">
        <v>29</v>
      </c>
      <c r="C7" s="19">
        <v>46030.0</v>
      </c>
      <c r="D7" s="25">
        <v>224.52</v>
      </c>
      <c r="E7" s="26">
        <v>840.0</v>
      </c>
      <c r="F7" s="22">
        <v>239.2</v>
      </c>
      <c r="G7" s="19">
        <v>46034.0</v>
      </c>
      <c r="H7" s="24">
        <v>30.0</v>
      </c>
      <c r="I7" s="24">
        <v>35.0</v>
      </c>
      <c r="J7" s="24">
        <v>36.0</v>
      </c>
      <c r="K7" s="24">
        <f>IF(H7=0,0,CAPITAL!$C$5/H7)
</f>
        <v>5000</v>
      </c>
      <c r="L7" s="24">
        <f>IF(I7=0,0,CAPITAL!$C$6/I7)
</f>
        <v>20000</v>
      </c>
      <c r="M7" s="24">
        <f>IF(J7=0,0,CAPITAL!$C$7/J7)
</f>
        <v>69444.44444</v>
      </c>
      <c r="N7" s="24">
        <f t="shared" si="1"/>
        <v>94444.44444</v>
      </c>
      <c r="O7" s="24">
        <f t="shared" si="2"/>
        <v>0.05294117647</v>
      </c>
      <c r="P7" s="24">
        <f t="shared" si="3"/>
        <v>0.2117647059</v>
      </c>
      <c r="Q7" s="24">
        <f t="shared" si="4"/>
        <v>0.7352941176</v>
      </c>
    </row>
    <row r="8">
      <c r="A8" s="17">
        <v>6.0</v>
      </c>
      <c r="B8" s="18" t="s">
        <v>30</v>
      </c>
      <c r="C8" s="19">
        <v>46031.0</v>
      </c>
      <c r="D8" s="25">
        <v>501.25</v>
      </c>
      <c r="E8" s="26">
        <v>180.0</v>
      </c>
      <c r="F8" s="22">
        <v>517.3</v>
      </c>
      <c r="G8" s="28">
        <v>46034.0</v>
      </c>
      <c r="H8" s="24">
        <v>0.0</v>
      </c>
      <c r="I8" s="24">
        <v>0.0</v>
      </c>
      <c r="J8" s="24">
        <v>36.0</v>
      </c>
      <c r="K8" s="24">
        <f>IF(H8=0,0,CAPITAL!$C$5/H8)
</f>
        <v>0</v>
      </c>
      <c r="L8" s="24">
        <f>IF(I8=0,0,CAPITAL!$C$6/I8)
</f>
        <v>0</v>
      </c>
      <c r="M8" s="24">
        <f>IF(J8=0,0,CAPITAL!$C$7/J8)
</f>
        <v>69444.44444</v>
      </c>
      <c r="N8" s="24">
        <f t="shared" si="1"/>
        <v>69444.44444</v>
      </c>
      <c r="O8" s="24">
        <f t="shared" si="2"/>
        <v>0</v>
      </c>
      <c r="P8" s="24">
        <f t="shared" si="3"/>
        <v>0</v>
      </c>
      <c r="Q8" s="24">
        <f t="shared" si="4"/>
        <v>1</v>
      </c>
    </row>
    <row r="9">
      <c r="A9" s="17">
        <v>7.0</v>
      </c>
      <c r="B9" s="18" t="s">
        <v>29</v>
      </c>
      <c r="C9" s="19">
        <v>46036.0</v>
      </c>
      <c r="D9" s="25">
        <v>260.15</v>
      </c>
      <c r="E9" s="26">
        <v>269.0</v>
      </c>
      <c r="F9" s="22">
        <v>280.95</v>
      </c>
      <c r="G9" s="19">
        <v>46041.0</v>
      </c>
      <c r="H9" s="24">
        <v>0.0</v>
      </c>
      <c r="I9" s="24">
        <v>0.0</v>
      </c>
      <c r="J9" s="24">
        <v>36.0</v>
      </c>
      <c r="K9" s="24">
        <f>IF(H9=0,0,CAPITAL!$C$5/H9)
</f>
        <v>0</v>
      </c>
      <c r="L9" s="24">
        <f>IF(I9=0,0,CAPITAL!$C$6/I9)
</f>
        <v>0</v>
      </c>
      <c r="M9" s="24">
        <f>IF(J9=0,0,CAPITAL!$C$7/J9)
</f>
        <v>69444.44444</v>
      </c>
      <c r="N9" s="24">
        <f t="shared" si="1"/>
        <v>69444.44444</v>
      </c>
      <c r="O9" s="24">
        <f t="shared" si="2"/>
        <v>0</v>
      </c>
      <c r="P9" s="24">
        <f t="shared" si="3"/>
        <v>0</v>
      </c>
      <c r="Q9" s="24">
        <f t="shared" si="4"/>
        <v>1</v>
      </c>
    </row>
    <row r="10">
      <c r="A10" s="17">
        <v>8.0</v>
      </c>
      <c r="B10" s="18" t="s">
        <v>31</v>
      </c>
      <c r="C10" s="19">
        <v>46038.0</v>
      </c>
      <c r="D10" s="25">
        <v>117.5</v>
      </c>
      <c r="E10" s="26">
        <v>595.0</v>
      </c>
      <c r="F10" s="22">
        <v>122.63</v>
      </c>
      <c r="G10" s="28">
        <v>46042.0</v>
      </c>
      <c r="H10" s="24">
        <v>0.0</v>
      </c>
      <c r="I10" s="24">
        <v>0.0</v>
      </c>
      <c r="J10" s="24">
        <v>36.0</v>
      </c>
      <c r="K10" s="24">
        <f>IF(H10=0,0,CAPITAL!$C$5/H10)
</f>
        <v>0</v>
      </c>
      <c r="L10" s="24">
        <f>IF(I10=0,0,CAPITAL!$C$6/I10)
</f>
        <v>0</v>
      </c>
      <c r="M10" s="24">
        <f>IF(J10=0,0,CAPITAL!$C$7/J10)
</f>
        <v>69444.44444</v>
      </c>
      <c r="N10" s="24">
        <f t="shared" si="1"/>
        <v>69444.44444</v>
      </c>
      <c r="O10" s="24">
        <f t="shared" si="2"/>
        <v>0</v>
      </c>
      <c r="P10" s="24">
        <f t="shared" si="3"/>
        <v>0</v>
      </c>
      <c r="Q10" s="24">
        <f t="shared" si="4"/>
        <v>1</v>
      </c>
    </row>
    <row r="11">
      <c r="A11" s="17">
        <v>9.0</v>
      </c>
      <c r="B11" s="18" t="s">
        <v>29</v>
      </c>
      <c r="C11" s="19">
        <v>46038.0</v>
      </c>
      <c r="D11" s="25">
        <v>269.3</v>
      </c>
      <c r="E11" s="26">
        <v>259.0</v>
      </c>
      <c r="F11" s="22">
        <v>280.95</v>
      </c>
      <c r="G11" s="19">
        <v>46041.0</v>
      </c>
      <c r="H11" s="24">
        <v>0.0</v>
      </c>
      <c r="I11" s="24">
        <v>0.0</v>
      </c>
      <c r="J11" s="24">
        <v>36.0</v>
      </c>
      <c r="K11" s="24">
        <f>IF(H11=0,0,CAPITAL!$C$5/H11)
</f>
        <v>0</v>
      </c>
      <c r="L11" s="24">
        <f>IF(I11=0,0,CAPITAL!$C$6/I11)
</f>
        <v>0</v>
      </c>
      <c r="M11" s="24">
        <f>IF(J11=0,0,CAPITAL!$C$7/J11)
</f>
        <v>69444.44444</v>
      </c>
      <c r="N11" s="24">
        <f t="shared" si="1"/>
        <v>69444.44444</v>
      </c>
      <c r="O11" s="24">
        <f t="shared" si="2"/>
        <v>0</v>
      </c>
      <c r="P11" s="24">
        <f t="shared" si="3"/>
        <v>0</v>
      </c>
      <c r="Q11" s="24">
        <f t="shared" si="4"/>
        <v>1</v>
      </c>
    </row>
    <row r="12">
      <c r="A12" s="17">
        <v>10.0</v>
      </c>
      <c r="B12" s="18" t="s">
        <v>32</v>
      </c>
      <c r="C12" s="19">
        <v>46041.0</v>
      </c>
      <c r="D12" s="25">
        <v>292.94</v>
      </c>
      <c r="E12" s="26">
        <v>238.0</v>
      </c>
      <c r="F12" s="22">
        <v>311.85</v>
      </c>
      <c r="G12" s="28">
        <v>46042.0</v>
      </c>
      <c r="H12" s="24">
        <v>0.0</v>
      </c>
      <c r="I12" s="24">
        <v>0.0</v>
      </c>
      <c r="J12" s="24">
        <v>36.0</v>
      </c>
      <c r="K12" s="24">
        <f>IF(H12=0,0,CAPITAL!$C$5/H12)
</f>
        <v>0</v>
      </c>
      <c r="L12" s="24">
        <f>IF(I12=0,0,CAPITAL!$C$6/I12)
</f>
        <v>0</v>
      </c>
      <c r="M12" s="24">
        <f>IF(J12=0,0,CAPITAL!$C$7/J12)
</f>
        <v>69444.44444</v>
      </c>
      <c r="N12" s="24">
        <f t="shared" si="1"/>
        <v>69444.44444</v>
      </c>
      <c r="O12" s="24">
        <f t="shared" si="2"/>
        <v>0</v>
      </c>
      <c r="P12" s="24">
        <f t="shared" si="3"/>
        <v>0</v>
      </c>
      <c r="Q12" s="24">
        <f t="shared" si="4"/>
        <v>1</v>
      </c>
    </row>
    <row r="13">
      <c r="A13" s="17">
        <v>11.0</v>
      </c>
      <c r="B13" s="18" t="s">
        <v>33</v>
      </c>
      <c r="C13" s="19">
        <v>46042.0</v>
      </c>
      <c r="D13" s="25">
        <v>148.5</v>
      </c>
      <c r="E13" s="26">
        <v>473.0</v>
      </c>
      <c r="F13" s="22">
        <v>158.07</v>
      </c>
      <c r="G13" s="19">
        <v>46043.0</v>
      </c>
      <c r="H13" s="24">
        <v>0.0</v>
      </c>
      <c r="I13" s="24">
        <v>0.0</v>
      </c>
      <c r="J13" s="24">
        <v>36.0</v>
      </c>
      <c r="K13" s="24">
        <f>IF(H13=0,0,CAPITAL!$C$5/H13)
</f>
        <v>0</v>
      </c>
      <c r="L13" s="24">
        <f>IF(I13=0,0,CAPITAL!$C$6/I13)
</f>
        <v>0</v>
      </c>
      <c r="M13" s="24">
        <f>IF(J13=0,0,CAPITAL!$C$7/J13)
</f>
        <v>69444.44444</v>
      </c>
      <c r="N13" s="24">
        <f t="shared" si="1"/>
        <v>69444.44444</v>
      </c>
      <c r="O13" s="24">
        <f t="shared" si="2"/>
        <v>0</v>
      </c>
      <c r="P13" s="24">
        <f t="shared" si="3"/>
        <v>0</v>
      </c>
      <c r="Q13" s="24">
        <f t="shared" si="4"/>
        <v>1</v>
      </c>
    </row>
    <row r="14">
      <c r="A14" s="17">
        <v>12.0</v>
      </c>
      <c r="B14" s="18" t="s">
        <v>34</v>
      </c>
      <c r="C14" s="19">
        <v>46042.0</v>
      </c>
      <c r="D14" s="25">
        <v>326.44</v>
      </c>
      <c r="E14" s="26">
        <v>522.0</v>
      </c>
      <c r="F14" s="22" t="s">
        <v>26</v>
      </c>
      <c r="G14" s="27"/>
      <c r="H14" s="24">
        <v>0.0</v>
      </c>
      <c r="I14" s="24">
        <v>0.0</v>
      </c>
      <c r="J14" s="24">
        <v>36.0</v>
      </c>
      <c r="K14" s="24">
        <f>IF(H14=0,0,CAPITAL!$C$5/H14)
</f>
        <v>0</v>
      </c>
      <c r="L14" s="24">
        <f>IF(I14=0,0,CAPITAL!$C$6/I14)
</f>
        <v>0</v>
      </c>
      <c r="M14" s="24">
        <f>IF(J14=0,0,CAPITAL!$C$7/J14)
</f>
        <v>69444.44444</v>
      </c>
      <c r="N14" s="24">
        <f t="shared" si="1"/>
        <v>69444.44444</v>
      </c>
      <c r="O14" s="24">
        <f t="shared" si="2"/>
        <v>0</v>
      </c>
      <c r="P14" s="24">
        <f t="shared" si="3"/>
        <v>0</v>
      </c>
      <c r="Q14" s="24">
        <f t="shared" si="4"/>
        <v>1</v>
      </c>
    </row>
    <row r="15">
      <c r="A15" s="17">
        <v>13.0</v>
      </c>
      <c r="B15" s="18" t="s">
        <v>29</v>
      </c>
      <c r="C15" s="19">
        <v>46043.0</v>
      </c>
      <c r="D15" s="25">
        <v>304.57</v>
      </c>
      <c r="E15" s="26">
        <v>473.0</v>
      </c>
      <c r="F15" s="22">
        <v>315.56</v>
      </c>
      <c r="G15" s="19">
        <v>46049.0</v>
      </c>
      <c r="H15" s="24">
        <v>0.0</v>
      </c>
      <c r="I15" s="24">
        <v>0.0</v>
      </c>
      <c r="J15" s="24">
        <v>36.0</v>
      </c>
      <c r="K15" s="24">
        <f>IF(H15=0,0,CAPITAL!$C$5/H15)
</f>
        <v>0</v>
      </c>
      <c r="L15" s="24">
        <f>IF(I15=0,0,CAPITAL!$C$6/I15)
</f>
        <v>0</v>
      </c>
      <c r="M15" s="24">
        <f>IF(J15=0,0,CAPITAL!$C$7/J15)
</f>
        <v>69444.44444</v>
      </c>
      <c r="N15" s="24">
        <f t="shared" si="1"/>
        <v>69444.44444</v>
      </c>
      <c r="O15" s="24">
        <f t="shared" si="2"/>
        <v>0</v>
      </c>
      <c r="P15" s="24">
        <f t="shared" si="3"/>
        <v>0</v>
      </c>
      <c r="Q15" s="24">
        <f t="shared" si="4"/>
        <v>1</v>
      </c>
    </row>
    <row r="16">
      <c r="A16" s="17">
        <v>14.0</v>
      </c>
      <c r="B16" s="18" t="s">
        <v>34</v>
      </c>
      <c r="C16" s="19">
        <v>46044.0</v>
      </c>
      <c r="D16" s="25">
        <v>295.2</v>
      </c>
      <c r="E16" s="26">
        <v>237.0</v>
      </c>
      <c r="F16" s="22" t="s">
        <v>26</v>
      </c>
      <c r="G16" s="27"/>
      <c r="H16" s="24">
        <v>0.0</v>
      </c>
      <c r="I16" s="24">
        <v>0.0</v>
      </c>
      <c r="J16" s="24">
        <v>36.0</v>
      </c>
      <c r="K16" s="24">
        <f>IF(H16=0,0,CAPITAL!$C$5/H16)
</f>
        <v>0</v>
      </c>
      <c r="L16" s="24">
        <f>IF(I16=0,0,CAPITAL!$C$6/I16)
</f>
        <v>0</v>
      </c>
      <c r="M16" s="24">
        <f>IF(J16=0,0,CAPITAL!$C$7/J16)
</f>
        <v>69444.44444</v>
      </c>
      <c r="N16" s="24">
        <f t="shared" si="1"/>
        <v>69444.44444</v>
      </c>
      <c r="O16" s="24">
        <f t="shared" si="2"/>
        <v>0</v>
      </c>
      <c r="P16" s="24">
        <f t="shared" si="3"/>
        <v>0</v>
      </c>
      <c r="Q16" s="24">
        <f t="shared" si="4"/>
        <v>1</v>
      </c>
    </row>
    <row r="17">
      <c r="A17" s="17">
        <v>15.0</v>
      </c>
      <c r="B17" s="18" t="s">
        <v>29</v>
      </c>
      <c r="C17" s="19">
        <v>46044.0</v>
      </c>
      <c r="D17" s="25">
        <v>271.82</v>
      </c>
      <c r="E17" s="26">
        <v>257.0</v>
      </c>
      <c r="F17" s="22">
        <v>315.56</v>
      </c>
      <c r="G17" s="19">
        <v>46049.0</v>
      </c>
      <c r="H17" s="24">
        <v>0.0</v>
      </c>
      <c r="I17" s="24">
        <v>0.0</v>
      </c>
      <c r="J17" s="24">
        <v>36.0</v>
      </c>
      <c r="K17" s="24">
        <f>IF(H17=0,0,CAPITAL!$C$5/H17)
</f>
        <v>0</v>
      </c>
      <c r="L17" s="24">
        <f>IF(I17=0,0,CAPITAL!$C$6/I17)
</f>
        <v>0</v>
      </c>
      <c r="M17" s="24">
        <f>IF(J17=0,0,CAPITAL!$C$7/J17)
</f>
        <v>69444.44444</v>
      </c>
      <c r="N17" s="24">
        <f t="shared" si="1"/>
        <v>69444.44444</v>
      </c>
      <c r="O17" s="24">
        <f t="shared" si="2"/>
        <v>0</v>
      </c>
      <c r="P17" s="24">
        <f t="shared" si="3"/>
        <v>0</v>
      </c>
      <c r="Q17" s="24">
        <f t="shared" si="4"/>
        <v>1</v>
      </c>
    </row>
    <row r="18">
      <c r="A18" s="17">
        <v>16.0</v>
      </c>
      <c r="B18" s="18" t="s">
        <v>29</v>
      </c>
      <c r="C18" s="29"/>
      <c r="D18" s="25"/>
      <c r="E18" s="26"/>
      <c r="F18" s="22"/>
      <c r="G18" s="27"/>
      <c r="H18" s="24">
        <v>0.0</v>
      </c>
      <c r="I18" s="24">
        <v>0.0</v>
      </c>
      <c r="J18" s="24">
        <v>36.0</v>
      </c>
      <c r="K18" s="24">
        <f>IF(H18=0,0,CAPITAL!$C$5/H18)
</f>
        <v>0</v>
      </c>
      <c r="L18" s="24">
        <f>IF(I18=0,0,CAPITAL!$C$6/I18)
</f>
        <v>0</v>
      </c>
      <c r="M18" s="24">
        <f>IF(J18=0,0,CAPITAL!$C$7/J18)
</f>
        <v>69444.44444</v>
      </c>
      <c r="N18" s="24">
        <f t="shared" si="1"/>
        <v>69444.44444</v>
      </c>
      <c r="O18" s="24">
        <f t="shared" si="2"/>
        <v>0</v>
      </c>
      <c r="P18" s="24">
        <f t="shared" si="3"/>
        <v>0</v>
      </c>
      <c r="Q18" s="24">
        <f t="shared" si="4"/>
        <v>1</v>
      </c>
    </row>
    <row r="19">
      <c r="A19" s="17">
        <v>17.0</v>
      </c>
      <c r="B19" s="18" t="s">
        <v>29</v>
      </c>
      <c r="C19" s="29"/>
      <c r="D19" s="25"/>
      <c r="E19" s="26"/>
      <c r="F19" s="22"/>
      <c r="G19" s="27"/>
      <c r="H19" s="24">
        <v>0.0</v>
      </c>
      <c r="I19" s="24">
        <v>0.0</v>
      </c>
      <c r="J19" s="24">
        <v>36.0</v>
      </c>
      <c r="K19" s="24">
        <f>IF(H19=0,0,CAPITAL!$C$5/H19)
</f>
        <v>0</v>
      </c>
      <c r="L19" s="24">
        <f>IF(I19=0,0,CAPITAL!$C$6/I19)
</f>
        <v>0</v>
      </c>
      <c r="M19" s="24">
        <f>IF(J19=0,0,CAPITAL!$C$7/J19)
</f>
        <v>69444.44444</v>
      </c>
      <c r="N19" s="24">
        <f t="shared" si="1"/>
        <v>69444.44444</v>
      </c>
      <c r="O19" s="24">
        <f t="shared" si="2"/>
        <v>0</v>
      </c>
      <c r="P19" s="24">
        <f t="shared" si="3"/>
        <v>0</v>
      </c>
      <c r="Q19" s="24">
        <f t="shared" si="4"/>
        <v>1</v>
      </c>
    </row>
    <row r="20">
      <c r="A20" s="17">
        <v>18.0</v>
      </c>
      <c r="B20" s="18" t="s">
        <v>29</v>
      </c>
      <c r="C20" s="29"/>
      <c r="D20" s="25"/>
      <c r="E20" s="26"/>
      <c r="F20" s="22"/>
      <c r="G20" s="27"/>
      <c r="H20" s="24">
        <v>0.0</v>
      </c>
      <c r="I20" s="24">
        <v>35.0</v>
      </c>
      <c r="J20" s="24">
        <v>36.0</v>
      </c>
      <c r="K20" s="24">
        <f>IF(H20=0,0,CAPITAL!$C$5/H20)
</f>
        <v>0</v>
      </c>
      <c r="L20" s="24">
        <f>IF(I20=0,0,CAPITAL!$C$6/I20)
</f>
        <v>20000</v>
      </c>
      <c r="M20" s="24">
        <f>IF(J20=0,0,CAPITAL!$C$7/J20)
</f>
        <v>69444.44444</v>
      </c>
      <c r="N20" s="24">
        <f t="shared" si="1"/>
        <v>89444.44444</v>
      </c>
      <c r="O20" s="24">
        <f t="shared" si="2"/>
        <v>0</v>
      </c>
      <c r="P20" s="24">
        <f t="shared" si="3"/>
        <v>0.2236024845</v>
      </c>
      <c r="Q20" s="24">
        <f t="shared" si="4"/>
        <v>0.7763975155</v>
      </c>
    </row>
    <row r="21">
      <c r="A21" s="17">
        <v>19.0</v>
      </c>
      <c r="B21" s="18" t="s">
        <v>29</v>
      </c>
      <c r="C21" s="29"/>
      <c r="D21" s="25"/>
      <c r="E21" s="26"/>
      <c r="F21" s="22"/>
      <c r="G21" s="27"/>
      <c r="H21" s="24">
        <v>30.0</v>
      </c>
      <c r="I21" s="24">
        <v>35.0</v>
      </c>
      <c r="J21" s="24">
        <v>36.0</v>
      </c>
      <c r="K21" s="24">
        <f>IF(H21=0,0,CAPITAL!$C$5/H21)
</f>
        <v>5000</v>
      </c>
      <c r="L21" s="24">
        <f>IF(I21=0,0,CAPITAL!$C$6/I21)
</f>
        <v>20000</v>
      </c>
      <c r="M21" s="24">
        <f>IF(J21=0,0,CAPITAL!$C$7/J21)
</f>
        <v>69444.44444</v>
      </c>
      <c r="N21" s="24">
        <f t="shared" si="1"/>
        <v>94444.44444</v>
      </c>
      <c r="O21" s="24">
        <f t="shared" si="2"/>
        <v>0.05294117647</v>
      </c>
      <c r="P21" s="24">
        <f t="shared" si="3"/>
        <v>0.2117647059</v>
      </c>
      <c r="Q21" s="24">
        <f t="shared" si="4"/>
        <v>0.7352941176</v>
      </c>
    </row>
    <row r="22">
      <c r="A22" s="17">
        <v>20.0</v>
      </c>
      <c r="B22" s="18" t="s">
        <v>29</v>
      </c>
      <c r="C22" s="29"/>
      <c r="D22" s="25"/>
      <c r="E22" s="26"/>
      <c r="F22" s="22"/>
      <c r="G22" s="27"/>
      <c r="H22" s="24">
        <v>30.0</v>
      </c>
      <c r="I22" s="24">
        <v>35.0</v>
      </c>
      <c r="J22" s="24">
        <v>36.0</v>
      </c>
      <c r="K22" s="24">
        <f>IF(H22=0,0,CAPITAL!$C$5/H22)
</f>
        <v>5000</v>
      </c>
      <c r="L22" s="24">
        <f>IF(I22=0,0,CAPITAL!$C$6/I22)
</f>
        <v>20000</v>
      </c>
      <c r="M22" s="24">
        <f>IF(J22=0,0,CAPITAL!$C$7/J22)
</f>
        <v>69444.44444</v>
      </c>
      <c r="N22" s="24">
        <f t="shared" si="1"/>
        <v>94444.44444</v>
      </c>
      <c r="O22" s="24">
        <f t="shared" si="2"/>
        <v>0.05294117647</v>
      </c>
      <c r="P22" s="24">
        <f t="shared" si="3"/>
        <v>0.2117647059</v>
      </c>
      <c r="Q22" s="24">
        <f t="shared" si="4"/>
        <v>0.7352941176</v>
      </c>
    </row>
    <row r="23">
      <c r="A23" s="17">
        <v>21.0</v>
      </c>
      <c r="B23" s="18" t="s">
        <v>29</v>
      </c>
      <c r="C23" s="29"/>
      <c r="D23" s="25"/>
      <c r="E23" s="26"/>
      <c r="F23" s="22"/>
      <c r="G23" s="27"/>
      <c r="H23" s="24">
        <v>30.0</v>
      </c>
      <c r="I23" s="24">
        <v>35.0</v>
      </c>
      <c r="J23" s="24">
        <v>36.0</v>
      </c>
      <c r="K23" s="24">
        <f>IF(H23=0,0,CAPITAL!$C$5/H23)
</f>
        <v>5000</v>
      </c>
      <c r="L23" s="24">
        <f>IF(I23=0,0,CAPITAL!$C$6/I23)
</f>
        <v>20000</v>
      </c>
      <c r="M23" s="24">
        <f>IF(J23=0,0,CAPITAL!$C$7/J23)
</f>
        <v>69444.44444</v>
      </c>
      <c r="N23" s="24">
        <f t="shared" si="1"/>
        <v>94444.44444</v>
      </c>
      <c r="O23" s="24">
        <f t="shared" si="2"/>
        <v>0.05294117647</v>
      </c>
      <c r="P23" s="24">
        <f t="shared" si="3"/>
        <v>0.2117647059</v>
      </c>
      <c r="Q23" s="24">
        <f t="shared" si="4"/>
        <v>0.7352941176</v>
      </c>
    </row>
    <row r="24">
      <c r="A24" s="17">
        <v>22.0</v>
      </c>
      <c r="B24" s="18" t="s">
        <v>29</v>
      </c>
      <c r="C24" s="29"/>
      <c r="D24" s="25"/>
      <c r="E24" s="26"/>
      <c r="F24" s="22"/>
      <c r="G24" s="27"/>
      <c r="H24" s="24">
        <v>30.0</v>
      </c>
      <c r="I24" s="24">
        <v>35.0</v>
      </c>
      <c r="J24" s="24">
        <v>36.0</v>
      </c>
      <c r="K24" s="24">
        <f>IF(H24=0,0,CAPITAL!$C$5/H24)
</f>
        <v>5000</v>
      </c>
      <c r="L24" s="24">
        <f>IF(I24=0,0,CAPITAL!$C$6/I24)
</f>
        <v>20000</v>
      </c>
      <c r="M24" s="24">
        <f>IF(J24=0,0,CAPITAL!$C$7/J24)
</f>
        <v>69444.44444</v>
      </c>
      <c r="N24" s="24">
        <f t="shared" si="1"/>
        <v>94444.44444</v>
      </c>
      <c r="O24" s="24">
        <f t="shared" si="2"/>
        <v>0.05294117647</v>
      </c>
      <c r="P24" s="24">
        <f t="shared" si="3"/>
        <v>0.2117647059</v>
      </c>
      <c r="Q24" s="24">
        <f t="shared" si="4"/>
        <v>0.7352941176</v>
      </c>
    </row>
    <row r="25">
      <c r="A25" s="17">
        <v>23.0</v>
      </c>
      <c r="B25" s="18" t="s">
        <v>29</v>
      </c>
      <c r="C25" s="29"/>
      <c r="D25" s="25"/>
      <c r="E25" s="26"/>
      <c r="F25" s="22"/>
      <c r="G25" s="27"/>
      <c r="H25" s="24">
        <v>30.0</v>
      </c>
      <c r="I25" s="24">
        <v>35.0</v>
      </c>
      <c r="J25" s="24">
        <v>36.0</v>
      </c>
      <c r="K25" s="24">
        <f>IF(H25=0,0,CAPITAL!$C$5/H25)
</f>
        <v>5000</v>
      </c>
      <c r="L25" s="24">
        <f>IF(I25=0,0,CAPITAL!$C$6/I25)
</f>
        <v>20000</v>
      </c>
      <c r="M25" s="24">
        <f>IF(J25=0,0,CAPITAL!$C$7/J25)
</f>
        <v>69444.44444</v>
      </c>
      <c r="N25" s="24">
        <f t="shared" si="1"/>
        <v>94444.44444</v>
      </c>
      <c r="O25" s="24">
        <f t="shared" si="2"/>
        <v>0.05294117647</v>
      </c>
      <c r="P25" s="24">
        <f t="shared" si="3"/>
        <v>0.2117647059</v>
      </c>
      <c r="Q25" s="24">
        <f t="shared" si="4"/>
        <v>0.7352941176</v>
      </c>
    </row>
    <row r="26">
      <c r="A26" s="17">
        <v>24.0</v>
      </c>
      <c r="B26" s="18" t="s">
        <v>29</v>
      </c>
      <c r="C26" s="29"/>
      <c r="D26" s="25"/>
      <c r="E26" s="26"/>
      <c r="F26" s="22"/>
      <c r="G26" s="27"/>
      <c r="H26" s="24">
        <v>30.0</v>
      </c>
      <c r="I26" s="24">
        <v>35.0</v>
      </c>
      <c r="J26" s="24">
        <v>36.0</v>
      </c>
      <c r="K26" s="24">
        <f>IF(H26=0,0,CAPITAL!$C$5/H26)
</f>
        <v>5000</v>
      </c>
      <c r="L26" s="24">
        <f>IF(I26=0,0,CAPITAL!$C$6/I26)
</f>
        <v>20000</v>
      </c>
      <c r="M26" s="24">
        <f>IF(J26=0,0,CAPITAL!$C$7/J26)
</f>
        <v>69444.44444</v>
      </c>
      <c r="N26" s="24">
        <f t="shared" si="1"/>
        <v>94444.44444</v>
      </c>
      <c r="O26" s="24">
        <f t="shared" si="2"/>
        <v>0.05294117647</v>
      </c>
      <c r="P26" s="24">
        <f t="shared" si="3"/>
        <v>0.2117647059</v>
      </c>
      <c r="Q26" s="24">
        <f t="shared" si="4"/>
        <v>0.7352941176</v>
      </c>
    </row>
    <row r="27">
      <c r="A27" s="17">
        <v>25.0</v>
      </c>
      <c r="B27" s="18" t="s">
        <v>29</v>
      </c>
      <c r="C27" s="29"/>
      <c r="D27" s="25"/>
      <c r="E27" s="26"/>
      <c r="F27" s="22"/>
      <c r="G27" s="27"/>
      <c r="H27" s="24">
        <v>30.0</v>
      </c>
      <c r="I27" s="24">
        <v>35.0</v>
      </c>
      <c r="J27" s="24">
        <v>36.0</v>
      </c>
      <c r="K27" s="24">
        <f>IF(H27=0,0,CAPITAL!$C$5/H27)
</f>
        <v>5000</v>
      </c>
      <c r="L27" s="24">
        <f>IF(I27=0,0,CAPITAL!$C$6/I27)
</f>
        <v>20000</v>
      </c>
      <c r="M27" s="24">
        <f>IF(J27=0,0,CAPITAL!$C$7/J27)
</f>
        <v>69444.44444</v>
      </c>
      <c r="N27" s="24">
        <f t="shared" si="1"/>
        <v>94444.44444</v>
      </c>
      <c r="O27" s="24">
        <f t="shared" si="2"/>
        <v>0.05294117647</v>
      </c>
      <c r="P27" s="24">
        <f t="shared" si="3"/>
        <v>0.2117647059</v>
      </c>
      <c r="Q27" s="24">
        <f t="shared" si="4"/>
        <v>0.7352941176</v>
      </c>
    </row>
    <row r="28">
      <c r="A28" s="17">
        <v>26.0</v>
      </c>
      <c r="B28" s="18" t="s">
        <v>29</v>
      </c>
      <c r="C28" s="29"/>
      <c r="D28" s="25"/>
      <c r="E28" s="26"/>
      <c r="F28" s="22"/>
      <c r="G28" s="27"/>
      <c r="H28" s="24">
        <v>30.0</v>
      </c>
      <c r="I28" s="24">
        <v>35.0</v>
      </c>
      <c r="J28" s="24">
        <v>36.0</v>
      </c>
      <c r="K28" s="24">
        <f>IF(H28=0,0,CAPITAL!$C$5/H28)
</f>
        <v>5000</v>
      </c>
      <c r="L28" s="24">
        <f>IF(I28=0,0,CAPITAL!$C$6/I28)
</f>
        <v>20000</v>
      </c>
      <c r="M28" s="24">
        <f>IF(J28=0,0,CAPITAL!$C$7/J28)
</f>
        <v>69444.44444</v>
      </c>
      <c r="N28" s="24">
        <f t="shared" si="1"/>
        <v>94444.44444</v>
      </c>
      <c r="O28" s="24">
        <f t="shared" si="2"/>
        <v>0.05294117647</v>
      </c>
      <c r="P28" s="24">
        <f t="shared" si="3"/>
        <v>0.2117647059</v>
      </c>
      <c r="Q28" s="24">
        <f t="shared" si="4"/>
        <v>0.7352941176</v>
      </c>
    </row>
    <row r="29">
      <c r="A29" s="17">
        <v>27.0</v>
      </c>
      <c r="B29" s="18" t="s">
        <v>29</v>
      </c>
      <c r="C29" s="29"/>
      <c r="D29" s="25"/>
      <c r="E29" s="26"/>
      <c r="F29" s="22"/>
      <c r="G29" s="27"/>
      <c r="H29" s="24">
        <v>30.0</v>
      </c>
      <c r="I29" s="24">
        <v>35.0</v>
      </c>
      <c r="J29" s="24">
        <v>36.0</v>
      </c>
      <c r="K29" s="24">
        <f>IF(H29=0,0,CAPITAL!$C$5/H29)
</f>
        <v>5000</v>
      </c>
      <c r="L29" s="24">
        <f>IF(I29=0,0,CAPITAL!$C$6/I29)
</f>
        <v>20000</v>
      </c>
      <c r="M29" s="24">
        <f>IF(J29=0,0,CAPITAL!$C$7/J29)
</f>
        <v>69444.44444</v>
      </c>
      <c r="N29" s="24">
        <f t="shared" si="1"/>
        <v>94444.44444</v>
      </c>
      <c r="O29" s="24">
        <f t="shared" si="2"/>
        <v>0.05294117647</v>
      </c>
      <c r="P29" s="24">
        <f t="shared" si="3"/>
        <v>0.2117647059</v>
      </c>
      <c r="Q29" s="24">
        <f t="shared" si="4"/>
        <v>0.7352941176</v>
      </c>
    </row>
    <row r="30">
      <c r="A30" s="17">
        <v>28.0</v>
      </c>
      <c r="B30" s="18" t="s">
        <v>29</v>
      </c>
      <c r="C30" s="29"/>
      <c r="D30" s="25"/>
      <c r="E30" s="26"/>
      <c r="F30" s="22"/>
      <c r="G30" s="27"/>
      <c r="H30" s="24">
        <v>30.0</v>
      </c>
      <c r="I30" s="24">
        <v>35.0</v>
      </c>
      <c r="J30" s="24">
        <v>36.0</v>
      </c>
      <c r="K30" s="24">
        <f>IF(H30=0,0,CAPITAL!$C$5/H30)
</f>
        <v>5000</v>
      </c>
      <c r="L30" s="24">
        <f>IF(I30=0,0,CAPITAL!$C$6/I30)
</f>
        <v>20000</v>
      </c>
      <c r="M30" s="24">
        <f>IF(J30=0,0,CAPITAL!$C$7/J30)
</f>
        <v>69444.44444</v>
      </c>
      <c r="N30" s="24">
        <f t="shared" si="1"/>
        <v>94444.44444</v>
      </c>
      <c r="O30" s="24">
        <f t="shared" si="2"/>
        <v>0.05294117647</v>
      </c>
      <c r="P30" s="24">
        <f t="shared" si="3"/>
        <v>0.2117647059</v>
      </c>
      <c r="Q30" s="24">
        <f t="shared" si="4"/>
        <v>0.7352941176</v>
      </c>
    </row>
    <row r="31">
      <c r="A31" s="17">
        <v>29.0</v>
      </c>
      <c r="B31" s="18" t="s">
        <v>29</v>
      </c>
      <c r="C31" s="29"/>
      <c r="D31" s="25"/>
      <c r="E31" s="26"/>
      <c r="F31" s="22"/>
      <c r="G31" s="27"/>
      <c r="H31" s="24">
        <v>30.0</v>
      </c>
      <c r="I31" s="24">
        <v>35.0</v>
      </c>
      <c r="J31" s="24">
        <v>36.0</v>
      </c>
      <c r="K31" s="24">
        <f>IF(H31=0,0,CAPITAL!$C$5/H31)
</f>
        <v>5000</v>
      </c>
      <c r="L31" s="24">
        <f>IF(I31=0,0,CAPITAL!$C$6/I31)
</f>
        <v>20000</v>
      </c>
      <c r="M31" s="24">
        <f>IF(J31=0,0,CAPITAL!$C$7/J31)
</f>
        <v>69444.44444</v>
      </c>
      <c r="N31" s="24">
        <f t="shared" si="1"/>
        <v>94444.44444</v>
      </c>
      <c r="O31" s="24">
        <f t="shared" si="2"/>
        <v>0.05294117647</v>
      </c>
      <c r="P31" s="24">
        <f t="shared" si="3"/>
        <v>0.2117647059</v>
      </c>
      <c r="Q31" s="24">
        <f t="shared" si="4"/>
        <v>0.7352941176</v>
      </c>
    </row>
    <row r="32">
      <c r="A32" s="17">
        <v>30.0</v>
      </c>
      <c r="B32" s="18" t="s">
        <v>29</v>
      </c>
      <c r="C32" s="29"/>
      <c r="D32" s="25"/>
      <c r="E32" s="26"/>
      <c r="F32" s="22"/>
      <c r="G32" s="27"/>
      <c r="H32" s="24">
        <v>30.0</v>
      </c>
      <c r="I32" s="24">
        <v>35.0</v>
      </c>
      <c r="J32" s="24">
        <v>36.0</v>
      </c>
      <c r="K32" s="24">
        <f>IF(H32=0,0,CAPITAL!$C$5/H32)
</f>
        <v>5000</v>
      </c>
      <c r="L32" s="24">
        <f>IF(I32=0,0,CAPITAL!$C$6/I32)
</f>
        <v>20000</v>
      </c>
      <c r="M32" s="24">
        <f>IF(J32=0,0,CAPITAL!$C$7/J32)
</f>
        <v>69444.44444</v>
      </c>
      <c r="N32" s="24">
        <f t="shared" si="1"/>
        <v>94444.44444</v>
      </c>
      <c r="O32" s="24">
        <f t="shared" si="2"/>
        <v>0.05294117647</v>
      </c>
      <c r="P32" s="24">
        <f t="shared" si="3"/>
        <v>0.2117647059</v>
      </c>
      <c r="Q32" s="24">
        <f t="shared" si="4"/>
        <v>0.7352941176</v>
      </c>
    </row>
    <row r="33">
      <c r="A33" s="17">
        <v>31.0</v>
      </c>
      <c r="B33" s="18" t="s">
        <v>29</v>
      </c>
      <c r="C33" s="29"/>
      <c r="D33" s="25"/>
      <c r="E33" s="26"/>
      <c r="F33" s="22"/>
      <c r="G33" s="27"/>
      <c r="H33" s="24">
        <v>30.0</v>
      </c>
      <c r="I33" s="24">
        <v>35.0</v>
      </c>
      <c r="J33" s="24">
        <v>36.0</v>
      </c>
      <c r="K33" s="24">
        <f>IF(H33=0,0,CAPITAL!$C$5/H33)
</f>
        <v>5000</v>
      </c>
      <c r="L33" s="24">
        <f>IF(I33=0,0,CAPITAL!$C$6/I33)
</f>
        <v>20000</v>
      </c>
      <c r="M33" s="24">
        <f>IF(J33=0,0,CAPITAL!$C$7/J33)
</f>
        <v>69444.44444</v>
      </c>
      <c r="N33" s="24">
        <f t="shared" si="1"/>
        <v>94444.44444</v>
      </c>
      <c r="O33" s="24">
        <f t="shared" si="2"/>
        <v>0.05294117647</v>
      </c>
      <c r="P33" s="24">
        <f t="shared" si="3"/>
        <v>0.2117647059</v>
      </c>
      <c r="Q33" s="24">
        <f t="shared" si="4"/>
        <v>0.7352941176</v>
      </c>
    </row>
    <row r="34">
      <c r="A34" s="17">
        <v>32.0</v>
      </c>
      <c r="B34" s="18" t="s">
        <v>29</v>
      </c>
      <c r="C34" s="29"/>
      <c r="D34" s="25"/>
      <c r="E34" s="26"/>
      <c r="F34" s="22"/>
      <c r="G34" s="27"/>
      <c r="H34" s="24">
        <v>30.0</v>
      </c>
      <c r="I34" s="24">
        <v>35.0</v>
      </c>
      <c r="J34" s="24">
        <v>36.0</v>
      </c>
      <c r="K34" s="24">
        <f>IF(H34=0,0,CAPITAL!$C$5/H34)
</f>
        <v>5000</v>
      </c>
      <c r="L34" s="24">
        <f>IF(I34=0,0,CAPITAL!$C$6/I34)
</f>
        <v>20000</v>
      </c>
      <c r="M34" s="24">
        <f>IF(J34=0,0,CAPITAL!$C$7/J34)
</f>
        <v>69444.44444</v>
      </c>
      <c r="N34" s="24">
        <f t="shared" si="1"/>
        <v>94444.44444</v>
      </c>
      <c r="O34" s="24">
        <f t="shared" si="2"/>
        <v>0.05294117647</v>
      </c>
      <c r="P34" s="24">
        <f t="shared" si="3"/>
        <v>0.2117647059</v>
      </c>
      <c r="Q34" s="24">
        <f t="shared" si="4"/>
        <v>0.7352941176</v>
      </c>
    </row>
    <row r="35">
      <c r="A35" s="17">
        <v>33.0</v>
      </c>
      <c r="B35" s="18" t="s">
        <v>29</v>
      </c>
      <c r="C35" s="29"/>
      <c r="D35" s="25"/>
      <c r="E35" s="26"/>
      <c r="F35" s="22"/>
      <c r="G35" s="27"/>
      <c r="H35" s="24">
        <v>30.0</v>
      </c>
      <c r="I35" s="24">
        <v>35.0</v>
      </c>
      <c r="J35" s="24">
        <v>36.0</v>
      </c>
      <c r="K35" s="24">
        <f>IF(H35=0,0,CAPITAL!$C$5/H35)
</f>
        <v>5000</v>
      </c>
      <c r="L35" s="24">
        <f>IF(I35=0,0,CAPITAL!$C$6/I35)
</f>
        <v>20000</v>
      </c>
      <c r="M35" s="24">
        <f>IF(J35=0,0,CAPITAL!$C$7/J35)
</f>
        <v>69444.44444</v>
      </c>
      <c r="N35" s="24">
        <f t="shared" si="1"/>
        <v>94444.44444</v>
      </c>
      <c r="O35" s="24">
        <f t="shared" si="2"/>
        <v>0.05294117647</v>
      </c>
      <c r="P35" s="24">
        <f t="shared" si="3"/>
        <v>0.2117647059</v>
      </c>
      <c r="Q35" s="24">
        <f t="shared" si="4"/>
        <v>0.7352941176</v>
      </c>
    </row>
    <row r="36">
      <c r="A36" s="17">
        <v>34.0</v>
      </c>
      <c r="B36" s="18" t="s">
        <v>29</v>
      </c>
      <c r="C36" s="29"/>
      <c r="D36" s="25"/>
      <c r="E36" s="26"/>
      <c r="F36" s="22"/>
      <c r="G36" s="27"/>
      <c r="H36" s="24">
        <v>30.0</v>
      </c>
      <c r="I36" s="24">
        <v>35.0</v>
      </c>
      <c r="J36" s="24">
        <v>36.0</v>
      </c>
      <c r="K36" s="24">
        <f>IF(H36=0,0,CAPITAL!$C$5/H36)
</f>
        <v>5000</v>
      </c>
      <c r="L36" s="24">
        <f>IF(I36=0,0,CAPITAL!$C$6/I36)
</f>
        <v>20000</v>
      </c>
      <c r="M36" s="24">
        <f>IF(J36=0,0,CAPITAL!$C$7/J36)
</f>
        <v>69444.44444</v>
      </c>
      <c r="N36" s="24">
        <f t="shared" si="1"/>
        <v>94444.44444</v>
      </c>
      <c r="O36" s="24">
        <f t="shared" si="2"/>
        <v>0.05294117647</v>
      </c>
      <c r="P36" s="24">
        <f t="shared" si="3"/>
        <v>0.2117647059</v>
      </c>
      <c r="Q36" s="24">
        <f t="shared" si="4"/>
        <v>0.7352941176</v>
      </c>
    </row>
    <row r="37">
      <c r="A37" s="17">
        <v>35.0</v>
      </c>
      <c r="B37" s="18" t="s">
        <v>29</v>
      </c>
      <c r="C37" s="29"/>
      <c r="D37" s="25"/>
      <c r="E37" s="26"/>
      <c r="F37" s="22"/>
      <c r="G37" s="27"/>
      <c r="H37" s="24">
        <v>30.0</v>
      </c>
      <c r="I37" s="24">
        <v>35.0</v>
      </c>
      <c r="J37" s="24">
        <v>36.0</v>
      </c>
      <c r="K37" s="24">
        <f>IF(H37=0,0,CAPITAL!$C$5/H37)
</f>
        <v>5000</v>
      </c>
      <c r="L37" s="24">
        <f>IF(I37=0,0,CAPITAL!$C$6/I37)
</f>
        <v>20000</v>
      </c>
      <c r="M37" s="24">
        <f>IF(J37=0,0,CAPITAL!$C$7/J37)
</f>
        <v>69444.44444</v>
      </c>
      <c r="N37" s="24">
        <f t="shared" si="1"/>
        <v>94444.44444</v>
      </c>
      <c r="O37" s="24">
        <f t="shared" si="2"/>
        <v>0.05294117647</v>
      </c>
      <c r="P37" s="24">
        <f t="shared" si="3"/>
        <v>0.2117647059</v>
      </c>
      <c r="Q37" s="24">
        <f t="shared" si="4"/>
        <v>0.7352941176</v>
      </c>
    </row>
    <row r="38">
      <c r="A38" s="17">
        <v>36.0</v>
      </c>
      <c r="B38" s="18" t="s">
        <v>29</v>
      </c>
      <c r="C38" s="29"/>
      <c r="D38" s="25"/>
      <c r="E38" s="26"/>
      <c r="F38" s="22"/>
      <c r="G38" s="27"/>
      <c r="H38" s="24">
        <v>30.0</v>
      </c>
      <c r="I38" s="24">
        <v>35.0</v>
      </c>
      <c r="J38" s="24">
        <v>36.0</v>
      </c>
      <c r="K38" s="24">
        <f>IF(H38=0,0,CAPITAL!$C$5/H38)
</f>
        <v>5000</v>
      </c>
      <c r="L38" s="24">
        <f>IF(I38=0,0,CAPITAL!$C$6/I38)
</f>
        <v>20000</v>
      </c>
      <c r="M38" s="24">
        <f>IF(J38=0,0,CAPITAL!$C$7/J38)
</f>
        <v>69444.44444</v>
      </c>
      <c r="N38" s="24">
        <f t="shared" si="1"/>
        <v>94444.44444</v>
      </c>
      <c r="O38" s="24">
        <f t="shared" si="2"/>
        <v>0.05294117647</v>
      </c>
      <c r="P38" s="24">
        <f t="shared" si="3"/>
        <v>0.2117647059</v>
      </c>
      <c r="Q38" s="24">
        <f t="shared" si="4"/>
        <v>0.7352941176</v>
      </c>
    </row>
    <row r="39">
      <c r="A39" s="17">
        <v>37.0</v>
      </c>
      <c r="B39" s="18" t="s">
        <v>29</v>
      </c>
      <c r="C39" s="29"/>
      <c r="D39" s="25"/>
      <c r="E39" s="26"/>
      <c r="F39" s="22"/>
      <c r="G39" s="27"/>
      <c r="H39" s="24">
        <v>30.0</v>
      </c>
      <c r="I39" s="24">
        <v>35.0</v>
      </c>
      <c r="J39" s="24">
        <v>36.0</v>
      </c>
      <c r="K39" s="24">
        <f>IF(H39=0,0,CAPITAL!$C$5/H39)
</f>
        <v>5000</v>
      </c>
      <c r="L39" s="24">
        <f>IF(I39=0,0,CAPITAL!$C$6/I39)
</f>
        <v>20000</v>
      </c>
      <c r="M39" s="24">
        <f>IF(J39=0,0,CAPITAL!$C$7/J39)
</f>
        <v>69444.44444</v>
      </c>
      <c r="N39" s="24">
        <f t="shared" si="1"/>
        <v>94444.44444</v>
      </c>
      <c r="O39" s="24">
        <f t="shared" si="2"/>
        <v>0.05294117647</v>
      </c>
      <c r="P39" s="24">
        <f t="shared" si="3"/>
        <v>0.2117647059</v>
      </c>
      <c r="Q39" s="24">
        <f t="shared" si="4"/>
        <v>0.7352941176</v>
      </c>
    </row>
    <row r="40">
      <c r="A40" s="17">
        <v>38.0</v>
      </c>
      <c r="B40" s="18" t="s">
        <v>29</v>
      </c>
      <c r="C40" s="29"/>
      <c r="D40" s="25"/>
      <c r="E40" s="26"/>
      <c r="F40" s="22"/>
      <c r="G40" s="27"/>
      <c r="H40" s="24">
        <v>30.0</v>
      </c>
      <c r="I40" s="24">
        <v>35.0</v>
      </c>
      <c r="J40" s="24">
        <v>36.0</v>
      </c>
      <c r="K40" s="24">
        <f>IF(H40=0,0,CAPITAL!$C$5/H40)
</f>
        <v>5000</v>
      </c>
      <c r="L40" s="24">
        <f>IF(I40=0,0,CAPITAL!$C$6/I40)
</f>
        <v>20000</v>
      </c>
      <c r="M40" s="24">
        <f>IF(J40=0,0,CAPITAL!$C$7/J40)
</f>
        <v>69444.44444</v>
      </c>
      <c r="N40" s="24">
        <f t="shared" si="1"/>
        <v>94444.44444</v>
      </c>
      <c r="O40" s="24">
        <f t="shared" si="2"/>
        <v>0.05294117647</v>
      </c>
      <c r="P40" s="24">
        <f t="shared" si="3"/>
        <v>0.2117647059</v>
      </c>
      <c r="Q40" s="24">
        <f t="shared" si="4"/>
        <v>0.7352941176</v>
      </c>
    </row>
    <row r="41">
      <c r="A41" s="17">
        <v>39.0</v>
      </c>
      <c r="B41" s="18" t="s">
        <v>29</v>
      </c>
      <c r="C41" s="29"/>
      <c r="D41" s="25"/>
      <c r="E41" s="26"/>
      <c r="F41" s="22"/>
      <c r="G41" s="27"/>
      <c r="H41" s="24">
        <v>30.0</v>
      </c>
      <c r="I41" s="24">
        <v>35.0</v>
      </c>
      <c r="J41" s="24">
        <v>36.0</v>
      </c>
      <c r="K41" s="24">
        <f>IF(H41=0,0,CAPITAL!$C$5/H41)
</f>
        <v>5000</v>
      </c>
      <c r="L41" s="24">
        <f>IF(I41=0,0,CAPITAL!$C$6/I41)
</f>
        <v>20000</v>
      </c>
      <c r="M41" s="24">
        <f>IF(J41=0,0,CAPITAL!$C$7/J41)
</f>
        <v>69444.44444</v>
      </c>
      <c r="N41" s="24">
        <f t="shared" si="1"/>
        <v>94444.44444</v>
      </c>
      <c r="O41" s="24">
        <f t="shared" si="2"/>
        <v>0.05294117647</v>
      </c>
      <c r="P41" s="24">
        <f t="shared" si="3"/>
        <v>0.2117647059</v>
      </c>
      <c r="Q41" s="24">
        <f t="shared" si="4"/>
        <v>0.7352941176</v>
      </c>
    </row>
    <row r="42">
      <c r="A42" s="17">
        <v>40.0</v>
      </c>
      <c r="B42" s="18" t="s">
        <v>29</v>
      </c>
      <c r="C42" s="29"/>
      <c r="D42" s="25"/>
      <c r="E42" s="26"/>
      <c r="F42" s="22"/>
      <c r="G42" s="27"/>
      <c r="H42" s="24">
        <v>30.0</v>
      </c>
      <c r="I42" s="24">
        <v>35.0</v>
      </c>
      <c r="J42" s="24">
        <v>36.0</v>
      </c>
      <c r="K42" s="24">
        <f>IF(H42=0,0,CAPITAL!$C$5/H42)
</f>
        <v>5000</v>
      </c>
      <c r="L42" s="24">
        <f>IF(I42=0,0,CAPITAL!$C$6/I42)
</f>
        <v>20000</v>
      </c>
      <c r="M42" s="24">
        <f>IF(J42=0,0,CAPITAL!$C$7/J42)
</f>
        <v>69444.44444</v>
      </c>
      <c r="N42" s="24">
        <f t="shared" si="1"/>
        <v>94444.44444</v>
      </c>
      <c r="O42" s="24">
        <f t="shared" si="2"/>
        <v>0.05294117647</v>
      </c>
      <c r="P42" s="24">
        <f t="shared" si="3"/>
        <v>0.2117647059</v>
      </c>
      <c r="Q42" s="24">
        <f t="shared" si="4"/>
        <v>0.7352941176</v>
      </c>
    </row>
    <row r="43">
      <c r="A43" s="17">
        <v>41.0</v>
      </c>
      <c r="B43" s="18" t="s">
        <v>29</v>
      </c>
      <c r="C43" s="29"/>
      <c r="D43" s="25"/>
      <c r="E43" s="26"/>
      <c r="F43" s="22"/>
      <c r="G43" s="27"/>
      <c r="H43" s="24">
        <v>30.0</v>
      </c>
      <c r="I43" s="24">
        <v>35.0</v>
      </c>
      <c r="J43" s="24">
        <v>36.0</v>
      </c>
      <c r="K43" s="24">
        <f>IF(H43=0,0,CAPITAL!$C$5/H43)
</f>
        <v>5000</v>
      </c>
      <c r="L43" s="24">
        <f>IF(I43=0,0,CAPITAL!$C$6/I43)
</f>
        <v>20000</v>
      </c>
      <c r="M43" s="24">
        <f>IF(J43=0,0,CAPITAL!$C$7/J43)
</f>
        <v>69444.44444</v>
      </c>
      <c r="N43" s="24">
        <f t="shared" si="1"/>
        <v>94444.44444</v>
      </c>
      <c r="O43" s="24">
        <f t="shared" si="2"/>
        <v>0.05294117647</v>
      </c>
      <c r="P43" s="24">
        <f t="shared" si="3"/>
        <v>0.2117647059</v>
      </c>
      <c r="Q43" s="24">
        <f t="shared" si="4"/>
        <v>0.7352941176</v>
      </c>
    </row>
    <row r="44">
      <c r="A44" s="17">
        <v>42.0</v>
      </c>
      <c r="B44" s="18" t="s">
        <v>29</v>
      </c>
      <c r="C44" s="29"/>
      <c r="D44" s="25"/>
      <c r="E44" s="26"/>
      <c r="F44" s="22"/>
      <c r="G44" s="27"/>
      <c r="H44" s="24">
        <v>30.0</v>
      </c>
      <c r="I44" s="24">
        <v>35.0</v>
      </c>
      <c r="J44" s="24">
        <v>36.0</v>
      </c>
      <c r="K44" s="24">
        <f>IF(H44=0,0,CAPITAL!$C$5/H44)
</f>
        <v>5000</v>
      </c>
      <c r="L44" s="24">
        <f>IF(I44=0,0,CAPITAL!$C$6/I44)
</f>
        <v>20000</v>
      </c>
      <c r="M44" s="24">
        <f>IF(J44=0,0,CAPITAL!$C$7/J44)
</f>
        <v>69444.44444</v>
      </c>
      <c r="N44" s="24">
        <f t="shared" si="1"/>
        <v>94444.44444</v>
      </c>
      <c r="O44" s="24">
        <f t="shared" si="2"/>
        <v>0.05294117647</v>
      </c>
      <c r="P44" s="24">
        <f t="shared" si="3"/>
        <v>0.2117647059</v>
      </c>
      <c r="Q44" s="24">
        <f t="shared" si="4"/>
        <v>0.7352941176</v>
      </c>
    </row>
    <row r="45">
      <c r="A45" s="17">
        <v>43.0</v>
      </c>
      <c r="B45" s="18" t="s">
        <v>29</v>
      </c>
      <c r="C45" s="29"/>
      <c r="D45" s="25"/>
      <c r="E45" s="26"/>
      <c r="F45" s="22"/>
      <c r="G45" s="27"/>
      <c r="H45" s="24">
        <v>30.0</v>
      </c>
      <c r="I45" s="24">
        <v>35.0</v>
      </c>
      <c r="J45" s="24">
        <v>36.0</v>
      </c>
      <c r="K45" s="24">
        <f>IF(H45=0,0,CAPITAL!$C$5/H45)
</f>
        <v>5000</v>
      </c>
      <c r="L45" s="24">
        <f>IF(I45=0,0,CAPITAL!$C$6/I45)
</f>
        <v>20000</v>
      </c>
      <c r="M45" s="24">
        <f>IF(J45=0,0,CAPITAL!$C$7/J45)
</f>
        <v>69444.44444</v>
      </c>
      <c r="N45" s="24">
        <f t="shared" si="1"/>
        <v>94444.44444</v>
      </c>
      <c r="O45" s="24">
        <f t="shared" si="2"/>
        <v>0.05294117647</v>
      </c>
      <c r="P45" s="24">
        <f t="shared" si="3"/>
        <v>0.2117647059</v>
      </c>
      <c r="Q45" s="24">
        <f t="shared" si="4"/>
        <v>0.7352941176</v>
      </c>
    </row>
    <row r="46">
      <c r="A46" s="17">
        <v>44.0</v>
      </c>
      <c r="B46" s="18" t="s">
        <v>29</v>
      </c>
      <c r="C46" s="29"/>
      <c r="D46" s="25"/>
      <c r="E46" s="26"/>
      <c r="F46" s="22"/>
      <c r="G46" s="27"/>
      <c r="H46" s="24">
        <v>30.0</v>
      </c>
      <c r="I46" s="24">
        <v>35.0</v>
      </c>
      <c r="J46" s="24">
        <v>36.0</v>
      </c>
      <c r="K46" s="24">
        <f>IF(H46=0,0,CAPITAL!$C$5/H46)
</f>
        <v>5000</v>
      </c>
      <c r="L46" s="24">
        <f>IF(I46=0,0,CAPITAL!$C$6/I46)
</f>
        <v>20000</v>
      </c>
      <c r="M46" s="24">
        <f>IF(J46=0,0,CAPITAL!$C$7/J46)
</f>
        <v>69444.44444</v>
      </c>
      <c r="N46" s="24">
        <f t="shared" si="1"/>
        <v>94444.44444</v>
      </c>
      <c r="O46" s="24">
        <f t="shared" si="2"/>
        <v>0.05294117647</v>
      </c>
      <c r="P46" s="24">
        <f t="shared" si="3"/>
        <v>0.2117647059</v>
      </c>
      <c r="Q46" s="24">
        <f t="shared" si="4"/>
        <v>0.7352941176</v>
      </c>
    </row>
    <row r="47">
      <c r="A47" s="17">
        <v>45.0</v>
      </c>
      <c r="B47" s="18" t="s">
        <v>29</v>
      </c>
      <c r="C47" s="29"/>
      <c r="D47" s="25"/>
      <c r="E47" s="26"/>
      <c r="F47" s="22"/>
      <c r="G47" s="27"/>
      <c r="H47" s="24">
        <v>30.0</v>
      </c>
      <c r="I47" s="24">
        <v>35.0</v>
      </c>
      <c r="J47" s="24">
        <v>36.0</v>
      </c>
      <c r="K47" s="24">
        <f>IF(H47=0,0,CAPITAL!$C$5/H47)
</f>
        <v>5000</v>
      </c>
      <c r="L47" s="24">
        <f>IF(I47=0,0,CAPITAL!$C$6/I47)
</f>
        <v>20000</v>
      </c>
      <c r="M47" s="24">
        <f>IF(J47=0,0,CAPITAL!$C$7/J47)
</f>
        <v>69444.44444</v>
      </c>
      <c r="N47" s="24">
        <f t="shared" si="1"/>
        <v>94444.44444</v>
      </c>
      <c r="O47" s="24">
        <f t="shared" si="2"/>
        <v>0.05294117647</v>
      </c>
      <c r="P47" s="24">
        <f t="shared" si="3"/>
        <v>0.2117647059</v>
      </c>
      <c r="Q47" s="24">
        <f t="shared" si="4"/>
        <v>0.7352941176</v>
      </c>
    </row>
    <row r="48">
      <c r="A48" s="17">
        <v>46.0</v>
      </c>
      <c r="B48" s="18" t="s">
        <v>29</v>
      </c>
      <c r="C48" s="29"/>
      <c r="D48" s="25"/>
      <c r="E48" s="26"/>
      <c r="F48" s="22"/>
      <c r="G48" s="27"/>
      <c r="H48" s="24">
        <v>30.0</v>
      </c>
      <c r="I48" s="24">
        <v>35.0</v>
      </c>
      <c r="J48" s="24">
        <v>36.0</v>
      </c>
      <c r="K48" s="24">
        <f>IF(H48=0,0,CAPITAL!$C$5/H48)
</f>
        <v>5000</v>
      </c>
      <c r="L48" s="24">
        <f>IF(I48=0,0,CAPITAL!$C$6/I48)
</f>
        <v>20000</v>
      </c>
      <c r="M48" s="24">
        <f>IF(J48=0,0,CAPITAL!$C$7/J48)
</f>
        <v>69444.44444</v>
      </c>
      <c r="N48" s="24">
        <f t="shared" si="1"/>
        <v>94444.44444</v>
      </c>
      <c r="O48" s="24">
        <f t="shared" si="2"/>
        <v>0.05294117647</v>
      </c>
      <c r="P48" s="24">
        <f t="shared" si="3"/>
        <v>0.2117647059</v>
      </c>
      <c r="Q48" s="24">
        <f t="shared" si="4"/>
        <v>0.7352941176</v>
      </c>
    </row>
    <row r="49">
      <c r="A49" s="17">
        <v>47.0</v>
      </c>
      <c r="B49" s="18" t="s">
        <v>29</v>
      </c>
      <c r="C49" s="29"/>
      <c r="D49" s="25"/>
      <c r="E49" s="26"/>
      <c r="F49" s="22"/>
      <c r="G49" s="27"/>
      <c r="H49" s="24">
        <v>30.0</v>
      </c>
      <c r="I49" s="24">
        <v>35.0</v>
      </c>
      <c r="J49" s="24">
        <v>36.0</v>
      </c>
      <c r="K49" s="24">
        <f>IF(H49=0,0,CAPITAL!$C$5/H49)
</f>
        <v>5000</v>
      </c>
      <c r="L49" s="24">
        <f>IF(I49=0,0,CAPITAL!$C$6/I49)
</f>
        <v>20000</v>
      </c>
      <c r="M49" s="24">
        <f>IF(J49=0,0,CAPITAL!$C$7/J49)
</f>
        <v>69444.44444</v>
      </c>
      <c r="N49" s="24">
        <f t="shared" si="1"/>
        <v>94444.44444</v>
      </c>
      <c r="O49" s="24">
        <f t="shared" si="2"/>
        <v>0.05294117647</v>
      </c>
      <c r="P49" s="24">
        <f t="shared" si="3"/>
        <v>0.2117647059</v>
      </c>
      <c r="Q49" s="24">
        <f t="shared" si="4"/>
        <v>0.7352941176</v>
      </c>
    </row>
    <row r="50">
      <c r="A50" s="17">
        <v>48.0</v>
      </c>
      <c r="B50" s="18" t="s">
        <v>29</v>
      </c>
      <c r="C50" s="29"/>
      <c r="D50" s="25"/>
      <c r="E50" s="26"/>
      <c r="F50" s="22"/>
      <c r="G50" s="27"/>
      <c r="H50" s="24">
        <v>30.0</v>
      </c>
      <c r="I50" s="24">
        <v>35.0</v>
      </c>
      <c r="J50" s="24">
        <v>36.0</v>
      </c>
      <c r="K50" s="24">
        <f>IF(H50=0,0,CAPITAL!$C$5/H50)
</f>
        <v>5000</v>
      </c>
      <c r="L50" s="24">
        <f>IF(I50=0,0,CAPITAL!$C$6/I50)
</f>
        <v>20000</v>
      </c>
      <c r="M50" s="24">
        <f>IF(J50=0,0,CAPITAL!$C$7/J50)
</f>
        <v>69444.44444</v>
      </c>
      <c r="N50" s="24">
        <f t="shared" si="1"/>
        <v>94444.44444</v>
      </c>
      <c r="O50" s="24">
        <f t="shared" si="2"/>
        <v>0.05294117647</v>
      </c>
      <c r="P50" s="24">
        <f t="shared" si="3"/>
        <v>0.2117647059</v>
      </c>
      <c r="Q50" s="24">
        <f t="shared" si="4"/>
        <v>0.7352941176</v>
      </c>
    </row>
    <row r="51">
      <c r="A51" s="17">
        <v>49.0</v>
      </c>
      <c r="B51" s="18" t="s">
        <v>29</v>
      </c>
      <c r="C51" s="29"/>
      <c r="D51" s="25"/>
      <c r="E51" s="26"/>
      <c r="F51" s="22"/>
      <c r="G51" s="27"/>
      <c r="H51" s="24">
        <v>30.0</v>
      </c>
      <c r="I51" s="24">
        <v>35.0</v>
      </c>
      <c r="J51" s="24">
        <v>36.0</v>
      </c>
      <c r="K51" s="24">
        <f>IF(H51=0,0,CAPITAL!$C$5/H51)
</f>
        <v>5000</v>
      </c>
      <c r="L51" s="24">
        <f>IF(I51=0,0,CAPITAL!$C$6/I51)
</f>
        <v>20000</v>
      </c>
      <c r="M51" s="24">
        <f>IF(J51=0,0,CAPITAL!$C$7/J51)
</f>
        <v>69444.44444</v>
      </c>
      <c r="N51" s="24">
        <f t="shared" si="1"/>
        <v>94444.44444</v>
      </c>
      <c r="O51" s="24">
        <f t="shared" si="2"/>
        <v>0.05294117647</v>
      </c>
      <c r="P51" s="24">
        <f t="shared" si="3"/>
        <v>0.2117647059</v>
      </c>
      <c r="Q51" s="24">
        <f t="shared" si="4"/>
        <v>0.7352941176</v>
      </c>
    </row>
    <row r="52">
      <c r="A52" s="17">
        <v>50.0</v>
      </c>
      <c r="B52" s="18" t="s">
        <v>29</v>
      </c>
      <c r="C52" s="29"/>
      <c r="D52" s="25"/>
      <c r="E52" s="26"/>
      <c r="F52" s="22"/>
      <c r="G52" s="27"/>
      <c r="H52" s="24">
        <v>30.0</v>
      </c>
      <c r="I52" s="24">
        <v>35.0</v>
      </c>
      <c r="J52" s="24">
        <v>36.0</v>
      </c>
      <c r="K52" s="24">
        <f>IF(H52=0,0,CAPITAL!$C$5/H52)
</f>
        <v>5000</v>
      </c>
      <c r="L52" s="24">
        <f>IF(I52=0,0,CAPITAL!$C$6/I52)
</f>
        <v>20000</v>
      </c>
      <c r="M52" s="24">
        <f>IF(J52=0,0,CAPITAL!$C$7/J52)
</f>
        <v>69444.44444</v>
      </c>
      <c r="N52" s="24">
        <f t="shared" si="1"/>
        <v>94444.44444</v>
      </c>
      <c r="O52" s="24">
        <f t="shared" si="2"/>
        <v>0.05294117647</v>
      </c>
      <c r="P52" s="24">
        <f t="shared" si="3"/>
        <v>0.2117647059</v>
      </c>
      <c r="Q52" s="24">
        <f t="shared" si="4"/>
        <v>0.7352941176</v>
      </c>
    </row>
    <row r="53">
      <c r="A53" s="17">
        <v>51.0</v>
      </c>
      <c r="B53" s="18" t="s">
        <v>29</v>
      </c>
      <c r="C53" s="29"/>
      <c r="D53" s="25"/>
      <c r="E53" s="26"/>
      <c r="F53" s="22"/>
      <c r="G53" s="27"/>
      <c r="H53" s="24">
        <v>30.0</v>
      </c>
      <c r="I53" s="24">
        <v>35.0</v>
      </c>
      <c r="J53" s="24">
        <v>36.0</v>
      </c>
      <c r="K53" s="24">
        <f>IF(H53=0,0,CAPITAL!$C$5/H53)
</f>
        <v>5000</v>
      </c>
      <c r="L53" s="24">
        <f>IF(I53=0,0,CAPITAL!$C$6/I53)
</f>
        <v>20000</v>
      </c>
      <c r="M53" s="24">
        <f>IF(J53=0,0,CAPITAL!$C$7/J53)
</f>
        <v>69444.44444</v>
      </c>
      <c r="N53" s="24">
        <f t="shared" si="1"/>
        <v>94444.44444</v>
      </c>
      <c r="O53" s="24">
        <f t="shared" si="2"/>
        <v>0.05294117647</v>
      </c>
      <c r="P53" s="24">
        <f t="shared" si="3"/>
        <v>0.2117647059</v>
      </c>
      <c r="Q53" s="24">
        <f t="shared" si="4"/>
        <v>0.7352941176</v>
      </c>
    </row>
    <row r="54">
      <c r="A54" s="17">
        <v>52.0</v>
      </c>
      <c r="B54" s="18" t="s">
        <v>29</v>
      </c>
      <c r="C54" s="29"/>
      <c r="D54" s="25"/>
      <c r="E54" s="26"/>
      <c r="F54" s="22"/>
      <c r="G54" s="27"/>
      <c r="H54" s="24">
        <v>30.0</v>
      </c>
      <c r="I54" s="24">
        <v>35.0</v>
      </c>
      <c r="J54" s="24">
        <v>36.0</v>
      </c>
      <c r="K54" s="24">
        <f>IF(H54=0,0,CAPITAL!$C$5/H54)
</f>
        <v>5000</v>
      </c>
      <c r="L54" s="24">
        <f>IF(I54=0,0,CAPITAL!$C$6/I54)
</f>
        <v>20000</v>
      </c>
      <c r="M54" s="24">
        <f>IF(J54=0,0,CAPITAL!$C$7/J54)
</f>
        <v>69444.44444</v>
      </c>
      <c r="N54" s="24">
        <f t="shared" si="1"/>
        <v>94444.44444</v>
      </c>
      <c r="O54" s="24">
        <f t="shared" si="2"/>
        <v>0.05294117647</v>
      </c>
      <c r="P54" s="24">
        <f t="shared" si="3"/>
        <v>0.2117647059</v>
      </c>
      <c r="Q54" s="24">
        <f t="shared" si="4"/>
        <v>0.7352941176</v>
      </c>
    </row>
    <row r="55">
      <c r="A55" s="17">
        <v>53.0</v>
      </c>
      <c r="B55" s="18" t="s">
        <v>29</v>
      </c>
      <c r="C55" s="29"/>
      <c r="D55" s="25"/>
      <c r="E55" s="26"/>
      <c r="F55" s="22"/>
      <c r="G55" s="27"/>
      <c r="H55" s="24">
        <v>30.0</v>
      </c>
      <c r="I55" s="24">
        <v>35.0</v>
      </c>
      <c r="J55" s="24">
        <v>36.0</v>
      </c>
      <c r="K55" s="24">
        <f>IF(H55=0,0,CAPITAL!$C$5/H55)
</f>
        <v>5000</v>
      </c>
      <c r="L55" s="24">
        <f>IF(I55=0,0,CAPITAL!$C$6/I55)
</f>
        <v>20000</v>
      </c>
      <c r="M55" s="24">
        <f>IF(J55=0,0,CAPITAL!$C$7/J55)
</f>
        <v>69444.44444</v>
      </c>
      <c r="N55" s="24">
        <f t="shared" si="1"/>
        <v>94444.44444</v>
      </c>
      <c r="O55" s="24">
        <f t="shared" si="2"/>
        <v>0.05294117647</v>
      </c>
      <c r="P55" s="24">
        <f t="shared" si="3"/>
        <v>0.2117647059</v>
      </c>
      <c r="Q55" s="24">
        <f t="shared" si="4"/>
        <v>0.7352941176</v>
      </c>
    </row>
    <row r="56">
      <c r="A56" s="17">
        <v>54.0</v>
      </c>
      <c r="B56" s="18" t="s">
        <v>29</v>
      </c>
      <c r="C56" s="29"/>
      <c r="D56" s="25"/>
      <c r="E56" s="26"/>
      <c r="F56" s="22"/>
      <c r="G56" s="27"/>
      <c r="H56" s="24">
        <v>30.0</v>
      </c>
      <c r="I56" s="24">
        <v>35.0</v>
      </c>
      <c r="J56" s="24">
        <v>36.0</v>
      </c>
      <c r="K56" s="24">
        <f>IF(H56=0,0,CAPITAL!$C$5/H56)
</f>
        <v>5000</v>
      </c>
      <c r="L56" s="24">
        <f>IF(I56=0,0,CAPITAL!$C$6/I56)
</f>
        <v>20000</v>
      </c>
      <c r="M56" s="24">
        <f>IF(J56=0,0,CAPITAL!$C$7/J56)
</f>
        <v>69444.44444</v>
      </c>
      <c r="N56" s="24">
        <f t="shared" si="1"/>
        <v>94444.44444</v>
      </c>
      <c r="O56" s="24">
        <f t="shared" si="2"/>
        <v>0.05294117647</v>
      </c>
      <c r="P56" s="24">
        <f t="shared" si="3"/>
        <v>0.2117647059</v>
      </c>
      <c r="Q56" s="24">
        <f t="shared" si="4"/>
        <v>0.7352941176</v>
      </c>
    </row>
    <row r="57">
      <c r="A57" s="17">
        <v>55.0</v>
      </c>
      <c r="B57" s="18" t="s">
        <v>29</v>
      </c>
      <c r="C57" s="29"/>
      <c r="D57" s="25"/>
      <c r="E57" s="26"/>
      <c r="F57" s="22"/>
      <c r="G57" s="27"/>
      <c r="H57" s="24">
        <v>30.0</v>
      </c>
      <c r="I57" s="24">
        <v>35.0</v>
      </c>
      <c r="J57" s="24">
        <v>36.0</v>
      </c>
      <c r="K57" s="24">
        <f>IF(H57=0,0,CAPITAL!$C$5/H57)
</f>
        <v>5000</v>
      </c>
      <c r="L57" s="24">
        <f>IF(I57=0,0,CAPITAL!$C$6/I57)
</f>
        <v>20000</v>
      </c>
      <c r="M57" s="24">
        <f>IF(J57=0,0,CAPITAL!$C$7/J57)
</f>
        <v>69444.44444</v>
      </c>
      <c r="N57" s="24">
        <f t="shared" si="1"/>
        <v>94444.44444</v>
      </c>
      <c r="O57" s="24">
        <f t="shared" si="2"/>
        <v>0.05294117647</v>
      </c>
      <c r="P57" s="24">
        <f t="shared" si="3"/>
        <v>0.2117647059</v>
      </c>
      <c r="Q57" s="24">
        <f t="shared" si="4"/>
        <v>0.7352941176</v>
      </c>
    </row>
    <row r="58">
      <c r="A58" s="17">
        <v>56.0</v>
      </c>
      <c r="B58" s="18" t="s">
        <v>29</v>
      </c>
      <c r="C58" s="29"/>
      <c r="D58" s="25"/>
      <c r="E58" s="26"/>
      <c r="F58" s="22"/>
      <c r="G58" s="27"/>
      <c r="H58" s="24">
        <v>30.0</v>
      </c>
      <c r="I58" s="24">
        <v>35.0</v>
      </c>
      <c r="J58" s="24">
        <v>36.0</v>
      </c>
      <c r="K58" s="24">
        <f>IF(H58=0,0,CAPITAL!$C$5/H58)
</f>
        <v>5000</v>
      </c>
      <c r="L58" s="24">
        <f>IF(I58=0,0,CAPITAL!$C$6/I58)
</f>
        <v>20000</v>
      </c>
      <c r="M58" s="24">
        <f>IF(J58=0,0,CAPITAL!$C$7/J58)
</f>
        <v>69444.44444</v>
      </c>
      <c r="N58" s="24">
        <f t="shared" si="1"/>
        <v>94444.44444</v>
      </c>
      <c r="O58" s="24">
        <f t="shared" si="2"/>
        <v>0.05294117647</v>
      </c>
      <c r="P58" s="24">
        <f t="shared" si="3"/>
        <v>0.2117647059</v>
      </c>
      <c r="Q58" s="24">
        <f t="shared" si="4"/>
        <v>0.7352941176</v>
      </c>
    </row>
    <row r="59">
      <c r="A59" s="17">
        <v>57.0</v>
      </c>
      <c r="B59" s="18" t="s">
        <v>29</v>
      </c>
      <c r="C59" s="29"/>
      <c r="D59" s="25"/>
      <c r="E59" s="26"/>
      <c r="F59" s="22"/>
      <c r="G59" s="27"/>
      <c r="H59" s="24">
        <v>30.0</v>
      </c>
      <c r="I59" s="24">
        <v>35.0</v>
      </c>
      <c r="J59" s="24">
        <v>36.0</v>
      </c>
      <c r="K59" s="24">
        <f>IF(H59=0,0,CAPITAL!$C$5/H59)
</f>
        <v>5000</v>
      </c>
      <c r="L59" s="24">
        <f>IF(I59=0,0,CAPITAL!$C$6/I59)
</f>
        <v>20000</v>
      </c>
      <c r="M59" s="24">
        <f>IF(J59=0,0,CAPITAL!$C$7/J59)
</f>
        <v>69444.44444</v>
      </c>
      <c r="N59" s="24">
        <f t="shared" si="1"/>
        <v>94444.44444</v>
      </c>
      <c r="O59" s="24">
        <f t="shared" si="2"/>
        <v>0.05294117647</v>
      </c>
      <c r="P59" s="24">
        <f t="shared" si="3"/>
        <v>0.2117647059</v>
      </c>
      <c r="Q59" s="24">
        <f t="shared" si="4"/>
        <v>0.7352941176</v>
      </c>
    </row>
    <row r="60">
      <c r="A60" s="17">
        <v>58.0</v>
      </c>
      <c r="B60" s="18" t="s">
        <v>29</v>
      </c>
      <c r="C60" s="29"/>
      <c r="D60" s="25"/>
      <c r="E60" s="26"/>
      <c r="F60" s="22"/>
      <c r="G60" s="27"/>
      <c r="H60" s="24">
        <v>30.0</v>
      </c>
      <c r="I60" s="24">
        <v>35.0</v>
      </c>
      <c r="J60" s="24">
        <v>36.0</v>
      </c>
      <c r="K60" s="24">
        <f>IF(H60=0,0,CAPITAL!$C$5/H60)
</f>
        <v>5000</v>
      </c>
      <c r="L60" s="24">
        <f>IF(I60=0,0,CAPITAL!$C$6/I60)
</f>
        <v>20000</v>
      </c>
      <c r="M60" s="24">
        <f>IF(J60=0,0,CAPITAL!$C$7/J60)
</f>
        <v>69444.44444</v>
      </c>
      <c r="N60" s="24">
        <f t="shared" si="1"/>
        <v>94444.44444</v>
      </c>
      <c r="O60" s="24">
        <f t="shared" si="2"/>
        <v>0.05294117647</v>
      </c>
      <c r="P60" s="24">
        <f t="shared" si="3"/>
        <v>0.2117647059</v>
      </c>
      <c r="Q60" s="24">
        <f t="shared" si="4"/>
        <v>0.7352941176</v>
      </c>
    </row>
    <row r="61">
      <c r="A61" s="17">
        <v>59.0</v>
      </c>
      <c r="B61" s="18" t="s">
        <v>29</v>
      </c>
      <c r="C61" s="29"/>
      <c r="D61" s="25"/>
      <c r="E61" s="26"/>
      <c r="F61" s="22"/>
      <c r="G61" s="27"/>
      <c r="H61" s="24">
        <v>30.0</v>
      </c>
      <c r="I61" s="24">
        <v>35.0</v>
      </c>
      <c r="J61" s="24">
        <v>36.0</v>
      </c>
      <c r="K61" s="24">
        <f>IF(H61=0,0,CAPITAL!$C$5/H61)
</f>
        <v>5000</v>
      </c>
      <c r="L61" s="24">
        <f>IF(I61=0,0,CAPITAL!$C$6/I61)
</f>
        <v>20000</v>
      </c>
      <c r="M61" s="24">
        <f>IF(J61=0,0,CAPITAL!$C$7/J61)
</f>
        <v>69444.44444</v>
      </c>
      <c r="N61" s="24">
        <f t="shared" si="1"/>
        <v>94444.44444</v>
      </c>
      <c r="O61" s="24">
        <f t="shared" si="2"/>
        <v>0.05294117647</v>
      </c>
      <c r="P61" s="24">
        <f t="shared" si="3"/>
        <v>0.2117647059</v>
      </c>
      <c r="Q61" s="24">
        <f t="shared" si="4"/>
        <v>0.7352941176</v>
      </c>
    </row>
    <row r="62">
      <c r="A62" s="17">
        <v>60.0</v>
      </c>
      <c r="B62" s="18" t="s">
        <v>29</v>
      </c>
      <c r="C62" s="29"/>
      <c r="D62" s="25"/>
      <c r="E62" s="26"/>
      <c r="F62" s="22"/>
      <c r="G62" s="27"/>
      <c r="H62" s="24">
        <v>30.0</v>
      </c>
      <c r="I62" s="24">
        <v>35.0</v>
      </c>
      <c r="J62" s="24">
        <v>36.0</v>
      </c>
      <c r="K62" s="24">
        <f>IF(H62=0,0,CAPITAL!$C$5/H62)
</f>
        <v>5000</v>
      </c>
      <c r="L62" s="24">
        <f>IF(I62=0,0,CAPITAL!$C$6/I62)
</f>
        <v>20000</v>
      </c>
      <c r="M62" s="24">
        <f>IF(J62=0,0,CAPITAL!$C$7/J62)
</f>
        <v>69444.44444</v>
      </c>
      <c r="N62" s="24">
        <f t="shared" si="1"/>
        <v>94444.44444</v>
      </c>
      <c r="O62" s="24">
        <f t="shared" si="2"/>
        <v>0.05294117647</v>
      </c>
      <c r="P62" s="24">
        <f t="shared" si="3"/>
        <v>0.2117647059</v>
      </c>
      <c r="Q62" s="24">
        <f t="shared" si="4"/>
        <v>0.7352941176</v>
      </c>
    </row>
    <row r="63">
      <c r="A63" s="17">
        <v>61.0</v>
      </c>
      <c r="B63" s="18" t="s">
        <v>29</v>
      </c>
      <c r="C63" s="29"/>
      <c r="D63" s="25"/>
      <c r="E63" s="26"/>
      <c r="F63" s="22"/>
      <c r="G63" s="27"/>
      <c r="H63" s="24">
        <v>30.0</v>
      </c>
      <c r="I63" s="24">
        <v>35.0</v>
      </c>
      <c r="J63" s="24">
        <v>36.0</v>
      </c>
      <c r="K63" s="24">
        <f>IF(H63=0,0,CAPITAL!$C$5/H63)
</f>
        <v>5000</v>
      </c>
      <c r="L63" s="24">
        <f>IF(I63=0,0,CAPITAL!$C$6/I63)
</f>
        <v>20000</v>
      </c>
      <c r="M63" s="24">
        <f>IF(J63=0,0,CAPITAL!$C$7/J63)
</f>
        <v>69444.44444</v>
      </c>
      <c r="N63" s="24">
        <f t="shared" si="1"/>
        <v>94444.44444</v>
      </c>
      <c r="O63" s="24">
        <f t="shared" si="2"/>
        <v>0.05294117647</v>
      </c>
      <c r="P63" s="24">
        <f t="shared" si="3"/>
        <v>0.2117647059</v>
      </c>
      <c r="Q63" s="24">
        <f t="shared" si="4"/>
        <v>0.7352941176</v>
      </c>
    </row>
    <row r="64">
      <c r="A64" s="17">
        <v>62.0</v>
      </c>
      <c r="B64" s="18" t="s">
        <v>29</v>
      </c>
      <c r="C64" s="29"/>
      <c r="D64" s="25"/>
      <c r="E64" s="26"/>
      <c r="F64" s="22"/>
      <c r="G64" s="27"/>
      <c r="H64" s="24">
        <v>30.0</v>
      </c>
      <c r="I64" s="24">
        <v>35.0</v>
      </c>
      <c r="J64" s="24">
        <v>36.0</v>
      </c>
      <c r="K64" s="24">
        <f>IF(H64=0,0,CAPITAL!$C$5/H64)
</f>
        <v>5000</v>
      </c>
      <c r="L64" s="24">
        <f>IF(I64=0,0,CAPITAL!$C$6/I64)
</f>
        <v>20000</v>
      </c>
      <c r="M64" s="24">
        <f>IF(J64=0,0,CAPITAL!$C$7/J64)
</f>
        <v>69444.44444</v>
      </c>
      <c r="N64" s="24">
        <f t="shared" si="1"/>
        <v>94444.44444</v>
      </c>
      <c r="O64" s="24">
        <f t="shared" si="2"/>
        <v>0.05294117647</v>
      </c>
      <c r="P64" s="24">
        <f t="shared" si="3"/>
        <v>0.2117647059</v>
      </c>
      <c r="Q64" s="24">
        <f t="shared" si="4"/>
        <v>0.7352941176</v>
      </c>
    </row>
    <row r="65">
      <c r="A65" s="17">
        <v>63.0</v>
      </c>
      <c r="B65" s="18" t="s">
        <v>29</v>
      </c>
      <c r="C65" s="29"/>
      <c r="D65" s="25"/>
      <c r="E65" s="26"/>
      <c r="F65" s="22"/>
      <c r="G65" s="27"/>
      <c r="H65" s="24">
        <v>30.0</v>
      </c>
      <c r="I65" s="24">
        <v>35.0</v>
      </c>
      <c r="J65" s="24">
        <v>36.0</v>
      </c>
      <c r="K65" s="24">
        <f>IF(H65=0,0,CAPITAL!$C$5/H65)
</f>
        <v>5000</v>
      </c>
      <c r="L65" s="24">
        <f>IF(I65=0,0,CAPITAL!$C$6/I65)
</f>
        <v>20000</v>
      </c>
      <c r="M65" s="24">
        <f>IF(J65=0,0,CAPITAL!$C$7/J65)
</f>
        <v>69444.44444</v>
      </c>
      <c r="N65" s="24">
        <f t="shared" si="1"/>
        <v>94444.44444</v>
      </c>
      <c r="O65" s="24">
        <f t="shared" si="2"/>
        <v>0.05294117647</v>
      </c>
      <c r="P65" s="24">
        <f t="shared" si="3"/>
        <v>0.2117647059</v>
      </c>
      <c r="Q65" s="24">
        <f t="shared" si="4"/>
        <v>0.7352941176</v>
      </c>
    </row>
    <row r="66">
      <c r="A66" s="17">
        <v>64.0</v>
      </c>
      <c r="B66" s="18" t="s">
        <v>29</v>
      </c>
      <c r="C66" s="29"/>
      <c r="D66" s="25"/>
      <c r="E66" s="26"/>
      <c r="F66" s="22"/>
      <c r="G66" s="27"/>
      <c r="H66" s="24">
        <v>30.0</v>
      </c>
      <c r="I66" s="24">
        <v>35.0</v>
      </c>
      <c r="J66" s="24">
        <v>36.0</v>
      </c>
      <c r="K66" s="24">
        <f>IF(H66=0,0,CAPITAL!$C$5/H66)
</f>
        <v>5000</v>
      </c>
      <c r="L66" s="24">
        <f>IF(I66=0,0,CAPITAL!$C$6/I66)
</f>
        <v>20000</v>
      </c>
      <c r="M66" s="24">
        <f>IF(J66=0,0,CAPITAL!$C$7/J66)
</f>
        <v>69444.44444</v>
      </c>
      <c r="N66" s="24">
        <f t="shared" si="1"/>
        <v>94444.44444</v>
      </c>
      <c r="O66" s="24">
        <f t="shared" si="2"/>
        <v>0.05294117647</v>
      </c>
      <c r="P66" s="24">
        <f t="shared" si="3"/>
        <v>0.2117647059</v>
      </c>
      <c r="Q66" s="24">
        <f t="shared" si="4"/>
        <v>0.7352941176</v>
      </c>
    </row>
    <row r="67">
      <c r="A67" s="17">
        <v>65.0</v>
      </c>
      <c r="B67" s="18" t="s">
        <v>29</v>
      </c>
      <c r="C67" s="29"/>
      <c r="D67" s="25"/>
      <c r="E67" s="26"/>
      <c r="F67" s="22"/>
      <c r="G67" s="27"/>
      <c r="H67" s="24">
        <v>30.0</v>
      </c>
      <c r="I67" s="24">
        <v>35.0</v>
      </c>
      <c r="J67" s="24">
        <v>36.0</v>
      </c>
      <c r="K67" s="24">
        <f>IF(H67=0,0,CAPITAL!$C$5/H67)
</f>
        <v>5000</v>
      </c>
      <c r="L67" s="24">
        <f>IF(I67=0,0,CAPITAL!$C$6/I67)
</f>
        <v>20000</v>
      </c>
      <c r="M67" s="24">
        <f>IF(J67=0,0,CAPITAL!$C$7/J67)
</f>
        <v>69444.44444</v>
      </c>
      <c r="N67" s="24">
        <f t="shared" si="1"/>
        <v>94444.44444</v>
      </c>
      <c r="O67" s="24">
        <f t="shared" si="2"/>
        <v>0.05294117647</v>
      </c>
      <c r="P67" s="24">
        <f t="shared" si="3"/>
        <v>0.2117647059</v>
      </c>
      <c r="Q67" s="24">
        <f t="shared" si="4"/>
        <v>0.7352941176</v>
      </c>
    </row>
    <row r="68">
      <c r="A68" s="17">
        <v>66.0</v>
      </c>
      <c r="B68" s="18" t="s">
        <v>29</v>
      </c>
      <c r="C68" s="29"/>
      <c r="D68" s="25"/>
      <c r="E68" s="26"/>
      <c r="F68" s="22"/>
      <c r="G68" s="27"/>
      <c r="H68" s="24">
        <v>30.0</v>
      </c>
      <c r="I68" s="24">
        <v>35.0</v>
      </c>
      <c r="J68" s="24">
        <v>36.0</v>
      </c>
      <c r="K68" s="24">
        <f>IF(H68=0,0,CAPITAL!$C$5/H68)
</f>
        <v>5000</v>
      </c>
      <c r="L68" s="24">
        <f>IF(I68=0,0,CAPITAL!$C$6/I68)
</f>
        <v>20000</v>
      </c>
      <c r="M68" s="24">
        <f>IF(J68=0,0,CAPITAL!$C$7/J68)
</f>
        <v>69444.44444</v>
      </c>
      <c r="N68" s="24">
        <f t="shared" si="1"/>
        <v>94444.44444</v>
      </c>
      <c r="O68" s="24">
        <f t="shared" si="2"/>
        <v>0.05294117647</v>
      </c>
      <c r="P68" s="24">
        <f t="shared" si="3"/>
        <v>0.2117647059</v>
      </c>
      <c r="Q68" s="24">
        <f t="shared" si="4"/>
        <v>0.7352941176</v>
      </c>
    </row>
    <row r="69">
      <c r="A69" s="17">
        <v>67.0</v>
      </c>
      <c r="B69" s="18" t="s">
        <v>29</v>
      </c>
      <c r="C69" s="29"/>
      <c r="D69" s="25"/>
      <c r="E69" s="26"/>
      <c r="F69" s="22"/>
      <c r="G69" s="27"/>
      <c r="H69" s="24">
        <v>30.0</v>
      </c>
      <c r="I69" s="24">
        <v>35.0</v>
      </c>
      <c r="J69" s="24">
        <v>36.0</v>
      </c>
      <c r="K69" s="24">
        <f>IF(H69=0,0,CAPITAL!$C$5/H69)
</f>
        <v>5000</v>
      </c>
      <c r="L69" s="24">
        <f>IF(I69=0,0,CAPITAL!$C$6/I69)
</f>
        <v>20000</v>
      </c>
      <c r="M69" s="24">
        <f>IF(J69=0,0,CAPITAL!$C$7/J69)
</f>
        <v>69444.44444</v>
      </c>
      <c r="N69" s="24">
        <f t="shared" si="1"/>
        <v>94444.44444</v>
      </c>
      <c r="O69" s="24">
        <f t="shared" si="2"/>
        <v>0.05294117647</v>
      </c>
      <c r="P69" s="24">
        <f t="shared" si="3"/>
        <v>0.2117647059</v>
      </c>
      <c r="Q69" s="24">
        <f t="shared" si="4"/>
        <v>0.7352941176</v>
      </c>
    </row>
    <row r="70">
      <c r="A70" s="17">
        <v>68.0</v>
      </c>
      <c r="B70" s="18" t="s">
        <v>29</v>
      </c>
      <c r="C70" s="29"/>
      <c r="D70" s="25"/>
      <c r="E70" s="26"/>
      <c r="F70" s="22"/>
      <c r="G70" s="27"/>
      <c r="H70" s="24">
        <v>30.0</v>
      </c>
      <c r="I70" s="24">
        <v>35.0</v>
      </c>
      <c r="J70" s="24">
        <v>36.0</v>
      </c>
      <c r="K70" s="24">
        <f>IF(H70=0,0,CAPITAL!$C$5/H70)
</f>
        <v>5000</v>
      </c>
      <c r="L70" s="24">
        <f>IF(I70=0,0,CAPITAL!$C$6/I70)
</f>
        <v>20000</v>
      </c>
      <c r="M70" s="24">
        <f>IF(J70=0,0,CAPITAL!$C$7/J70)
</f>
        <v>69444.44444</v>
      </c>
      <c r="N70" s="24">
        <f t="shared" si="1"/>
        <v>94444.44444</v>
      </c>
      <c r="O70" s="24">
        <f t="shared" si="2"/>
        <v>0.05294117647</v>
      </c>
      <c r="P70" s="24">
        <f t="shared" si="3"/>
        <v>0.2117647059</v>
      </c>
      <c r="Q70" s="24">
        <f t="shared" si="4"/>
        <v>0.7352941176</v>
      </c>
    </row>
    <row r="71">
      <c r="A71" s="17">
        <v>69.0</v>
      </c>
      <c r="B71" s="18" t="s">
        <v>29</v>
      </c>
      <c r="C71" s="29"/>
      <c r="D71" s="25"/>
      <c r="E71" s="26"/>
      <c r="F71" s="22"/>
      <c r="G71" s="27"/>
      <c r="H71" s="24">
        <v>30.0</v>
      </c>
      <c r="I71" s="24">
        <v>35.0</v>
      </c>
      <c r="J71" s="24">
        <v>36.0</v>
      </c>
      <c r="K71" s="24">
        <f>IF(H71=0,0,CAPITAL!$C$5/H71)
</f>
        <v>5000</v>
      </c>
      <c r="L71" s="24">
        <f>IF(I71=0,0,CAPITAL!$C$6/I71)
</f>
        <v>20000</v>
      </c>
      <c r="M71" s="24">
        <f>IF(J71=0,0,CAPITAL!$C$7/J71)
</f>
        <v>69444.44444</v>
      </c>
      <c r="N71" s="24">
        <f t="shared" si="1"/>
        <v>94444.44444</v>
      </c>
      <c r="O71" s="24">
        <f t="shared" si="2"/>
        <v>0.05294117647</v>
      </c>
      <c r="P71" s="24">
        <f t="shared" si="3"/>
        <v>0.2117647059</v>
      </c>
      <c r="Q71" s="24">
        <f t="shared" si="4"/>
        <v>0.7352941176</v>
      </c>
    </row>
    <row r="72">
      <c r="A72" s="17">
        <v>70.0</v>
      </c>
      <c r="B72" s="18" t="s">
        <v>29</v>
      </c>
      <c r="C72" s="29"/>
      <c r="D72" s="25"/>
      <c r="E72" s="26"/>
      <c r="F72" s="22"/>
      <c r="G72" s="27"/>
      <c r="H72" s="24">
        <v>30.0</v>
      </c>
      <c r="I72" s="24">
        <v>35.0</v>
      </c>
      <c r="J72" s="24">
        <v>36.0</v>
      </c>
      <c r="K72" s="24">
        <f>IF(H72=0,0,CAPITAL!$C$5/H72)
</f>
        <v>5000</v>
      </c>
      <c r="L72" s="24">
        <f>IF(I72=0,0,CAPITAL!$C$6/I72)
</f>
        <v>20000</v>
      </c>
      <c r="M72" s="24">
        <f>IF(J72=0,0,CAPITAL!$C$7/J72)
</f>
        <v>69444.44444</v>
      </c>
      <c r="N72" s="24">
        <f t="shared" si="1"/>
        <v>94444.44444</v>
      </c>
      <c r="O72" s="24">
        <f t="shared" si="2"/>
        <v>0.05294117647</v>
      </c>
      <c r="P72" s="24">
        <f t="shared" si="3"/>
        <v>0.2117647059</v>
      </c>
      <c r="Q72" s="24">
        <f t="shared" si="4"/>
        <v>0.7352941176</v>
      </c>
    </row>
    <row r="73">
      <c r="A73" s="17">
        <v>71.0</v>
      </c>
      <c r="B73" s="18" t="s">
        <v>29</v>
      </c>
      <c r="C73" s="29"/>
      <c r="D73" s="25"/>
      <c r="E73" s="26"/>
      <c r="F73" s="22"/>
      <c r="G73" s="27"/>
      <c r="H73" s="24">
        <v>30.0</v>
      </c>
      <c r="I73" s="24">
        <v>35.0</v>
      </c>
      <c r="J73" s="24">
        <v>36.0</v>
      </c>
      <c r="K73" s="24">
        <f>IF(H73=0,0,CAPITAL!$C$5/H73)
</f>
        <v>5000</v>
      </c>
      <c r="L73" s="24">
        <f>IF(I73=0,0,CAPITAL!$C$6/I73)
</f>
        <v>20000</v>
      </c>
      <c r="M73" s="24">
        <f>IF(J73=0,0,CAPITAL!$C$7/J73)
</f>
        <v>69444.44444</v>
      </c>
      <c r="N73" s="24">
        <f t="shared" si="1"/>
        <v>94444.44444</v>
      </c>
      <c r="O73" s="24">
        <f t="shared" si="2"/>
        <v>0.05294117647</v>
      </c>
      <c r="P73" s="24">
        <f t="shared" si="3"/>
        <v>0.2117647059</v>
      </c>
      <c r="Q73" s="24">
        <f t="shared" si="4"/>
        <v>0.7352941176</v>
      </c>
    </row>
    <row r="74">
      <c r="A74" s="17">
        <v>72.0</v>
      </c>
      <c r="B74" s="18" t="s">
        <v>29</v>
      </c>
      <c r="C74" s="29"/>
      <c r="D74" s="25"/>
      <c r="E74" s="26"/>
      <c r="F74" s="22"/>
      <c r="G74" s="27"/>
      <c r="H74" s="24">
        <v>30.0</v>
      </c>
      <c r="I74" s="24">
        <v>35.0</v>
      </c>
      <c r="J74" s="24">
        <v>36.0</v>
      </c>
      <c r="K74" s="24">
        <f>IF(H74=0,0,CAPITAL!$C$5/H74)
</f>
        <v>5000</v>
      </c>
      <c r="L74" s="24">
        <f>IF(I74=0,0,CAPITAL!$C$6/I74)
</f>
        <v>20000</v>
      </c>
      <c r="M74" s="24">
        <f>IF(J74=0,0,CAPITAL!$C$7/J74)
</f>
        <v>69444.44444</v>
      </c>
      <c r="N74" s="24">
        <f t="shared" si="1"/>
        <v>94444.44444</v>
      </c>
      <c r="O74" s="24">
        <f t="shared" si="2"/>
        <v>0.05294117647</v>
      </c>
      <c r="P74" s="24">
        <f t="shared" si="3"/>
        <v>0.2117647059</v>
      </c>
      <c r="Q74" s="24">
        <f t="shared" si="4"/>
        <v>0.7352941176</v>
      </c>
    </row>
    <row r="75">
      <c r="A75" s="17">
        <v>73.0</v>
      </c>
      <c r="B75" s="18" t="s">
        <v>29</v>
      </c>
      <c r="C75" s="29"/>
      <c r="D75" s="25"/>
      <c r="E75" s="26"/>
      <c r="F75" s="22"/>
      <c r="G75" s="27"/>
      <c r="H75" s="24">
        <v>30.0</v>
      </c>
      <c r="I75" s="24">
        <v>35.0</v>
      </c>
      <c r="J75" s="24">
        <v>36.0</v>
      </c>
      <c r="K75" s="24">
        <f>IF(H75=0,0,CAPITAL!$C$5/H75)
</f>
        <v>5000</v>
      </c>
      <c r="L75" s="24">
        <f>IF(I75=0,0,CAPITAL!$C$6/I75)
</f>
        <v>20000</v>
      </c>
      <c r="M75" s="24">
        <f>IF(J75=0,0,CAPITAL!$C$7/J75)
</f>
        <v>69444.44444</v>
      </c>
      <c r="N75" s="24">
        <f t="shared" si="1"/>
        <v>94444.44444</v>
      </c>
      <c r="O75" s="24">
        <f t="shared" si="2"/>
        <v>0.05294117647</v>
      </c>
      <c r="P75" s="24">
        <f t="shared" si="3"/>
        <v>0.2117647059</v>
      </c>
      <c r="Q75" s="24">
        <f t="shared" si="4"/>
        <v>0.7352941176</v>
      </c>
    </row>
    <row r="76">
      <c r="A76" s="17">
        <v>74.0</v>
      </c>
      <c r="B76" s="18" t="s">
        <v>29</v>
      </c>
      <c r="C76" s="29"/>
      <c r="D76" s="25"/>
      <c r="E76" s="26"/>
      <c r="F76" s="22"/>
      <c r="G76" s="27"/>
      <c r="H76" s="24">
        <v>30.0</v>
      </c>
      <c r="I76" s="24">
        <v>35.0</v>
      </c>
      <c r="J76" s="24">
        <v>36.0</v>
      </c>
      <c r="K76" s="24">
        <f>IF(H76=0,0,CAPITAL!$C$5/H76)
</f>
        <v>5000</v>
      </c>
      <c r="L76" s="24">
        <f>IF(I76=0,0,CAPITAL!$C$6/I76)
</f>
        <v>20000</v>
      </c>
      <c r="M76" s="24">
        <f>IF(J76=0,0,CAPITAL!$C$7/J76)
</f>
        <v>69444.44444</v>
      </c>
      <c r="N76" s="24">
        <f t="shared" si="1"/>
        <v>94444.44444</v>
      </c>
      <c r="O76" s="24">
        <f t="shared" si="2"/>
        <v>0.05294117647</v>
      </c>
      <c r="P76" s="24">
        <f t="shared" si="3"/>
        <v>0.2117647059</v>
      </c>
      <c r="Q76" s="24">
        <f t="shared" si="4"/>
        <v>0.7352941176</v>
      </c>
    </row>
    <row r="77">
      <c r="A77" s="17">
        <v>75.0</v>
      </c>
      <c r="B77" s="18" t="s">
        <v>29</v>
      </c>
      <c r="C77" s="29"/>
      <c r="D77" s="25"/>
      <c r="E77" s="26"/>
      <c r="F77" s="22"/>
      <c r="G77" s="27"/>
      <c r="H77" s="24">
        <v>30.0</v>
      </c>
      <c r="I77" s="24">
        <v>35.0</v>
      </c>
      <c r="J77" s="24">
        <v>36.0</v>
      </c>
      <c r="K77" s="24">
        <f>IF(H77=0,0,CAPITAL!$C$5/H77)
</f>
        <v>5000</v>
      </c>
      <c r="L77" s="24">
        <f>IF(I77=0,0,CAPITAL!$C$6/I77)
</f>
        <v>20000</v>
      </c>
      <c r="M77" s="24">
        <f>IF(J77=0,0,CAPITAL!$C$7/J77)
</f>
        <v>69444.44444</v>
      </c>
      <c r="N77" s="24">
        <f t="shared" si="1"/>
        <v>94444.44444</v>
      </c>
      <c r="O77" s="24">
        <f t="shared" si="2"/>
        <v>0.05294117647</v>
      </c>
      <c r="P77" s="24">
        <f t="shared" si="3"/>
        <v>0.2117647059</v>
      </c>
      <c r="Q77" s="24">
        <f t="shared" si="4"/>
        <v>0.7352941176</v>
      </c>
    </row>
    <row r="78">
      <c r="A78" s="17">
        <v>76.0</v>
      </c>
      <c r="B78" s="18" t="s">
        <v>29</v>
      </c>
      <c r="C78" s="29"/>
      <c r="D78" s="25"/>
      <c r="E78" s="26"/>
      <c r="F78" s="22"/>
      <c r="G78" s="27"/>
      <c r="H78" s="24">
        <v>30.0</v>
      </c>
      <c r="I78" s="24">
        <v>35.0</v>
      </c>
      <c r="J78" s="24">
        <v>36.0</v>
      </c>
      <c r="K78" s="24">
        <f>IF(H78=0,0,CAPITAL!$C$5/H78)
</f>
        <v>5000</v>
      </c>
      <c r="L78" s="24">
        <f>IF(I78=0,0,CAPITAL!$C$6/I78)
</f>
        <v>20000</v>
      </c>
      <c r="M78" s="24">
        <f>IF(J78=0,0,CAPITAL!$C$7/J78)
</f>
        <v>69444.44444</v>
      </c>
      <c r="N78" s="24">
        <f t="shared" si="1"/>
        <v>94444.44444</v>
      </c>
      <c r="O78" s="24">
        <f t="shared" si="2"/>
        <v>0.05294117647</v>
      </c>
      <c r="P78" s="24">
        <f t="shared" si="3"/>
        <v>0.2117647059</v>
      </c>
      <c r="Q78" s="24">
        <f t="shared" si="4"/>
        <v>0.7352941176</v>
      </c>
    </row>
    <row r="79">
      <c r="A79" s="17">
        <v>77.0</v>
      </c>
      <c r="B79" s="18" t="s">
        <v>29</v>
      </c>
      <c r="C79" s="29"/>
      <c r="D79" s="25"/>
      <c r="E79" s="26"/>
      <c r="F79" s="22"/>
      <c r="G79" s="27"/>
      <c r="H79" s="24">
        <v>30.0</v>
      </c>
      <c r="I79" s="24">
        <v>35.0</v>
      </c>
      <c r="J79" s="24">
        <v>36.0</v>
      </c>
      <c r="K79" s="24">
        <f>IF(H79=0,0,CAPITAL!$C$5/H79)
</f>
        <v>5000</v>
      </c>
      <c r="L79" s="24">
        <f>IF(I79=0,0,CAPITAL!$C$6/I79)
</f>
        <v>20000</v>
      </c>
      <c r="M79" s="24">
        <f>IF(J79=0,0,CAPITAL!$C$7/J79)
</f>
        <v>69444.44444</v>
      </c>
      <c r="N79" s="24">
        <f t="shared" si="1"/>
        <v>94444.44444</v>
      </c>
      <c r="O79" s="24">
        <f t="shared" si="2"/>
        <v>0.05294117647</v>
      </c>
      <c r="P79" s="24">
        <f t="shared" si="3"/>
        <v>0.2117647059</v>
      </c>
      <c r="Q79" s="24">
        <f t="shared" si="4"/>
        <v>0.7352941176</v>
      </c>
    </row>
    <row r="80">
      <c r="A80" s="17">
        <v>78.0</v>
      </c>
      <c r="B80" s="18" t="s">
        <v>29</v>
      </c>
      <c r="C80" s="29"/>
      <c r="D80" s="25"/>
      <c r="E80" s="26"/>
      <c r="F80" s="22"/>
      <c r="G80" s="27"/>
      <c r="H80" s="24">
        <v>30.0</v>
      </c>
      <c r="I80" s="24">
        <v>35.0</v>
      </c>
      <c r="J80" s="24">
        <v>36.0</v>
      </c>
      <c r="K80" s="24">
        <f>IF(H80=0,0,CAPITAL!$C$5/H80)
</f>
        <v>5000</v>
      </c>
      <c r="L80" s="24">
        <f>IF(I80=0,0,CAPITAL!$C$6/I80)
</f>
        <v>20000</v>
      </c>
      <c r="M80" s="24">
        <f>IF(J80=0,0,CAPITAL!$C$7/J80)
</f>
        <v>69444.44444</v>
      </c>
      <c r="N80" s="24">
        <f t="shared" si="1"/>
        <v>94444.44444</v>
      </c>
      <c r="O80" s="24">
        <f t="shared" si="2"/>
        <v>0.05294117647</v>
      </c>
      <c r="P80" s="24">
        <f t="shared" si="3"/>
        <v>0.2117647059</v>
      </c>
      <c r="Q80" s="24">
        <f t="shared" si="4"/>
        <v>0.7352941176</v>
      </c>
    </row>
    <row r="81">
      <c r="A81" s="17">
        <v>79.0</v>
      </c>
      <c r="B81" s="18" t="s">
        <v>29</v>
      </c>
      <c r="C81" s="29"/>
      <c r="D81" s="25"/>
      <c r="E81" s="26"/>
      <c r="F81" s="22"/>
      <c r="G81" s="27"/>
      <c r="H81" s="24">
        <v>30.0</v>
      </c>
      <c r="I81" s="24">
        <v>35.0</v>
      </c>
      <c r="J81" s="24">
        <v>36.0</v>
      </c>
      <c r="K81" s="24">
        <f>IF(H81=0,0,CAPITAL!$C$5/H81)
</f>
        <v>5000</v>
      </c>
      <c r="L81" s="24">
        <f>IF(I81=0,0,CAPITAL!$C$6/I81)
</f>
        <v>20000</v>
      </c>
      <c r="M81" s="24">
        <f>IF(J81=0,0,CAPITAL!$C$7/J81)
</f>
        <v>69444.44444</v>
      </c>
      <c r="N81" s="24">
        <f t="shared" si="1"/>
        <v>94444.44444</v>
      </c>
      <c r="O81" s="24">
        <f t="shared" si="2"/>
        <v>0.05294117647</v>
      </c>
      <c r="P81" s="24">
        <f t="shared" si="3"/>
        <v>0.2117647059</v>
      </c>
      <c r="Q81" s="24">
        <f t="shared" si="4"/>
        <v>0.7352941176</v>
      </c>
    </row>
    <row r="82">
      <c r="A82" s="17">
        <v>80.0</v>
      </c>
      <c r="B82" s="18" t="s">
        <v>29</v>
      </c>
      <c r="C82" s="29"/>
      <c r="D82" s="25"/>
      <c r="E82" s="26"/>
      <c r="F82" s="22"/>
      <c r="G82" s="27"/>
      <c r="H82" s="24">
        <v>30.0</v>
      </c>
      <c r="I82" s="24">
        <v>35.0</v>
      </c>
      <c r="J82" s="24">
        <v>36.0</v>
      </c>
      <c r="K82" s="24">
        <f>IF(H82=0,0,CAPITAL!$C$5/H82)
</f>
        <v>5000</v>
      </c>
      <c r="L82" s="24">
        <f>IF(I82=0,0,CAPITAL!$C$6/I82)
</f>
        <v>20000</v>
      </c>
      <c r="M82" s="24">
        <f>IF(J82=0,0,CAPITAL!$C$7/J82)
</f>
        <v>69444.44444</v>
      </c>
      <c r="N82" s="24">
        <f t="shared" si="1"/>
        <v>94444.44444</v>
      </c>
      <c r="O82" s="24">
        <f t="shared" si="2"/>
        <v>0.05294117647</v>
      </c>
      <c r="P82" s="24">
        <f t="shared" si="3"/>
        <v>0.2117647059</v>
      </c>
      <c r="Q82" s="24">
        <f t="shared" si="4"/>
        <v>0.7352941176</v>
      </c>
    </row>
    <row r="83">
      <c r="A83" s="17">
        <v>81.0</v>
      </c>
      <c r="B83" s="18" t="s">
        <v>29</v>
      </c>
      <c r="C83" s="29"/>
      <c r="D83" s="25"/>
      <c r="E83" s="26"/>
      <c r="F83" s="22"/>
      <c r="G83" s="27"/>
      <c r="H83" s="24">
        <v>30.0</v>
      </c>
      <c r="I83" s="24">
        <v>35.0</v>
      </c>
      <c r="J83" s="24">
        <v>36.0</v>
      </c>
      <c r="K83" s="24">
        <f>IF(H83=0,0,CAPITAL!$C$5/H83)
</f>
        <v>5000</v>
      </c>
      <c r="L83" s="24">
        <f>IF(I83=0,0,CAPITAL!$C$6/I83)
</f>
        <v>20000</v>
      </c>
      <c r="M83" s="24">
        <f>IF(J83=0,0,CAPITAL!$C$7/J83)
</f>
        <v>69444.44444</v>
      </c>
      <c r="N83" s="24">
        <f t="shared" si="1"/>
        <v>94444.44444</v>
      </c>
      <c r="O83" s="24">
        <f t="shared" si="2"/>
        <v>0.05294117647</v>
      </c>
      <c r="P83" s="24">
        <f t="shared" si="3"/>
        <v>0.2117647059</v>
      </c>
      <c r="Q83" s="24">
        <f t="shared" si="4"/>
        <v>0.7352941176</v>
      </c>
    </row>
    <row r="84">
      <c r="A84" s="17">
        <v>82.0</v>
      </c>
      <c r="B84" s="18" t="s">
        <v>29</v>
      </c>
      <c r="C84" s="29"/>
      <c r="D84" s="25"/>
      <c r="E84" s="26"/>
      <c r="F84" s="22"/>
      <c r="G84" s="27"/>
      <c r="H84" s="24">
        <v>30.0</v>
      </c>
      <c r="I84" s="24">
        <v>35.0</v>
      </c>
      <c r="J84" s="24">
        <v>36.0</v>
      </c>
      <c r="K84" s="24">
        <f>IF(H84=0,0,CAPITAL!$C$5/H84)
</f>
        <v>5000</v>
      </c>
      <c r="L84" s="24">
        <f>IF(I84=0,0,CAPITAL!$C$6/I84)
</f>
        <v>20000</v>
      </c>
      <c r="M84" s="24">
        <f>IF(J84=0,0,CAPITAL!$C$7/J84)
</f>
        <v>69444.44444</v>
      </c>
      <c r="N84" s="24">
        <f t="shared" si="1"/>
        <v>94444.44444</v>
      </c>
      <c r="O84" s="24">
        <f t="shared" si="2"/>
        <v>0.05294117647</v>
      </c>
      <c r="P84" s="24">
        <f t="shared" si="3"/>
        <v>0.2117647059</v>
      </c>
      <c r="Q84" s="24">
        <f t="shared" si="4"/>
        <v>0.7352941176</v>
      </c>
    </row>
    <row r="85">
      <c r="A85" s="17">
        <v>83.0</v>
      </c>
      <c r="B85" s="18" t="s">
        <v>29</v>
      </c>
      <c r="C85" s="29"/>
      <c r="D85" s="25"/>
      <c r="E85" s="26"/>
      <c r="F85" s="22"/>
      <c r="G85" s="27"/>
      <c r="H85" s="24">
        <v>30.0</v>
      </c>
      <c r="I85" s="24">
        <v>35.0</v>
      </c>
      <c r="J85" s="24">
        <v>36.0</v>
      </c>
      <c r="K85" s="24">
        <f>IF(H85=0,0,CAPITAL!$C$5/H85)
</f>
        <v>5000</v>
      </c>
      <c r="L85" s="24">
        <f>IF(I85=0,0,CAPITAL!$C$6/I85)
</f>
        <v>20000</v>
      </c>
      <c r="M85" s="24">
        <f>IF(J85=0,0,CAPITAL!$C$7/J85)
</f>
        <v>69444.44444</v>
      </c>
      <c r="N85" s="24">
        <f t="shared" si="1"/>
        <v>94444.44444</v>
      </c>
      <c r="O85" s="24">
        <f t="shared" si="2"/>
        <v>0.05294117647</v>
      </c>
      <c r="P85" s="24">
        <f t="shared" si="3"/>
        <v>0.2117647059</v>
      </c>
      <c r="Q85" s="24">
        <f t="shared" si="4"/>
        <v>0.7352941176</v>
      </c>
    </row>
    <row r="86">
      <c r="A86" s="17">
        <v>84.0</v>
      </c>
      <c r="B86" s="18" t="s">
        <v>29</v>
      </c>
      <c r="C86" s="29"/>
      <c r="D86" s="25"/>
      <c r="E86" s="26"/>
      <c r="F86" s="22"/>
      <c r="G86" s="27"/>
      <c r="H86" s="24">
        <v>30.0</v>
      </c>
      <c r="I86" s="24">
        <v>35.0</v>
      </c>
      <c r="J86" s="24">
        <v>36.0</v>
      </c>
      <c r="K86" s="24">
        <f>IF(H86=0,0,CAPITAL!$C$5/H86)
</f>
        <v>5000</v>
      </c>
      <c r="L86" s="24">
        <f>IF(I86=0,0,CAPITAL!$C$6/I86)
</f>
        <v>20000</v>
      </c>
      <c r="M86" s="24">
        <f>IF(J86=0,0,CAPITAL!$C$7/J86)
</f>
        <v>69444.44444</v>
      </c>
      <c r="N86" s="24">
        <f t="shared" si="1"/>
        <v>94444.44444</v>
      </c>
      <c r="O86" s="24">
        <f t="shared" si="2"/>
        <v>0.05294117647</v>
      </c>
      <c r="P86" s="24">
        <f t="shared" si="3"/>
        <v>0.2117647059</v>
      </c>
      <c r="Q86" s="24">
        <f t="shared" si="4"/>
        <v>0.7352941176</v>
      </c>
    </row>
    <row r="87">
      <c r="A87" s="17">
        <v>85.0</v>
      </c>
      <c r="B87" s="18" t="s">
        <v>29</v>
      </c>
      <c r="C87" s="29"/>
      <c r="D87" s="25"/>
      <c r="E87" s="26"/>
      <c r="F87" s="22"/>
      <c r="G87" s="27"/>
      <c r="H87" s="24">
        <v>30.0</v>
      </c>
      <c r="I87" s="24">
        <v>35.0</v>
      </c>
      <c r="J87" s="24">
        <v>36.0</v>
      </c>
      <c r="K87" s="24">
        <f>IF(H87=0,0,CAPITAL!$C$5/H87)
</f>
        <v>5000</v>
      </c>
      <c r="L87" s="24">
        <f>IF(I87=0,0,CAPITAL!$C$6/I87)
</f>
        <v>20000</v>
      </c>
      <c r="M87" s="24">
        <f>IF(J87=0,0,CAPITAL!$C$7/J87)
</f>
        <v>69444.44444</v>
      </c>
      <c r="N87" s="24">
        <f t="shared" si="1"/>
        <v>94444.44444</v>
      </c>
      <c r="O87" s="24">
        <f t="shared" si="2"/>
        <v>0.05294117647</v>
      </c>
      <c r="P87" s="24">
        <f t="shared" si="3"/>
        <v>0.2117647059</v>
      </c>
      <c r="Q87" s="24">
        <f t="shared" si="4"/>
        <v>0.7352941176</v>
      </c>
    </row>
    <row r="88">
      <c r="A88" s="17">
        <v>86.0</v>
      </c>
      <c r="B88" s="18" t="s">
        <v>29</v>
      </c>
      <c r="C88" s="29"/>
      <c r="D88" s="25"/>
      <c r="E88" s="26"/>
      <c r="F88" s="22"/>
      <c r="G88" s="27"/>
      <c r="H88" s="24">
        <v>30.0</v>
      </c>
      <c r="I88" s="24">
        <v>35.0</v>
      </c>
      <c r="J88" s="24">
        <v>36.0</v>
      </c>
      <c r="K88" s="24">
        <f>IF(H88=0,0,CAPITAL!$C$5/H88)
</f>
        <v>5000</v>
      </c>
      <c r="L88" s="24">
        <f>IF(I88=0,0,CAPITAL!$C$6/I88)
</f>
        <v>20000</v>
      </c>
      <c r="M88" s="24">
        <f>IF(J88=0,0,CAPITAL!$C$7/J88)
</f>
        <v>69444.44444</v>
      </c>
      <c r="N88" s="24">
        <f t="shared" si="1"/>
        <v>94444.44444</v>
      </c>
      <c r="O88" s="24">
        <f t="shared" si="2"/>
        <v>0.05294117647</v>
      </c>
      <c r="P88" s="24">
        <f t="shared" si="3"/>
        <v>0.2117647059</v>
      </c>
      <c r="Q88" s="24">
        <f t="shared" si="4"/>
        <v>0.7352941176</v>
      </c>
    </row>
    <row r="89">
      <c r="A89" s="17">
        <v>87.0</v>
      </c>
      <c r="B89" s="18" t="s">
        <v>29</v>
      </c>
      <c r="C89" s="29"/>
      <c r="D89" s="25"/>
      <c r="E89" s="26"/>
      <c r="F89" s="22"/>
      <c r="G89" s="27"/>
      <c r="H89" s="24">
        <v>30.0</v>
      </c>
      <c r="I89" s="24">
        <v>35.0</v>
      </c>
      <c r="J89" s="24">
        <v>36.0</v>
      </c>
      <c r="K89" s="24">
        <f>IF(H89=0,0,CAPITAL!$C$5/H89)
</f>
        <v>5000</v>
      </c>
      <c r="L89" s="24">
        <f>IF(I89=0,0,CAPITAL!$C$6/I89)
</f>
        <v>20000</v>
      </c>
      <c r="M89" s="24">
        <f>IF(J89=0,0,CAPITAL!$C$7/J89)
</f>
        <v>69444.44444</v>
      </c>
      <c r="N89" s="24">
        <f t="shared" si="1"/>
        <v>94444.44444</v>
      </c>
      <c r="O89" s="24">
        <f t="shared" si="2"/>
        <v>0.05294117647</v>
      </c>
      <c r="P89" s="24">
        <f t="shared" si="3"/>
        <v>0.2117647059</v>
      </c>
      <c r="Q89" s="24">
        <f t="shared" si="4"/>
        <v>0.7352941176</v>
      </c>
    </row>
    <row r="90">
      <c r="A90" s="17">
        <v>88.0</v>
      </c>
      <c r="B90" s="18" t="s">
        <v>29</v>
      </c>
      <c r="C90" s="29"/>
      <c r="D90" s="25"/>
      <c r="E90" s="26"/>
      <c r="F90" s="22"/>
      <c r="G90" s="27"/>
      <c r="H90" s="24">
        <v>30.0</v>
      </c>
      <c r="I90" s="24">
        <v>35.0</v>
      </c>
      <c r="J90" s="24">
        <v>36.0</v>
      </c>
      <c r="K90" s="24">
        <f>IF(H90=0,0,CAPITAL!$C$5/H90)
</f>
        <v>5000</v>
      </c>
      <c r="L90" s="24">
        <f>IF(I90=0,0,CAPITAL!$C$6/I90)
</f>
        <v>20000</v>
      </c>
      <c r="M90" s="24">
        <f>IF(J90=0,0,CAPITAL!$C$7/J90)
</f>
        <v>69444.44444</v>
      </c>
      <c r="N90" s="24">
        <f t="shared" si="1"/>
        <v>94444.44444</v>
      </c>
      <c r="O90" s="24">
        <f t="shared" si="2"/>
        <v>0.05294117647</v>
      </c>
      <c r="P90" s="24">
        <f t="shared" si="3"/>
        <v>0.2117647059</v>
      </c>
      <c r="Q90" s="24">
        <f t="shared" si="4"/>
        <v>0.7352941176</v>
      </c>
    </row>
    <row r="91">
      <c r="A91" s="17">
        <v>89.0</v>
      </c>
      <c r="B91" s="18" t="s">
        <v>29</v>
      </c>
      <c r="C91" s="29"/>
      <c r="D91" s="25"/>
      <c r="E91" s="26"/>
      <c r="F91" s="22"/>
      <c r="G91" s="27"/>
      <c r="H91" s="24">
        <v>30.0</v>
      </c>
      <c r="I91" s="24">
        <v>35.0</v>
      </c>
      <c r="J91" s="24">
        <v>36.0</v>
      </c>
      <c r="K91" s="24">
        <f>IF(H91=0,0,CAPITAL!$C$5/H91)
</f>
        <v>5000</v>
      </c>
      <c r="L91" s="24">
        <f>IF(I91=0,0,CAPITAL!$C$6/I91)
</f>
        <v>20000</v>
      </c>
      <c r="M91" s="24">
        <f>IF(J91=0,0,CAPITAL!$C$7/J91)
</f>
        <v>69444.44444</v>
      </c>
      <c r="N91" s="24">
        <f t="shared" si="1"/>
        <v>94444.44444</v>
      </c>
      <c r="O91" s="24">
        <f t="shared" si="2"/>
        <v>0.05294117647</v>
      </c>
      <c r="P91" s="24">
        <f t="shared" si="3"/>
        <v>0.2117647059</v>
      </c>
      <c r="Q91" s="24">
        <f t="shared" si="4"/>
        <v>0.7352941176</v>
      </c>
    </row>
    <row r="92">
      <c r="A92" s="17">
        <v>90.0</v>
      </c>
      <c r="B92" s="18" t="s">
        <v>29</v>
      </c>
      <c r="C92" s="29"/>
      <c r="D92" s="25"/>
      <c r="E92" s="26"/>
      <c r="F92" s="22"/>
      <c r="G92" s="27"/>
      <c r="H92" s="24">
        <v>30.0</v>
      </c>
      <c r="I92" s="24">
        <v>35.0</v>
      </c>
      <c r="J92" s="24">
        <v>36.0</v>
      </c>
      <c r="K92" s="24">
        <f>IF(H92=0,0,CAPITAL!$C$5/H92)
</f>
        <v>5000</v>
      </c>
      <c r="L92" s="24">
        <f>IF(I92=0,0,CAPITAL!$C$6/I92)
</f>
        <v>20000</v>
      </c>
      <c r="M92" s="24">
        <f>IF(J92=0,0,CAPITAL!$C$7/J92)
</f>
        <v>69444.44444</v>
      </c>
      <c r="N92" s="24">
        <f t="shared" si="1"/>
        <v>94444.44444</v>
      </c>
      <c r="O92" s="24">
        <f t="shared" si="2"/>
        <v>0.05294117647</v>
      </c>
      <c r="P92" s="24">
        <f t="shared" si="3"/>
        <v>0.2117647059</v>
      </c>
      <c r="Q92" s="24">
        <f t="shared" si="4"/>
        <v>0.7352941176</v>
      </c>
    </row>
    <row r="93">
      <c r="A93" s="17">
        <v>91.0</v>
      </c>
      <c r="B93" s="18" t="s">
        <v>29</v>
      </c>
      <c r="C93" s="29"/>
      <c r="D93" s="25"/>
      <c r="E93" s="26"/>
      <c r="F93" s="22"/>
      <c r="G93" s="27"/>
      <c r="H93" s="24">
        <v>30.0</v>
      </c>
      <c r="I93" s="24">
        <v>35.0</v>
      </c>
      <c r="J93" s="24">
        <v>36.0</v>
      </c>
      <c r="K93" s="24">
        <f>IF(H93=0,0,CAPITAL!$C$5/H93)
</f>
        <v>5000</v>
      </c>
      <c r="L93" s="24">
        <f>IF(I93=0,0,CAPITAL!$C$6/I93)
</f>
        <v>20000</v>
      </c>
      <c r="M93" s="24">
        <f>IF(J93=0,0,CAPITAL!$C$7/J93)
</f>
        <v>69444.44444</v>
      </c>
      <c r="N93" s="24">
        <f t="shared" si="1"/>
        <v>94444.44444</v>
      </c>
      <c r="O93" s="24">
        <f t="shared" si="2"/>
        <v>0.05294117647</v>
      </c>
      <c r="P93" s="24">
        <f t="shared" si="3"/>
        <v>0.2117647059</v>
      </c>
      <c r="Q93" s="24">
        <f t="shared" si="4"/>
        <v>0.7352941176</v>
      </c>
    </row>
    <row r="94">
      <c r="A94" s="17">
        <v>92.0</v>
      </c>
      <c r="B94" s="18" t="s">
        <v>29</v>
      </c>
      <c r="C94" s="29"/>
      <c r="D94" s="25"/>
      <c r="E94" s="26"/>
      <c r="F94" s="22"/>
      <c r="G94" s="27"/>
      <c r="H94" s="24">
        <v>30.0</v>
      </c>
      <c r="I94" s="24">
        <v>35.0</v>
      </c>
      <c r="J94" s="24">
        <v>36.0</v>
      </c>
      <c r="K94" s="24">
        <f>IF(H94=0,0,CAPITAL!$C$5/H94)
</f>
        <v>5000</v>
      </c>
      <c r="L94" s="24">
        <f>IF(I94=0,0,CAPITAL!$C$6/I94)
</f>
        <v>20000</v>
      </c>
      <c r="M94" s="24">
        <f>IF(J94=0,0,CAPITAL!$C$7/J94)
</f>
        <v>69444.44444</v>
      </c>
      <c r="N94" s="24">
        <f t="shared" si="1"/>
        <v>94444.44444</v>
      </c>
      <c r="O94" s="24">
        <f t="shared" si="2"/>
        <v>0.05294117647</v>
      </c>
      <c r="P94" s="24">
        <f t="shared" si="3"/>
        <v>0.2117647059</v>
      </c>
      <c r="Q94" s="24">
        <f t="shared" si="4"/>
        <v>0.7352941176</v>
      </c>
    </row>
    <row r="95">
      <c r="A95" s="17">
        <v>93.0</v>
      </c>
      <c r="B95" s="18" t="s">
        <v>29</v>
      </c>
      <c r="C95" s="29"/>
      <c r="D95" s="25"/>
      <c r="E95" s="26"/>
      <c r="F95" s="22"/>
      <c r="G95" s="27"/>
      <c r="H95" s="24">
        <v>30.0</v>
      </c>
      <c r="I95" s="24">
        <v>35.0</v>
      </c>
      <c r="J95" s="24">
        <v>36.0</v>
      </c>
      <c r="K95" s="24">
        <f>IF(H95=0,0,CAPITAL!$C$5/H95)
</f>
        <v>5000</v>
      </c>
      <c r="L95" s="24">
        <f>IF(I95=0,0,CAPITAL!$C$6/I95)
</f>
        <v>20000</v>
      </c>
      <c r="M95" s="24">
        <f>IF(J95=0,0,CAPITAL!$C$7/J95)
</f>
        <v>69444.44444</v>
      </c>
      <c r="N95" s="24">
        <f t="shared" si="1"/>
        <v>94444.44444</v>
      </c>
      <c r="O95" s="24">
        <f t="shared" si="2"/>
        <v>0.05294117647</v>
      </c>
      <c r="P95" s="24">
        <f t="shared" si="3"/>
        <v>0.2117647059</v>
      </c>
      <c r="Q95" s="24">
        <f t="shared" si="4"/>
        <v>0.7352941176</v>
      </c>
    </row>
    <row r="96">
      <c r="A96" s="17">
        <v>94.0</v>
      </c>
      <c r="B96" s="18" t="s">
        <v>29</v>
      </c>
      <c r="C96" s="29"/>
      <c r="D96" s="25"/>
      <c r="E96" s="26"/>
      <c r="F96" s="22"/>
      <c r="G96" s="27"/>
      <c r="H96" s="24">
        <v>30.0</v>
      </c>
      <c r="I96" s="24">
        <v>35.0</v>
      </c>
      <c r="J96" s="24">
        <v>36.0</v>
      </c>
      <c r="K96" s="24">
        <f>IF(H96=0,0,CAPITAL!$C$5/H96)
</f>
        <v>5000</v>
      </c>
      <c r="L96" s="24">
        <f>IF(I96=0,0,CAPITAL!$C$6/I96)
</f>
        <v>20000</v>
      </c>
      <c r="M96" s="24">
        <f>IF(J96=0,0,CAPITAL!$C$7/J96)
</f>
        <v>69444.44444</v>
      </c>
      <c r="N96" s="24">
        <f t="shared" si="1"/>
        <v>94444.44444</v>
      </c>
      <c r="O96" s="24">
        <f t="shared" si="2"/>
        <v>0.05294117647</v>
      </c>
      <c r="P96" s="24">
        <f t="shared" si="3"/>
        <v>0.2117647059</v>
      </c>
      <c r="Q96" s="24">
        <f t="shared" si="4"/>
        <v>0.7352941176</v>
      </c>
    </row>
    <row r="97">
      <c r="A97" s="17">
        <v>95.0</v>
      </c>
      <c r="B97" s="18" t="s">
        <v>29</v>
      </c>
      <c r="C97" s="29"/>
      <c r="D97" s="25"/>
      <c r="E97" s="26"/>
      <c r="F97" s="22"/>
      <c r="G97" s="27"/>
      <c r="H97" s="24">
        <v>30.0</v>
      </c>
      <c r="I97" s="24">
        <v>35.0</v>
      </c>
      <c r="J97" s="24">
        <v>36.0</v>
      </c>
      <c r="K97" s="24">
        <f>IF(H97=0,0,CAPITAL!$C$5/H97)
</f>
        <v>5000</v>
      </c>
      <c r="L97" s="24">
        <f>IF(I97=0,0,CAPITAL!$C$6/I97)
</f>
        <v>20000</v>
      </c>
      <c r="M97" s="24">
        <f>IF(J97=0,0,CAPITAL!$C$7/J97)
</f>
        <v>69444.44444</v>
      </c>
      <c r="N97" s="24">
        <f t="shared" si="1"/>
        <v>94444.44444</v>
      </c>
      <c r="O97" s="24">
        <f t="shared" si="2"/>
        <v>0.05294117647</v>
      </c>
      <c r="P97" s="24">
        <f t="shared" si="3"/>
        <v>0.2117647059</v>
      </c>
      <c r="Q97" s="24">
        <f t="shared" si="4"/>
        <v>0.7352941176</v>
      </c>
    </row>
    <row r="98">
      <c r="A98" s="17">
        <v>96.0</v>
      </c>
      <c r="B98" s="18" t="s">
        <v>29</v>
      </c>
      <c r="C98" s="29"/>
      <c r="D98" s="25"/>
      <c r="E98" s="26"/>
      <c r="F98" s="22"/>
      <c r="G98" s="27"/>
      <c r="H98" s="24">
        <v>30.0</v>
      </c>
      <c r="I98" s="24">
        <v>35.0</v>
      </c>
      <c r="J98" s="24">
        <v>36.0</v>
      </c>
      <c r="K98" s="24">
        <f>IF(H98=0,0,CAPITAL!$C$5/H98)
</f>
        <v>5000</v>
      </c>
      <c r="L98" s="24">
        <f>IF(I98=0,0,CAPITAL!$C$6/I98)
</f>
        <v>20000</v>
      </c>
      <c r="M98" s="24">
        <f>IF(J98=0,0,CAPITAL!$C$7/J98)
</f>
        <v>69444.44444</v>
      </c>
      <c r="N98" s="24">
        <f t="shared" si="1"/>
        <v>94444.44444</v>
      </c>
      <c r="O98" s="24">
        <f t="shared" si="2"/>
        <v>0.05294117647</v>
      </c>
      <c r="P98" s="24">
        <f t="shared" si="3"/>
        <v>0.2117647059</v>
      </c>
      <c r="Q98" s="24">
        <f t="shared" si="4"/>
        <v>0.7352941176</v>
      </c>
    </row>
    <row r="99">
      <c r="A99" s="17">
        <v>97.0</v>
      </c>
      <c r="B99" s="18" t="s">
        <v>29</v>
      </c>
      <c r="C99" s="29"/>
      <c r="D99" s="25"/>
      <c r="E99" s="26"/>
      <c r="F99" s="22"/>
      <c r="G99" s="27"/>
      <c r="H99" s="24">
        <v>30.0</v>
      </c>
      <c r="I99" s="24">
        <v>35.0</v>
      </c>
      <c r="J99" s="24">
        <v>36.0</v>
      </c>
      <c r="K99" s="24">
        <f>IF(H99=0,0,CAPITAL!$C$5/H99)
</f>
        <v>5000</v>
      </c>
      <c r="L99" s="24">
        <f>IF(I99=0,0,CAPITAL!$C$6/I99)
</f>
        <v>20000</v>
      </c>
      <c r="M99" s="24">
        <f>IF(J99=0,0,CAPITAL!$C$7/J99)
</f>
        <v>69444.44444</v>
      </c>
      <c r="N99" s="24">
        <f t="shared" si="1"/>
        <v>94444.44444</v>
      </c>
      <c r="O99" s="24">
        <f t="shared" si="2"/>
        <v>0.05294117647</v>
      </c>
      <c r="P99" s="24">
        <f t="shared" si="3"/>
        <v>0.2117647059</v>
      </c>
      <c r="Q99" s="24">
        <f t="shared" si="4"/>
        <v>0.7352941176</v>
      </c>
    </row>
    <row r="100">
      <c r="A100" s="17">
        <v>98.0</v>
      </c>
      <c r="B100" s="18" t="s">
        <v>29</v>
      </c>
      <c r="C100" s="29"/>
      <c r="D100" s="25"/>
      <c r="E100" s="26"/>
      <c r="F100" s="22"/>
      <c r="G100" s="27"/>
      <c r="H100" s="24">
        <v>30.0</v>
      </c>
      <c r="I100" s="24">
        <v>35.0</v>
      </c>
      <c r="J100" s="24">
        <v>36.0</v>
      </c>
      <c r="K100" s="24">
        <f>IF(H100=0,0,CAPITAL!$C$5/H100)
</f>
        <v>5000</v>
      </c>
      <c r="L100" s="24">
        <f>IF(I100=0,0,CAPITAL!$C$6/I100)
</f>
        <v>20000</v>
      </c>
      <c r="M100" s="24">
        <f>IF(J100=0,0,CAPITAL!$C$7/J100)
</f>
        <v>69444.44444</v>
      </c>
      <c r="N100" s="24">
        <f t="shared" si="1"/>
        <v>94444.44444</v>
      </c>
      <c r="O100" s="24">
        <f t="shared" si="2"/>
        <v>0.05294117647</v>
      </c>
      <c r="P100" s="24">
        <f t="shared" si="3"/>
        <v>0.2117647059</v>
      </c>
      <c r="Q100" s="24">
        <f t="shared" si="4"/>
        <v>0.7352941176</v>
      </c>
    </row>
    <row r="101">
      <c r="A101" s="17">
        <v>99.0</v>
      </c>
      <c r="B101" s="18" t="s">
        <v>29</v>
      </c>
      <c r="C101" s="29"/>
      <c r="D101" s="25"/>
      <c r="E101" s="26"/>
      <c r="F101" s="22"/>
      <c r="G101" s="27"/>
      <c r="H101" s="24">
        <v>30.0</v>
      </c>
      <c r="I101" s="24">
        <v>35.0</v>
      </c>
      <c r="J101" s="24">
        <v>36.0</v>
      </c>
      <c r="K101" s="24">
        <f>IF(H101=0,0,CAPITAL!$C$5/H101)
</f>
        <v>5000</v>
      </c>
      <c r="L101" s="24">
        <f>IF(I101=0,0,CAPITAL!$C$6/I101)
</f>
        <v>20000</v>
      </c>
      <c r="M101" s="24">
        <f>IF(J101=0,0,CAPITAL!$C$7/J101)
</f>
        <v>69444.44444</v>
      </c>
      <c r="N101" s="24">
        <f t="shared" si="1"/>
        <v>94444.44444</v>
      </c>
      <c r="O101" s="24">
        <f t="shared" si="2"/>
        <v>0.05294117647</v>
      </c>
      <c r="P101" s="24">
        <f t="shared" si="3"/>
        <v>0.2117647059</v>
      </c>
      <c r="Q101" s="24">
        <f t="shared" si="4"/>
        <v>0.7352941176</v>
      </c>
    </row>
    <row r="102">
      <c r="A102" s="17">
        <v>100.0</v>
      </c>
      <c r="B102" s="18" t="s">
        <v>29</v>
      </c>
      <c r="C102" s="29"/>
      <c r="D102" s="25"/>
      <c r="E102" s="26"/>
      <c r="F102" s="22"/>
      <c r="G102" s="27"/>
      <c r="H102" s="24">
        <v>30.0</v>
      </c>
      <c r="I102" s="24">
        <v>35.0</v>
      </c>
      <c r="J102" s="24">
        <v>36.0</v>
      </c>
      <c r="K102" s="24">
        <f>IF(H102=0,0,CAPITAL!$C$5/H102)
</f>
        <v>5000</v>
      </c>
      <c r="L102" s="24">
        <f>IF(I102=0,0,CAPITAL!$C$6/I102)
</f>
        <v>20000</v>
      </c>
      <c r="M102" s="24">
        <f>IF(J102=0,0,CAPITAL!$C$7/J102)
</f>
        <v>69444.44444</v>
      </c>
      <c r="N102" s="24">
        <f t="shared" si="1"/>
        <v>94444.44444</v>
      </c>
      <c r="O102" s="24">
        <f t="shared" si="2"/>
        <v>0.05294117647</v>
      </c>
      <c r="P102" s="24">
        <f t="shared" si="3"/>
        <v>0.2117647059</v>
      </c>
      <c r="Q102" s="24">
        <f t="shared" si="4"/>
        <v>0.7352941176</v>
      </c>
    </row>
    <row r="103">
      <c r="A103" s="17">
        <v>101.0</v>
      </c>
      <c r="B103" s="18" t="s">
        <v>29</v>
      </c>
      <c r="C103" s="29"/>
      <c r="D103" s="25"/>
      <c r="E103" s="26"/>
      <c r="F103" s="22"/>
      <c r="G103" s="27"/>
      <c r="H103" s="24">
        <v>30.0</v>
      </c>
      <c r="I103" s="24">
        <v>35.0</v>
      </c>
      <c r="J103" s="24">
        <v>36.0</v>
      </c>
      <c r="K103" s="24">
        <f>IF(H103=0,0,CAPITAL!$C$5/H103)
</f>
        <v>5000</v>
      </c>
      <c r="L103" s="24">
        <f>IF(I103=0,0,CAPITAL!$C$6/I103)
</f>
        <v>20000</v>
      </c>
      <c r="M103" s="24">
        <f>IF(J103=0,0,CAPITAL!$C$7/J103)
</f>
        <v>69444.44444</v>
      </c>
      <c r="N103" s="24">
        <f t="shared" si="1"/>
        <v>94444.44444</v>
      </c>
      <c r="O103" s="24">
        <f t="shared" si="2"/>
        <v>0.05294117647</v>
      </c>
      <c r="P103" s="24">
        <f t="shared" si="3"/>
        <v>0.2117647059</v>
      </c>
      <c r="Q103" s="24">
        <f t="shared" si="4"/>
        <v>0.7352941176</v>
      </c>
    </row>
    <row r="104">
      <c r="A104" s="17">
        <v>102.0</v>
      </c>
      <c r="B104" s="18" t="s">
        <v>29</v>
      </c>
      <c r="C104" s="29"/>
      <c r="D104" s="25"/>
      <c r="E104" s="26"/>
      <c r="F104" s="22"/>
      <c r="G104" s="27"/>
      <c r="H104" s="24">
        <v>30.0</v>
      </c>
      <c r="I104" s="24">
        <v>35.0</v>
      </c>
      <c r="J104" s="24">
        <v>36.0</v>
      </c>
      <c r="K104" s="24">
        <f>IF(H104=0,0,CAPITAL!$C$5/H104)
</f>
        <v>5000</v>
      </c>
      <c r="L104" s="24">
        <f>IF(I104=0,0,CAPITAL!$C$6/I104)
</f>
        <v>20000</v>
      </c>
      <c r="M104" s="24">
        <f>IF(J104=0,0,CAPITAL!$C$7/J104)
</f>
        <v>69444.44444</v>
      </c>
      <c r="N104" s="24">
        <f t="shared" si="1"/>
        <v>94444.44444</v>
      </c>
      <c r="O104" s="24">
        <f t="shared" si="2"/>
        <v>0.05294117647</v>
      </c>
      <c r="P104" s="24">
        <f t="shared" si="3"/>
        <v>0.2117647059</v>
      </c>
      <c r="Q104" s="24">
        <f t="shared" si="4"/>
        <v>0.7352941176</v>
      </c>
    </row>
    <row r="105">
      <c r="A105" s="17">
        <v>103.0</v>
      </c>
      <c r="B105" s="18" t="s">
        <v>29</v>
      </c>
      <c r="C105" s="29"/>
      <c r="D105" s="25"/>
      <c r="E105" s="26"/>
      <c r="F105" s="22"/>
      <c r="G105" s="27"/>
      <c r="H105" s="24">
        <v>30.0</v>
      </c>
      <c r="I105" s="24">
        <v>35.0</v>
      </c>
      <c r="J105" s="24">
        <v>36.0</v>
      </c>
      <c r="K105" s="24">
        <f>IF(H105=0,0,CAPITAL!$C$5/H105)
</f>
        <v>5000</v>
      </c>
      <c r="L105" s="24">
        <f>IF(I105=0,0,CAPITAL!$C$6/I105)
</f>
        <v>20000</v>
      </c>
      <c r="M105" s="24">
        <f>IF(J105=0,0,CAPITAL!$C$7/J105)
</f>
        <v>69444.44444</v>
      </c>
      <c r="N105" s="24">
        <f t="shared" si="1"/>
        <v>94444.44444</v>
      </c>
      <c r="O105" s="24">
        <f t="shared" si="2"/>
        <v>0.05294117647</v>
      </c>
      <c r="P105" s="24">
        <f t="shared" si="3"/>
        <v>0.2117647059</v>
      </c>
      <c r="Q105" s="24">
        <f t="shared" si="4"/>
        <v>0.7352941176</v>
      </c>
    </row>
    <row r="106">
      <c r="A106" s="17">
        <v>104.0</v>
      </c>
      <c r="B106" s="18" t="s">
        <v>29</v>
      </c>
      <c r="C106" s="29"/>
      <c r="D106" s="25"/>
      <c r="E106" s="26"/>
      <c r="F106" s="22"/>
      <c r="G106" s="27"/>
      <c r="H106" s="24">
        <v>30.0</v>
      </c>
      <c r="I106" s="24">
        <v>35.0</v>
      </c>
      <c r="J106" s="24">
        <v>36.0</v>
      </c>
      <c r="K106" s="24">
        <f>IF(H106=0,0,CAPITAL!$C$5/H106)
</f>
        <v>5000</v>
      </c>
      <c r="L106" s="24">
        <f>IF(I106=0,0,CAPITAL!$C$6/I106)
</f>
        <v>20000</v>
      </c>
      <c r="M106" s="24">
        <f>IF(J106=0,0,CAPITAL!$C$7/J106)
</f>
        <v>69444.44444</v>
      </c>
      <c r="N106" s="24">
        <f t="shared" si="1"/>
        <v>94444.44444</v>
      </c>
      <c r="O106" s="24">
        <f t="shared" si="2"/>
        <v>0.05294117647</v>
      </c>
      <c r="P106" s="24">
        <f t="shared" si="3"/>
        <v>0.2117647059</v>
      </c>
      <c r="Q106" s="24">
        <f t="shared" si="4"/>
        <v>0.7352941176</v>
      </c>
    </row>
    <row r="107">
      <c r="A107" s="17">
        <v>105.0</v>
      </c>
      <c r="B107" s="18" t="s">
        <v>29</v>
      </c>
      <c r="C107" s="29"/>
      <c r="D107" s="25"/>
      <c r="E107" s="26"/>
      <c r="F107" s="22"/>
      <c r="G107" s="27"/>
      <c r="H107" s="24">
        <v>30.0</v>
      </c>
      <c r="I107" s="24">
        <v>35.0</v>
      </c>
      <c r="J107" s="24">
        <v>36.0</v>
      </c>
      <c r="K107" s="24">
        <f>IF(H107=0,0,CAPITAL!$C$5/H107)
</f>
        <v>5000</v>
      </c>
      <c r="L107" s="24">
        <f>IF(I107=0,0,CAPITAL!$C$6/I107)
</f>
        <v>20000</v>
      </c>
      <c r="M107" s="24">
        <f>IF(J107=0,0,CAPITAL!$C$7/J107)
</f>
        <v>69444.44444</v>
      </c>
      <c r="N107" s="24">
        <f t="shared" si="1"/>
        <v>94444.44444</v>
      </c>
      <c r="O107" s="24">
        <f t="shared" si="2"/>
        <v>0.05294117647</v>
      </c>
      <c r="P107" s="24">
        <f t="shared" si="3"/>
        <v>0.2117647059</v>
      </c>
      <c r="Q107" s="24">
        <f t="shared" si="4"/>
        <v>0.7352941176</v>
      </c>
    </row>
    <row r="108">
      <c r="A108" s="17">
        <v>106.0</v>
      </c>
      <c r="B108" s="18" t="s">
        <v>29</v>
      </c>
      <c r="C108" s="29"/>
      <c r="D108" s="25"/>
      <c r="E108" s="26"/>
      <c r="F108" s="22"/>
      <c r="G108" s="27"/>
      <c r="H108" s="24">
        <v>30.0</v>
      </c>
      <c r="I108" s="24">
        <v>35.0</v>
      </c>
      <c r="J108" s="24">
        <v>36.0</v>
      </c>
      <c r="K108" s="24">
        <f>IF(H108=0,0,CAPITAL!$C$5/H108)
</f>
        <v>5000</v>
      </c>
      <c r="L108" s="24">
        <f>IF(I108=0,0,CAPITAL!$C$6/I108)
</f>
        <v>20000</v>
      </c>
      <c r="M108" s="24">
        <f>IF(J108=0,0,CAPITAL!$C$7/J108)
</f>
        <v>69444.44444</v>
      </c>
      <c r="N108" s="24">
        <f t="shared" si="1"/>
        <v>94444.44444</v>
      </c>
      <c r="O108" s="24">
        <f t="shared" si="2"/>
        <v>0.05294117647</v>
      </c>
      <c r="P108" s="24">
        <f t="shared" si="3"/>
        <v>0.2117647059</v>
      </c>
      <c r="Q108" s="24">
        <f t="shared" si="4"/>
        <v>0.7352941176</v>
      </c>
    </row>
    <row r="109">
      <c r="A109" s="17">
        <v>107.0</v>
      </c>
      <c r="B109" s="18" t="s">
        <v>29</v>
      </c>
      <c r="C109" s="29"/>
      <c r="D109" s="25"/>
      <c r="E109" s="26"/>
      <c r="F109" s="22"/>
      <c r="G109" s="27"/>
      <c r="H109" s="24">
        <v>30.0</v>
      </c>
      <c r="I109" s="24">
        <v>35.0</v>
      </c>
      <c r="J109" s="24">
        <v>36.0</v>
      </c>
      <c r="K109" s="24">
        <f>IF(H109=0,0,CAPITAL!$C$5/H109)
</f>
        <v>5000</v>
      </c>
      <c r="L109" s="24">
        <f>IF(I109=0,0,CAPITAL!$C$6/I109)
</f>
        <v>20000</v>
      </c>
      <c r="M109" s="24">
        <f>IF(J109=0,0,CAPITAL!$C$7/J109)
</f>
        <v>69444.44444</v>
      </c>
      <c r="N109" s="24">
        <f t="shared" si="1"/>
        <v>94444.44444</v>
      </c>
      <c r="O109" s="24">
        <f t="shared" si="2"/>
        <v>0.05294117647</v>
      </c>
      <c r="P109" s="24">
        <f t="shared" si="3"/>
        <v>0.2117647059</v>
      </c>
      <c r="Q109" s="24">
        <f t="shared" si="4"/>
        <v>0.7352941176</v>
      </c>
    </row>
    <row r="110">
      <c r="A110" s="17">
        <v>108.0</v>
      </c>
      <c r="B110" s="18" t="s">
        <v>29</v>
      </c>
      <c r="C110" s="29"/>
      <c r="D110" s="25"/>
      <c r="E110" s="26"/>
      <c r="F110" s="22"/>
      <c r="G110" s="27"/>
      <c r="H110" s="24">
        <v>30.0</v>
      </c>
      <c r="I110" s="24">
        <v>35.0</v>
      </c>
      <c r="J110" s="24">
        <v>36.0</v>
      </c>
      <c r="K110" s="24">
        <f>IF(H110=0,0,CAPITAL!$C$5/H110)
</f>
        <v>5000</v>
      </c>
      <c r="L110" s="24">
        <f>IF(I110=0,0,CAPITAL!$C$6/I110)
</f>
        <v>20000</v>
      </c>
      <c r="M110" s="24">
        <f>IF(J110=0,0,CAPITAL!$C$7/J110)
</f>
        <v>69444.44444</v>
      </c>
      <c r="N110" s="24">
        <f t="shared" si="1"/>
        <v>94444.44444</v>
      </c>
      <c r="O110" s="24">
        <f t="shared" si="2"/>
        <v>0.05294117647</v>
      </c>
      <c r="P110" s="24">
        <f t="shared" si="3"/>
        <v>0.2117647059</v>
      </c>
      <c r="Q110" s="24">
        <f t="shared" si="4"/>
        <v>0.7352941176</v>
      </c>
    </row>
    <row r="111">
      <c r="A111" s="17">
        <v>109.0</v>
      </c>
      <c r="B111" s="18" t="s">
        <v>29</v>
      </c>
      <c r="C111" s="29"/>
      <c r="D111" s="25"/>
      <c r="E111" s="26"/>
      <c r="F111" s="22"/>
      <c r="G111" s="27"/>
      <c r="H111" s="24">
        <v>30.0</v>
      </c>
      <c r="I111" s="24">
        <v>35.0</v>
      </c>
      <c r="J111" s="24">
        <v>36.0</v>
      </c>
      <c r="K111" s="24">
        <f>IF(H111=0,0,CAPITAL!$C$5/H111)
</f>
        <v>5000</v>
      </c>
      <c r="L111" s="24">
        <f>IF(I111=0,0,CAPITAL!$C$6/I111)
</f>
        <v>20000</v>
      </c>
      <c r="M111" s="24">
        <f>IF(J111=0,0,CAPITAL!$C$7/J111)
</f>
        <v>69444.44444</v>
      </c>
      <c r="N111" s="24">
        <f t="shared" si="1"/>
        <v>94444.44444</v>
      </c>
      <c r="O111" s="24">
        <f t="shared" si="2"/>
        <v>0.05294117647</v>
      </c>
      <c r="P111" s="24">
        <f t="shared" si="3"/>
        <v>0.2117647059</v>
      </c>
      <c r="Q111" s="24">
        <f t="shared" si="4"/>
        <v>0.7352941176</v>
      </c>
    </row>
    <row r="112">
      <c r="A112" s="17">
        <v>110.0</v>
      </c>
      <c r="B112" s="18" t="s">
        <v>29</v>
      </c>
      <c r="C112" s="29"/>
      <c r="D112" s="25"/>
      <c r="E112" s="26"/>
      <c r="F112" s="22"/>
      <c r="G112" s="27"/>
      <c r="H112" s="24">
        <v>30.0</v>
      </c>
      <c r="I112" s="24">
        <v>35.0</v>
      </c>
      <c r="J112" s="24">
        <v>36.0</v>
      </c>
      <c r="K112" s="24">
        <f>IF(H112=0,0,CAPITAL!$C$5/H112)
</f>
        <v>5000</v>
      </c>
      <c r="L112" s="24">
        <f>IF(I112=0,0,CAPITAL!$C$6/I112)
</f>
        <v>20000</v>
      </c>
      <c r="M112" s="24">
        <f>IF(J112=0,0,CAPITAL!$C$7/J112)
</f>
        <v>69444.44444</v>
      </c>
      <c r="N112" s="24">
        <f t="shared" si="1"/>
        <v>94444.44444</v>
      </c>
      <c r="O112" s="24">
        <f t="shared" si="2"/>
        <v>0.05294117647</v>
      </c>
      <c r="P112" s="24">
        <f t="shared" si="3"/>
        <v>0.2117647059</v>
      </c>
      <c r="Q112" s="24">
        <f t="shared" si="4"/>
        <v>0.7352941176</v>
      </c>
    </row>
    <row r="113">
      <c r="A113" s="17">
        <v>111.0</v>
      </c>
      <c r="B113" s="18" t="s">
        <v>29</v>
      </c>
      <c r="C113" s="29"/>
      <c r="D113" s="25"/>
      <c r="E113" s="26"/>
      <c r="F113" s="22"/>
      <c r="G113" s="27"/>
      <c r="H113" s="24">
        <v>30.0</v>
      </c>
      <c r="I113" s="24">
        <v>35.0</v>
      </c>
      <c r="J113" s="24">
        <v>36.0</v>
      </c>
      <c r="K113" s="24">
        <f>IF(H113=0,0,CAPITAL!$C$5/H113)
</f>
        <v>5000</v>
      </c>
      <c r="L113" s="24">
        <f>IF(I113=0,0,CAPITAL!$C$6/I113)
</f>
        <v>20000</v>
      </c>
      <c r="M113" s="24">
        <f>IF(J113=0,0,CAPITAL!$C$7/J113)
</f>
        <v>69444.44444</v>
      </c>
      <c r="N113" s="24">
        <f t="shared" si="1"/>
        <v>94444.44444</v>
      </c>
      <c r="O113" s="24">
        <f t="shared" si="2"/>
        <v>0.05294117647</v>
      </c>
      <c r="P113" s="24">
        <f t="shared" si="3"/>
        <v>0.2117647059</v>
      </c>
      <c r="Q113" s="24">
        <f t="shared" si="4"/>
        <v>0.7352941176</v>
      </c>
    </row>
    <row r="114">
      <c r="A114" s="17">
        <v>112.0</v>
      </c>
      <c r="B114" s="18" t="s">
        <v>29</v>
      </c>
      <c r="C114" s="29"/>
      <c r="D114" s="25"/>
      <c r="E114" s="26"/>
      <c r="F114" s="22"/>
      <c r="G114" s="27"/>
      <c r="H114" s="24">
        <v>30.0</v>
      </c>
      <c r="I114" s="24">
        <v>35.0</v>
      </c>
      <c r="J114" s="24">
        <v>36.0</v>
      </c>
      <c r="K114" s="24">
        <f>IF(H114=0,0,CAPITAL!$C$5/H114)
</f>
        <v>5000</v>
      </c>
      <c r="L114" s="24">
        <f>IF(I114=0,0,CAPITAL!$C$6/I114)
</f>
        <v>20000</v>
      </c>
      <c r="M114" s="24">
        <f>IF(J114=0,0,CAPITAL!$C$7/J114)
</f>
        <v>69444.44444</v>
      </c>
      <c r="N114" s="24">
        <f t="shared" si="1"/>
        <v>94444.44444</v>
      </c>
      <c r="O114" s="24">
        <f t="shared" si="2"/>
        <v>0.05294117647</v>
      </c>
      <c r="P114" s="24">
        <f t="shared" si="3"/>
        <v>0.2117647059</v>
      </c>
      <c r="Q114" s="24">
        <f t="shared" si="4"/>
        <v>0.7352941176</v>
      </c>
    </row>
    <row r="115">
      <c r="A115" s="17">
        <v>113.0</v>
      </c>
      <c r="B115" s="18" t="s">
        <v>29</v>
      </c>
      <c r="C115" s="29"/>
      <c r="D115" s="25"/>
      <c r="E115" s="26"/>
      <c r="F115" s="22"/>
      <c r="G115" s="27"/>
      <c r="H115" s="24">
        <v>30.0</v>
      </c>
      <c r="I115" s="24">
        <v>35.0</v>
      </c>
      <c r="J115" s="24">
        <v>36.0</v>
      </c>
      <c r="K115" s="24">
        <f>IF(H115=0,0,CAPITAL!$C$5/H115)
</f>
        <v>5000</v>
      </c>
      <c r="L115" s="24">
        <f>IF(I115=0,0,CAPITAL!$C$6/I115)
</f>
        <v>20000</v>
      </c>
      <c r="M115" s="24">
        <f>IF(J115=0,0,CAPITAL!$C$7/J115)
</f>
        <v>69444.44444</v>
      </c>
      <c r="N115" s="24">
        <f t="shared" si="1"/>
        <v>94444.44444</v>
      </c>
      <c r="O115" s="24">
        <f t="shared" si="2"/>
        <v>0.05294117647</v>
      </c>
      <c r="P115" s="24">
        <f t="shared" si="3"/>
        <v>0.2117647059</v>
      </c>
      <c r="Q115" s="24">
        <f t="shared" si="4"/>
        <v>0.7352941176</v>
      </c>
    </row>
    <row r="116">
      <c r="A116" s="17">
        <v>114.0</v>
      </c>
      <c r="B116" s="18" t="s">
        <v>29</v>
      </c>
      <c r="C116" s="29"/>
      <c r="D116" s="25"/>
      <c r="E116" s="26"/>
      <c r="F116" s="22"/>
      <c r="G116" s="27"/>
      <c r="H116" s="24">
        <v>30.0</v>
      </c>
      <c r="I116" s="24">
        <v>35.0</v>
      </c>
      <c r="J116" s="24">
        <v>36.0</v>
      </c>
      <c r="K116" s="24">
        <f>IF(H116=0,0,CAPITAL!$C$5/H116)
</f>
        <v>5000</v>
      </c>
      <c r="L116" s="24">
        <f>IF(I116=0,0,CAPITAL!$C$6/I116)
</f>
        <v>20000</v>
      </c>
      <c r="M116" s="24">
        <f>IF(J116=0,0,CAPITAL!$C$7/J116)
</f>
        <v>69444.44444</v>
      </c>
      <c r="N116" s="24">
        <f t="shared" si="1"/>
        <v>94444.44444</v>
      </c>
      <c r="O116" s="24">
        <f t="shared" si="2"/>
        <v>0.05294117647</v>
      </c>
      <c r="P116" s="24">
        <f t="shared" si="3"/>
        <v>0.2117647059</v>
      </c>
      <c r="Q116" s="24">
        <f t="shared" si="4"/>
        <v>0.7352941176</v>
      </c>
    </row>
    <row r="117">
      <c r="A117" s="17">
        <v>115.0</v>
      </c>
      <c r="B117" s="18" t="s">
        <v>29</v>
      </c>
      <c r="C117" s="29"/>
      <c r="D117" s="25"/>
      <c r="E117" s="26"/>
      <c r="F117" s="22"/>
      <c r="G117" s="27"/>
      <c r="H117" s="24">
        <v>30.0</v>
      </c>
      <c r="I117" s="24">
        <v>35.0</v>
      </c>
      <c r="J117" s="24">
        <v>36.0</v>
      </c>
      <c r="K117" s="24">
        <f>IF(H117=0,0,CAPITAL!$C$5/H117)
</f>
        <v>5000</v>
      </c>
      <c r="L117" s="24">
        <f>IF(I117=0,0,CAPITAL!$C$6/I117)
</f>
        <v>20000</v>
      </c>
      <c r="M117" s="24">
        <f>IF(J117=0,0,CAPITAL!$C$7/J117)
</f>
        <v>69444.44444</v>
      </c>
      <c r="N117" s="24">
        <f t="shared" si="1"/>
        <v>94444.44444</v>
      </c>
      <c r="O117" s="24">
        <f t="shared" si="2"/>
        <v>0.05294117647</v>
      </c>
      <c r="P117" s="24">
        <f t="shared" si="3"/>
        <v>0.2117647059</v>
      </c>
      <c r="Q117" s="24">
        <f t="shared" si="4"/>
        <v>0.7352941176</v>
      </c>
    </row>
    <row r="118">
      <c r="A118" s="17">
        <v>116.0</v>
      </c>
      <c r="B118" s="18" t="s">
        <v>29</v>
      </c>
      <c r="C118" s="29"/>
      <c r="D118" s="25"/>
      <c r="E118" s="26"/>
      <c r="F118" s="22"/>
      <c r="G118" s="27"/>
      <c r="H118" s="24">
        <v>30.0</v>
      </c>
      <c r="I118" s="24">
        <v>35.0</v>
      </c>
      <c r="J118" s="24">
        <v>36.0</v>
      </c>
      <c r="K118" s="24">
        <f>IF(H118=0,0,CAPITAL!$C$5/H118)
</f>
        <v>5000</v>
      </c>
      <c r="L118" s="24">
        <f>IF(I118=0,0,CAPITAL!$C$6/I118)
</f>
        <v>20000</v>
      </c>
      <c r="M118" s="24">
        <f>IF(J118=0,0,CAPITAL!$C$7/J118)
</f>
        <v>69444.44444</v>
      </c>
      <c r="N118" s="24">
        <f t="shared" si="1"/>
        <v>94444.44444</v>
      </c>
      <c r="O118" s="24">
        <f t="shared" si="2"/>
        <v>0.05294117647</v>
      </c>
      <c r="P118" s="24">
        <f t="shared" si="3"/>
        <v>0.2117647059</v>
      </c>
      <c r="Q118" s="24">
        <f t="shared" si="4"/>
        <v>0.7352941176</v>
      </c>
    </row>
    <row r="119">
      <c r="A119" s="17">
        <v>117.0</v>
      </c>
      <c r="B119" s="18" t="s">
        <v>29</v>
      </c>
      <c r="C119" s="29"/>
      <c r="D119" s="25"/>
      <c r="E119" s="26"/>
      <c r="F119" s="22"/>
      <c r="G119" s="27"/>
      <c r="H119" s="24">
        <v>30.0</v>
      </c>
      <c r="I119" s="24">
        <v>35.0</v>
      </c>
      <c r="J119" s="24">
        <v>36.0</v>
      </c>
      <c r="K119" s="24">
        <f>IF(H119=0,0,CAPITAL!$C$5/H119)
</f>
        <v>5000</v>
      </c>
      <c r="L119" s="24">
        <f>IF(I119=0,0,CAPITAL!$C$6/I119)
</f>
        <v>20000</v>
      </c>
      <c r="M119" s="24">
        <f>IF(J119=0,0,CAPITAL!$C$7/J119)
</f>
        <v>69444.44444</v>
      </c>
      <c r="N119" s="24">
        <f t="shared" si="1"/>
        <v>94444.44444</v>
      </c>
      <c r="O119" s="24">
        <f t="shared" si="2"/>
        <v>0.05294117647</v>
      </c>
      <c r="P119" s="24">
        <f t="shared" si="3"/>
        <v>0.2117647059</v>
      </c>
      <c r="Q119" s="24">
        <f t="shared" si="4"/>
        <v>0.7352941176</v>
      </c>
    </row>
    <row r="120">
      <c r="A120" s="17">
        <v>118.0</v>
      </c>
      <c r="B120" s="24" t="s">
        <v>29</v>
      </c>
      <c r="C120" s="30"/>
      <c r="D120" s="22"/>
      <c r="E120" s="31"/>
      <c r="F120" s="22"/>
      <c r="G120" s="30"/>
      <c r="H120" s="24">
        <v>30.0</v>
      </c>
      <c r="I120" s="24">
        <v>35.0</v>
      </c>
      <c r="J120" s="24">
        <v>36.0</v>
      </c>
      <c r="K120" s="24">
        <f>IF(H120=0,0,CAPITAL!$C$5/H120)
</f>
        <v>5000</v>
      </c>
      <c r="L120" s="24">
        <f>IF(I120=0,0,CAPITAL!$C$6/I120)
</f>
        <v>20000</v>
      </c>
      <c r="M120" s="24">
        <f>IF(J120=0,0,CAPITAL!$C$7/J120)
</f>
        <v>69444.44444</v>
      </c>
      <c r="N120" s="24">
        <f t="shared" si="1"/>
        <v>94444.44444</v>
      </c>
      <c r="O120" s="24">
        <f t="shared" si="2"/>
        <v>0.05294117647</v>
      </c>
      <c r="P120" s="24">
        <f t="shared" si="3"/>
        <v>0.2117647059</v>
      </c>
      <c r="Q120" s="24">
        <f t="shared" si="4"/>
        <v>0.7352941176</v>
      </c>
    </row>
    <row r="121">
      <c r="A121" s="17">
        <v>119.0</v>
      </c>
      <c r="B121" s="24" t="s">
        <v>29</v>
      </c>
      <c r="C121" s="30"/>
      <c r="D121" s="22"/>
      <c r="E121" s="31"/>
      <c r="F121" s="22"/>
      <c r="G121" s="30"/>
      <c r="H121" s="24">
        <v>30.0</v>
      </c>
      <c r="I121" s="24">
        <v>35.0</v>
      </c>
      <c r="J121" s="24">
        <v>36.0</v>
      </c>
      <c r="K121" s="24">
        <f>IF(H121=0,0,CAPITAL!$C$5/H121)
</f>
        <v>5000</v>
      </c>
      <c r="L121" s="24">
        <f>IF(I121=0,0,CAPITAL!$C$6/I121)
</f>
        <v>20000</v>
      </c>
      <c r="M121" s="24">
        <f>IF(J121=0,0,CAPITAL!$C$7/J121)
</f>
        <v>69444.44444</v>
      </c>
      <c r="N121" s="24">
        <f t="shared" si="1"/>
        <v>94444.44444</v>
      </c>
      <c r="O121" s="24">
        <f t="shared" si="2"/>
        <v>0.05294117647</v>
      </c>
      <c r="P121" s="24">
        <f t="shared" si="3"/>
        <v>0.2117647059</v>
      </c>
      <c r="Q121" s="24">
        <f t="shared" si="4"/>
        <v>0.7352941176</v>
      </c>
    </row>
    <row r="122">
      <c r="A122" s="17">
        <v>120.0</v>
      </c>
      <c r="B122" s="24" t="s">
        <v>29</v>
      </c>
      <c r="C122" s="30"/>
      <c r="D122" s="22"/>
      <c r="E122" s="31"/>
      <c r="F122" s="22"/>
      <c r="G122" s="30"/>
      <c r="H122" s="24">
        <v>30.0</v>
      </c>
      <c r="I122" s="24">
        <v>35.0</v>
      </c>
      <c r="J122" s="24">
        <v>36.0</v>
      </c>
      <c r="K122" s="24">
        <f>IF(H122=0,0,CAPITAL!$C$5/H122)
</f>
        <v>5000</v>
      </c>
      <c r="L122" s="24">
        <f>IF(I122=0,0,CAPITAL!$C$6/I122)
</f>
        <v>20000</v>
      </c>
      <c r="M122" s="24">
        <f>IF(J122=0,0,CAPITAL!$C$7/J122)
</f>
        <v>69444.44444</v>
      </c>
      <c r="N122" s="24">
        <f t="shared" si="1"/>
        <v>94444.44444</v>
      </c>
      <c r="O122" s="24">
        <f t="shared" si="2"/>
        <v>0.05294117647</v>
      </c>
      <c r="P122" s="24">
        <f t="shared" si="3"/>
        <v>0.2117647059</v>
      </c>
      <c r="Q122" s="24">
        <f t="shared" si="4"/>
        <v>0.7352941176</v>
      </c>
    </row>
    <row r="123">
      <c r="A123" s="17">
        <v>121.0</v>
      </c>
      <c r="B123" s="24" t="s">
        <v>29</v>
      </c>
      <c r="C123" s="30"/>
      <c r="D123" s="22"/>
      <c r="E123" s="31"/>
      <c r="F123" s="22"/>
      <c r="G123" s="30"/>
      <c r="H123" s="24">
        <v>30.0</v>
      </c>
      <c r="I123" s="24">
        <v>35.0</v>
      </c>
      <c r="J123" s="24">
        <v>36.0</v>
      </c>
      <c r="K123" s="24">
        <f>IF(H123=0,0,CAPITAL!$C$5/H123)
</f>
        <v>5000</v>
      </c>
      <c r="L123" s="24">
        <f>IF(I123=0,0,CAPITAL!$C$6/I123)
</f>
        <v>20000</v>
      </c>
      <c r="M123" s="24">
        <f>IF(J123=0,0,CAPITAL!$C$7/J123)
</f>
        <v>69444.44444</v>
      </c>
      <c r="N123" s="24">
        <f t="shared" si="1"/>
        <v>94444.44444</v>
      </c>
      <c r="O123" s="24">
        <f t="shared" si="2"/>
        <v>0.05294117647</v>
      </c>
      <c r="P123" s="24">
        <f t="shared" si="3"/>
        <v>0.2117647059</v>
      </c>
      <c r="Q123" s="24">
        <f t="shared" si="4"/>
        <v>0.7352941176</v>
      </c>
    </row>
    <row r="124">
      <c r="A124" s="17">
        <v>122.0</v>
      </c>
      <c r="B124" s="24" t="s">
        <v>29</v>
      </c>
      <c r="C124" s="30"/>
      <c r="D124" s="22"/>
      <c r="E124" s="31"/>
      <c r="F124" s="22"/>
      <c r="G124" s="30"/>
      <c r="H124" s="24">
        <v>30.0</v>
      </c>
      <c r="I124" s="24">
        <v>35.0</v>
      </c>
      <c r="J124" s="24">
        <v>36.0</v>
      </c>
      <c r="K124" s="24">
        <f>IF(H124=0,0,CAPITAL!$C$5/H124)
</f>
        <v>5000</v>
      </c>
      <c r="L124" s="24">
        <f>IF(I124=0,0,CAPITAL!$C$6/I124)
</f>
        <v>20000</v>
      </c>
      <c r="M124" s="24">
        <f>IF(J124=0,0,CAPITAL!$C$7/J124)
</f>
        <v>69444.44444</v>
      </c>
      <c r="N124" s="24">
        <f t="shared" si="1"/>
        <v>94444.44444</v>
      </c>
      <c r="O124" s="24">
        <f t="shared" si="2"/>
        <v>0.05294117647</v>
      </c>
      <c r="P124" s="24">
        <f t="shared" si="3"/>
        <v>0.2117647059</v>
      </c>
      <c r="Q124" s="24">
        <f t="shared" si="4"/>
        <v>0.7352941176</v>
      </c>
    </row>
    <row r="125">
      <c r="A125" s="17">
        <v>123.0</v>
      </c>
      <c r="B125" s="24" t="s">
        <v>29</v>
      </c>
      <c r="C125" s="30"/>
      <c r="D125" s="22"/>
      <c r="E125" s="31"/>
      <c r="F125" s="22"/>
      <c r="G125" s="30"/>
      <c r="H125" s="24">
        <v>30.0</v>
      </c>
      <c r="I125" s="24">
        <v>35.0</v>
      </c>
      <c r="J125" s="24">
        <v>36.0</v>
      </c>
      <c r="K125" s="24">
        <f>IF(H125=0,0,CAPITAL!$C$5/H125)
</f>
        <v>5000</v>
      </c>
      <c r="L125" s="24">
        <f>IF(I125=0,0,CAPITAL!$C$6/I125)
</f>
        <v>20000</v>
      </c>
      <c r="M125" s="24">
        <f>IF(J125=0,0,CAPITAL!$C$7/J125)
</f>
        <v>69444.44444</v>
      </c>
      <c r="N125" s="24">
        <f t="shared" si="1"/>
        <v>94444.44444</v>
      </c>
      <c r="O125" s="24">
        <f t="shared" si="2"/>
        <v>0.05294117647</v>
      </c>
      <c r="P125" s="24">
        <f t="shared" si="3"/>
        <v>0.2117647059</v>
      </c>
      <c r="Q125" s="24">
        <f t="shared" si="4"/>
        <v>0.7352941176</v>
      </c>
    </row>
    <row r="126">
      <c r="A126" s="17">
        <v>124.0</v>
      </c>
      <c r="B126" s="24" t="s">
        <v>29</v>
      </c>
      <c r="C126" s="30"/>
      <c r="D126" s="22"/>
      <c r="E126" s="31"/>
      <c r="F126" s="22"/>
      <c r="G126" s="30"/>
      <c r="H126" s="24">
        <v>30.0</v>
      </c>
      <c r="I126" s="24">
        <v>35.0</v>
      </c>
      <c r="J126" s="24">
        <v>36.0</v>
      </c>
      <c r="K126" s="24">
        <f>IF(H126=0,0,CAPITAL!$C$5/H126)
</f>
        <v>5000</v>
      </c>
      <c r="L126" s="24">
        <f>IF(I126=0,0,CAPITAL!$C$6/I126)
</f>
        <v>20000</v>
      </c>
      <c r="M126" s="24">
        <f>IF(J126=0,0,CAPITAL!$C$7/J126)
</f>
        <v>69444.44444</v>
      </c>
      <c r="N126" s="24">
        <f t="shared" si="1"/>
        <v>94444.44444</v>
      </c>
      <c r="O126" s="24">
        <f t="shared" si="2"/>
        <v>0.05294117647</v>
      </c>
      <c r="P126" s="24">
        <f t="shared" si="3"/>
        <v>0.2117647059</v>
      </c>
      <c r="Q126" s="24">
        <f t="shared" si="4"/>
        <v>0.7352941176</v>
      </c>
    </row>
    <row r="127">
      <c r="A127" s="17">
        <v>125.0</v>
      </c>
      <c r="B127" s="24" t="s">
        <v>29</v>
      </c>
      <c r="C127" s="30"/>
      <c r="D127" s="22"/>
      <c r="E127" s="31"/>
      <c r="F127" s="22"/>
      <c r="G127" s="30"/>
      <c r="H127" s="24">
        <v>30.0</v>
      </c>
      <c r="I127" s="24">
        <v>35.0</v>
      </c>
      <c r="J127" s="24">
        <v>36.0</v>
      </c>
      <c r="K127" s="24">
        <f>IF(H127=0,0,CAPITAL!$C$5/H127)
</f>
        <v>5000</v>
      </c>
      <c r="L127" s="24">
        <f>IF(I127=0,0,CAPITAL!$C$6/I127)
</f>
        <v>20000</v>
      </c>
      <c r="M127" s="24">
        <f>IF(J127=0,0,CAPITAL!$C$7/J127)
</f>
        <v>69444.44444</v>
      </c>
      <c r="N127" s="24">
        <f t="shared" si="1"/>
        <v>94444.44444</v>
      </c>
      <c r="O127" s="24">
        <f t="shared" si="2"/>
        <v>0.05294117647</v>
      </c>
      <c r="P127" s="24">
        <f t="shared" si="3"/>
        <v>0.2117647059</v>
      </c>
      <c r="Q127" s="24">
        <f t="shared" si="4"/>
        <v>0.7352941176</v>
      </c>
    </row>
    <row r="128">
      <c r="A128" s="17">
        <v>126.0</v>
      </c>
      <c r="B128" s="24" t="s">
        <v>29</v>
      </c>
      <c r="C128" s="30"/>
      <c r="D128" s="22"/>
      <c r="E128" s="31"/>
      <c r="F128" s="22"/>
      <c r="G128" s="30"/>
      <c r="H128" s="24">
        <v>30.0</v>
      </c>
      <c r="I128" s="24">
        <v>35.0</v>
      </c>
      <c r="J128" s="24">
        <v>36.0</v>
      </c>
      <c r="K128" s="24">
        <f>IF(H128=0,0,CAPITAL!$C$5/H128)
</f>
        <v>5000</v>
      </c>
      <c r="L128" s="24">
        <f>IF(I128=0,0,CAPITAL!$C$6/I128)
</f>
        <v>20000</v>
      </c>
      <c r="M128" s="24">
        <f>IF(J128=0,0,CAPITAL!$C$7/J128)
</f>
        <v>69444.44444</v>
      </c>
      <c r="N128" s="24">
        <f t="shared" si="1"/>
        <v>94444.44444</v>
      </c>
      <c r="O128" s="24">
        <f t="shared" si="2"/>
        <v>0.05294117647</v>
      </c>
      <c r="P128" s="24">
        <f t="shared" si="3"/>
        <v>0.2117647059</v>
      </c>
      <c r="Q128" s="24">
        <f t="shared" si="4"/>
        <v>0.7352941176</v>
      </c>
    </row>
    <row r="129">
      <c r="A129" s="17">
        <v>127.0</v>
      </c>
      <c r="B129" s="24" t="s">
        <v>29</v>
      </c>
      <c r="C129" s="30"/>
      <c r="D129" s="22"/>
      <c r="E129" s="31"/>
      <c r="F129" s="22"/>
      <c r="G129" s="30"/>
      <c r="H129" s="24">
        <v>30.0</v>
      </c>
      <c r="I129" s="24">
        <v>35.0</v>
      </c>
      <c r="J129" s="24">
        <v>36.0</v>
      </c>
      <c r="K129" s="24">
        <f>IF(H129=0,0,CAPITAL!$C$5/H129)
</f>
        <v>5000</v>
      </c>
      <c r="L129" s="24">
        <f>IF(I129=0,0,CAPITAL!$C$6/I129)
</f>
        <v>20000</v>
      </c>
      <c r="M129" s="24">
        <f>IF(J129=0,0,CAPITAL!$C$7/J129)
</f>
        <v>69444.44444</v>
      </c>
      <c r="N129" s="24">
        <f t="shared" si="1"/>
        <v>94444.44444</v>
      </c>
      <c r="O129" s="24">
        <f t="shared" si="2"/>
        <v>0.05294117647</v>
      </c>
      <c r="P129" s="24">
        <f t="shared" si="3"/>
        <v>0.2117647059</v>
      </c>
      <c r="Q129" s="24">
        <f t="shared" si="4"/>
        <v>0.7352941176</v>
      </c>
    </row>
    <row r="130">
      <c r="A130" s="17">
        <v>128.0</v>
      </c>
      <c r="B130" s="24" t="s">
        <v>29</v>
      </c>
      <c r="C130" s="30"/>
      <c r="D130" s="22"/>
      <c r="E130" s="31"/>
      <c r="F130" s="22"/>
      <c r="G130" s="30"/>
      <c r="H130" s="24">
        <v>30.0</v>
      </c>
      <c r="I130" s="24">
        <v>35.0</v>
      </c>
      <c r="J130" s="24">
        <v>36.0</v>
      </c>
      <c r="K130" s="24">
        <f>IF(H130=0,0,CAPITAL!$C$5/H130)
</f>
        <v>5000</v>
      </c>
      <c r="L130" s="24">
        <f>IF(I130=0,0,CAPITAL!$C$6/I130)
</f>
        <v>20000</v>
      </c>
      <c r="M130" s="24">
        <f>IF(J130=0,0,CAPITAL!$C$7/J130)
</f>
        <v>69444.44444</v>
      </c>
      <c r="N130" s="24">
        <f t="shared" si="1"/>
        <v>94444.44444</v>
      </c>
      <c r="O130" s="24">
        <f t="shared" si="2"/>
        <v>0.05294117647</v>
      </c>
      <c r="P130" s="24">
        <f t="shared" si="3"/>
        <v>0.2117647059</v>
      </c>
      <c r="Q130" s="24">
        <f t="shared" si="4"/>
        <v>0.7352941176</v>
      </c>
    </row>
    <row r="131">
      <c r="A131" s="17">
        <v>129.0</v>
      </c>
      <c r="B131" s="24" t="s">
        <v>29</v>
      </c>
      <c r="C131" s="30"/>
      <c r="D131" s="22"/>
      <c r="E131" s="31"/>
      <c r="F131" s="22"/>
      <c r="G131" s="30"/>
      <c r="H131" s="24">
        <v>30.0</v>
      </c>
      <c r="I131" s="24">
        <v>35.0</v>
      </c>
      <c r="J131" s="24">
        <v>36.0</v>
      </c>
      <c r="K131" s="24">
        <f>IF(H131=0,0,CAPITAL!$C$5/H131)
</f>
        <v>5000</v>
      </c>
      <c r="L131" s="24">
        <f>IF(I131=0,0,CAPITAL!$C$6/I131)
</f>
        <v>20000</v>
      </c>
      <c r="M131" s="24">
        <f>IF(J131=0,0,CAPITAL!$C$7/J131)
</f>
        <v>69444.44444</v>
      </c>
      <c r="N131" s="24">
        <f t="shared" si="1"/>
        <v>94444.44444</v>
      </c>
      <c r="O131" s="24">
        <f t="shared" si="2"/>
        <v>0.05294117647</v>
      </c>
      <c r="P131" s="24">
        <f t="shared" si="3"/>
        <v>0.2117647059</v>
      </c>
      <c r="Q131" s="24">
        <f t="shared" si="4"/>
        <v>0.7352941176</v>
      </c>
    </row>
    <row r="132">
      <c r="A132" s="17">
        <v>130.0</v>
      </c>
      <c r="B132" s="24" t="s">
        <v>29</v>
      </c>
      <c r="C132" s="30"/>
      <c r="D132" s="22"/>
      <c r="E132" s="31"/>
      <c r="F132" s="22"/>
      <c r="G132" s="30"/>
      <c r="H132" s="24">
        <v>30.0</v>
      </c>
      <c r="I132" s="24">
        <v>35.0</v>
      </c>
      <c r="J132" s="24">
        <v>36.0</v>
      </c>
      <c r="K132" s="24">
        <f>IF(H132=0,0,CAPITAL!$C$5/H132)
</f>
        <v>5000</v>
      </c>
      <c r="L132" s="24">
        <f>IF(I132=0,0,CAPITAL!$C$6/I132)
</f>
        <v>20000</v>
      </c>
      <c r="M132" s="24">
        <f>IF(J132=0,0,CAPITAL!$C$7/J132)
</f>
        <v>69444.44444</v>
      </c>
      <c r="N132" s="24">
        <f t="shared" si="1"/>
        <v>94444.44444</v>
      </c>
      <c r="O132" s="24">
        <f t="shared" si="2"/>
        <v>0.05294117647</v>
      </c>
      <c r="P132" s="24">
        <f t="shared" si="3"/>
        <v>0.2117647059</v>
      </c>
      <c r="Q132" s="24">
        <f t="shared" si="4"/>
        <v>0.7352941176</v>
      </c>
    </row>
    <row r="133">
      <c r="A133" s="17">
        <v>131.0</v>
      </c>
      <c r="B133" s="24" t="s">
        <v>29</v>
      </c>
      <c r="C133" s="30"/>
      <c r="D133" s="22"/>
      <c r="E133" s="31"/>
      <c r="F133" s="22"/>
      <c r="G133" s="30"/>
      <c r="H133" s="24">
        <v>30.0</v>
      </c>
      <c r="I133" s="24">
        <v>35.0</v>
      </c>
      <c r="J133" s="24">
        <v>36.0</v>
      </c>
      <c r="K133" s="24">
        <f>IF(H133=0,0,CAPITAL!$C$5/H133)
</f>
        <v>5000</v>
      </c>
      <c r="L133" s="24">
        <f>IF(I133=0,0,CAPITAL!$C$6/I133)
</f>
        <v>20000</v>
      </c>
      <c r="M133" s="24">
        <f>IF(J133=0,0,CAPITAL!$C$7/J133)
</f>
        <v>69444.44444</v>
      </c>
      <c r="N133" s="24">
        <f t="shared" si="1"/>
        <v>94444.44444</v>
      </c>
      <c r="O133" s="24">
        <f t="shared" si="2"/>
        <v>0.05294117647</v>
      </c>
      <c r="P133" s="24">
        <f t="shared" si="3"/>
        <v>0.2117647059</v>
      </c>
      <c r="Q133" s="24">
        <f t="shared" si="4"/>
        <v>0.7352941176</v>
      </c>
    </row>
    <row r="134">
      <c r="A134" s="17">
        <v>132.0</v>
      </c>
      <c r="B134" s="24" t="s">
        <v>29</v>
      </c>
      <c r="C134" s="30"/>
      <c r="D134" s="22"/>
      <c r="E134" s="31"/>
      <c r="F134" s="22"/>
      <c r="G134" s="30"/>
      <c r="H134" s="24">
        <v>30.0</v>
      </c>
      <c r="I134" s="24">
        <v>35.0</v>
      </c>
      <c r="J134" s="24">
        <v>36.0</v>
      </c>
      <c r="K134" s="24">
        <f>IF(H134=0,0,CAPITAL!$C$5/H134)
</f>
        <v>5000</v>
      </c>
      <c r="L134" s="24">
        <f>IF(I134=0,0,CAPITAL!$C$6/I134)
</f>
        <v>20000</v>
      </c>
      <c r="M134" s="24">
        <f>IF(J134=0,0,CAPITAL!$C$7/J134)
</f>
        <v>69444.44444</v>
      </c>
      <c r="N134" s="24">
        <f t="shared" si="1"/>
        <v>94444.44444</v>
      </c>
      <c r="O134" s="24">
        <f t="shared" si="2"/>
        <v>0.05294117647</v>
      </c>
      <c r="P134" s="24">
        <f t="shared" si="3"/>
        <v>0.2117647059</v>
      </c>
      <c r="Q134" s="24">
        <f t="shared" si="4"/>
        <v>0.7352941176</v>
      </c>
    </row>
    <row r="135">
      <c r="A135" s="17">
        <v>133.0</v>
      </c>
      <c r="B135" s="24" t="s">
        <v>29</v>
      </c>
      <c r="C135" s="30"/>
      <c r="D135" s="22"/>
      <c r="E135" s="31"/>
      <c r="F135" s="22"/>
      <c r="G135" s="30"/>
      <c r="H135" s="24">
        <v>30.0</v>
      </c>
      <c r="I135" s="24">
        <v>35.0</v>
      </c>
      <c r="J135" s="24">
        <v>36.0</v>
      </c>
      <c r="K135" s="24">
        <f>IF(H135=0,0,CAPITAL!$C$5/H135)
</f>
        <v>5000</v>
      </c>
      <c r="L135" s="24">
        <f>IF(I135=0,0,CAPITAL!$C$6/I135)
</f>
        <v>20000</v>
      </c>
      <c r="M135" s="24">
        <f>IF(J135=0,0,CAPITAL!$C$7/J135)
</f>
        <v>69444.44444</v>
      </c>
      <c r="N135" s="24">
        <f t="shared" si="1"/>
        <v>94444.44444</v>
      </c>
      <c r="O135" s="24">
        <f t="shared" si="2"/>
        <v>0.05294117647</v>
      </c>
      <c r="P135" s="24">
        <f t="shared" si="3"/>
        <v>0.2117647059</v>
      </c>
      <c r="Q135" s="24">
        <f t="shared" si="4"/>
        <v>0.7352941176</v>
      </c>
    </row>
    <row r="136">
      <c r="A136" s="17">
        <v>134.0</v>
      </c>
      <c r="B136" s="24" t="s">
        <v>29</v>
      </c>
      <c r="C136" s="30"/>
      <c r="D136" s="22"/>
      <c r="E136" s="31"/>
      <c r="F136" s="22"/>
      <c r="G136" s="30"/>
      <c r="H136" s="24">
        <v>30.0</v>
      </c>
      <c r="I136" s="24">
        <v>35.0</v>
      </c>
      <c r="J136" s="24">
        <v>36.0</v>
      </c>
      <c r="K136" s="24">
        <f>IF(H136=0,0,CAPITAL!$C$5/H136)
</f>
        <v>5000</v>
      </c>
      <c r="L136" s="24">
        <f>IF(I136=0,0,CAPITAL!$C$6/I136)
</f>
        <v>20000</v>
      </c>
      <c r="M136" s="24">
        <f>IF(J136=0,0,CAPITAL!$C$7/J136)
</f>
        <v>69444.44444</v>
      </c>
      <c r="N136" s="24">
        <f t="shared" si="1"/>
        <v>94444.44444</v>
      </c>
      <c r="O136" s="24">
        <f t="shared" si="2"/>
        <v>0.05294117647</v>
      </c>
      <c r="P136" s="24">
        <f t="shared" si="3"/>
        <v>0.2117647059</v>
      </c>
      <c r="Q136" s="24">
        <f t="shared" si="4"/>
        <v>0.7352941176</v>
      </c>
    </row>
    <row r="137">
      <c r="A137" s="17">
        <v>135.0</v>
      </c>
      <c r="B137" s="24" t="s">
        <v>29</v>
      </c>
      <c r="C137" s="30"/>
      <c r="D137" s="22"/>
      <c r="E137" s="31"/>
      <c r="F137" s="22"/>
      <c r="G137" s="30"/>
      <c r="H137" s="24">
        <v>30.0</v>
      </c>
      <c r="I137" s="24">
        <v>35.0</v>
      </c>
      <c r="J137" s="24">
        <v>36.0</v>
      </c>
      <c r="K137" s="24">
        <f>IF(H137=0,0,CAPITAL!$C$5/H137)
</f>
        <v>5000</v>
      </c>
      <c r="L137" s="24">
        <f>IF(I137=0,0,CAPITAL!$C$6/I137)
</f>
        <v>20000</v>
      </c>
      <c r="M137" s="24">
        <f>IF(J137=0,0,CAPITAL!$C$7/J137)
</f>
        <v>69444.44444</v>
      </c>
      <c r="N137" s="24">
        <f t="shared" si="1"/>
        <v>94444.44444</v>
      </c>
      <c r="O137" s="24">
        <f t="shared" si="2"/>
        <v>0.05294117647</v>
      </c>
      <c r="P137" s="24">
        <f t="shared" si="3"/>
        <v>0.2117647059</v>
      </c>
      <c r="Q137" s="24">
        <f t="shared" si="4"/>
        <v>0.7352941176</v>
      </c>
    </row>
    <row r="138">
      <c r="A138" s="17">
        <v>136.0</v>
      </c>
      <c r="B138" s="24" t="s">
        <v>29</v>
      </c>
      <c r="C138" s="30"/>
      <c r="D138" s="22"/>
      <c r="E138" s="31"/>
      <c r="F138" s="22"/>
      <c r="G138" s="30"/>
      <c r="H138" s="24">
        <v>30.0</v>
      </c>
      <c r="I138" s="24">
        <v>35.0</v>
      </c>
      <c r="J138" s="24">
        <v>36.0</v>
      </c>
      <c r="K138" s="24">
        <f>IF(H138=0,0,CAPITAL!$C$5/H138)
</f>
        <v>5000</v>
      </c>
      <c r="L138" s="24">
        <f>IF(I138=0,0,CAPITAL!$C$6/I138)
</f>
        <v>20000</v>
      </c>
      <c r="M138" s="24">
        <f>IF(J138=0,0,CAPITAL!$C$7/J138)
</f>
        <v>69444.44444</v>
      </c>
      <c r="N138" s="24">
        <f t="shared" si="1"/>
        <v>94444.44444</v>
      </c>
      <c r="O138" s="24">
        <f t="shared" si="2"/>
        <v>0.05294117647</v>
      </c>
      <c r="P138" s="24">
        <f t="shared" si="3"/>
        <v>0.2117647059</v>
      </c>
      <c r="Q138" s="24">
        <f t="shared" si="4"/>
        <v>0.7352941176</v>
      </c>
    </row>
    <row r="139">
      <c r="A139" s="17">
        <v>137.0</v>
      </c>
      <c r="B139" s="24" t="s">
        <v>29</v>
      </c>
      <c r="C139" s="30"/>
      <c r="D139" s="22"/>
      <c r="E139" s="31"/>
      <c r="F139" s="22"/>
      <c r="G139" s="30"/>
      <c r="H139" s="24">
        <v>30.0</v>
      </c>
      <c r="I139" s="24">
        <v>35.0</v>
      </c>
      <c r="J139" s="24">
        <v>36.0</v>
      </c>
      <c r="K139" s="24">
        <f>IF(H139=0,0,CAPITAL!$C$5/H139)
</f>
        <v>5000</v>
      </c>
      <c r="L139" s="24">
        <f>IF(I139=0,0,CAPITAL!$C$6/I139)
</f>
        <v>20000</v>
      </c>
      <c r="M139" s="24">
        <f>IF(J139=0,0,CAPITAL!$C$7/J139)
</f>
        <v>69444.44444</v>
      </c>
      <c r="N139" s="24">
        <f t="shared" si="1"/>
        <v>94444.44444</v>
      </c>
      <c r="O139" s="24">
        <f t="shared" si="2"/>
        <v>0.05294117647</v>
      </c>
      <c r="P139" s="24">
        <f t="shared" si="3"/>
        <v>0.2117647059</v>
      </c>
      <c r="Q139" s="24">
        <f t="shared" si="4"/>
        <v>0.7352941176</v>
      </c>
    </row>
    <row r="140">
      <c r="A140" s="17">
        <v>138.0</v>
      </c>
      <c r="B140" s="24" t="s">
        <v>29</v>
      </c>
      <c r="C140" s="30"/>
      <c r="D140" s="22"/>
      <c r="E140" s="31"/>
      <c r="F140" s="22"/>
      <c r="G140" s="30"/>
      <c r="H140" s="24">
        <v>30.0</v>
      </c>
      <c r="I140" s="24">
        <v>35.0</v>
      </c>
      <c r="J140" s="24">
        <v>36.0</v>
      </c>
      <c r="K140" s="24">
        <f>IF(H140=0,0,CAPITAL!$C$5/H140)
</f>
        <v>5000</v>
      </c>
      <c r="L140" s="24">
        <f>IF(I140=0,0,CAPITAL!$C$6/I140)
</f>
        <v>20000</v>
      </c>
      <c r="M140" s="24">
        <f>IF(J140=0,0,CAPITAL!$C$7/J140)
</f>
        <v>69444.44444</v>
      </c>
      <c r="N140" s="24">
        <f t="shared" si="1"/>
        <v>94444.44444</v>
      </c>
      <c r="O140" s="24">
        <f t="shared" si="2"/>
        <v>0.05294117647</v>
      </c>
      <c r="P140" s="24">
        <f t="shared" si="3"/>
        <v>0.2117647059</v>
      </c>
      <c r="Q140" s="24">
        <f t="shared" si="4"/>
        <v>0.7352941176</v>
      </c>
    </row>
    <row r="141">
      <c r="A141" s="17">
        <v>139.0</v>
      </c>
      <c r="B141" s="24" t="s">
        <v>29</v>
      </c>
      <c r="C141" s="30"/>
      <c r="D141" s="22"/>
      <c r="E141" s="31"/>
      <c r="F141" s="22"/>
      <c r="G141" s="30"/>
      <c r="H141" s="24">
        <v>30.0</v>
      </c>
      <c r="I141" s="24">
        <v>35.0</v>
      </c>
      <c r="J141" s="24">
        <v>36.0</v>
      </c>
      <c r="K141" s="24">
        <f>IF(H141=0,0,CAPITAL!$C$5/H141)
</f>
        <v>5000</v>
      </c>
      <c r="L141" s="24">
        <f>IF(I141=0,0,CAPITAL!$C$6/I141)
</f>
        <v>20000</v>
      </c>
      <c r="M141" s="24">
        <f>IF(J141=0,0,CAPITAL!$C$7/J141)
</f>
        <v>69444.44444</v>
      </c>
      <c r="N141" s="24">
        <f t="shared" si="1"/>
        <v>94444.44444</v>
      </c>
      <c r="O141" s="24">
        <f t="shared" si="2"/>
        <v>0.05294117647</v>
      </c>
      <c r="P141" s="24">
        <f t="shared" si="3"/>
        <v>0.2117647059</v>
      </c>
      <c r="Q141" s="24">
        <f t="shared" si="4"/>
        <v>0.7352941176</v>
      </c>
    </row>
    <row r="142">
      <c r="A142" s="17">
        <v>140.0</v>
      </c>
      <c r="B142" s="24" t="s">
        <v>29</v>
      </c>
      <c r="C142" s="30"/>
      <c r="D142" s="22"/>
      <c r="E142" s="31"/>
      <c r="F142" s="22"/>
      <c r="G142" s="30"/>
      <c r="H142" s="24">
        <v>30.0</v>
      </c>
      <c r="I142" s="24">
        <v>35.0</v>
      </c>
      <c r="J142" s="24">
        <v>36.0</v>
      </c>
      <c r="K142" s="24">
        <f>IF(H142=0,0,CAPITAL!$C$5/H142)
</f>
        <v>5000</v>
      </c>
      <c r="L142" s="24">
        <f>IF(I142=0,0,CAPITAL!$C$6/I142)
</f>
        <v>20000</v>
      </c>
      <c r="M142" s="24">
        <f>IF(J142=0,0,CAPITAL!$C$7/J142)
</f>
        <v>69444.44444</v>
      </c>
      <c r="N142" s="24">
        <f t="shared" si="1"/>
        <v>94444.44444</v>
      </c>
      <c r="O142" s="24">
        <f t="shared" si="2"/>
        <v>0.05294117647</v>
      </c>
      <c r="P142" s="24">
        <f t="shared" si="3"/>
        <v>0.2117647059</v>
      </c>
      <c r="Q142" s="24">
        <f t="shared" si="4"/>
        <v>0.7352941176</v>
      </c>
    </row>
    <row r="143">
      <c r="A143" s="17">
        <v>141.0</v>
      </c>
      <c r="B143" s="24" t="s">
        <v>29</v>
      </c>
      <c r="C143" s="30"/>
      <c r="D143" s="22"/>
      <c r="E143" s="31"/>
      <c r="F143" s="22"/>
      <c r="G143" s="30"/>
      <c r="H143" s="24">
        <v>30.0</v>
      </c>
      <c r="I143" s="24">
        <v>35.0</v>
      </c>
      <c r="J143" s="24">
        <v>36.0</v>
      </c>
      <c r="K143" s="24">
        <f>IF(H143=0,0,CAPITAL!$C$5/H143)
</f>
        <v>5000</v>
      </c>
      <c r="L143" s="24">
        <f>IF(I143=0,0,CAPITAL!$C$6/I143)
</f>
        <v>20000</v>
      </c>
      <c r="M143" s="24">
        <f>IF(J143=0,0,CAPITAL!$C$7/J143)
</f>
        <v>69444.44444</v>
      </c>
      <c r="N143" s="24">
        <f t="shared" si="1"/>
        <v>94444.44444</v>
      </c>
      <c r="O143" s="24">
        <f t="shared" si="2"/>
        <v>0.05294117647</v>
      </c>
      <c r="P143" s="24">
        <f t="shared" si="3"/>
        <v>0.2117647059</v>
      </c>
      <c r="Q143" s="24">
        <f t="shared" si="4"/>
        <v>0.7352941176</v>
      </c>
    </row>
    <row r="144">
      <c r="A144" s="17">
        <v>142.0</v>
      </c>
      <c r="B144" s="24" t="s">
        <v>29</v>
      </c>
      <c r="C144" s="30"/>
      <c r="D144" s="22"/>
      <c r="E144" s="31"/>
      <c r="F144" s="22"/>
      <c r="G144" s="30"/>
      <c r="H144" s="24">
        <v>30.0</v>
      </c>
      <c r="I144" s="24">
        <v>35.0</v>
      </c>
      <c r="J144" s="24">
        <v>36.0</v>
      </c>
      <c r="K144" s="24">
        <f>IF(H144=0,0,CAPITAL!$C$5/H144)
</f>
        <v>5000</v>
      </c>
      <c r="L144" s="24">
        <f>IF(I144=0,0,CAPITAL!$C$6/I144)
</f>
        <v>20000</v>
      </c>
      <c r="M144" s="24">
        <f>IF(J144=0,0,CAPITAL!$C$7/J144)
</f>
        <v>69444.44444</v>
      </c>
      <c r="N144" s="24">
        <f t="shared" si="1"/>
        <v>94444.44444</v>
      </c>
      <c r="O144" s="24">
        <f t="shared" si="2"/>
        <v>0.05294117647</v>
      </c>
      <c r="P144" s="24">
        <f t="shared" si="3"/>
        <v>0.2117647059</v>
      </c>
      <c r="Q144" s="24">
        <f t="shared" si="4"/>
        <v>0.7352941176</v>
      </c>
    </row>
    <row r="145">
      <c r="A145" s="17">
        <v>143.0</v>
      </c>
      <c r="B145" s="24" t="s">
        <v>29</v>
      </c>
      <c r="C145" s="30"/>
      <c r="D145" s="22"/>
      <c r="E145" s="31"/>
      <c r="F145" s="22"/>
      <c r="G145" s="30"/>
      <c r="H145" s="24">
        <v>30.0</v>
      </c>
      <c r="I145" s="24">
        <v>35.0</v>
      </c>
      <c r="J145" s="24">
        <v>36.0</v>
      </c>
      <c r="K145" s="24">
        <f>IF(H145=0,0,CAPITAL!$C$5/H145)
</f>
        <v>5000</v>
      </c>
      <c r="L145" s="24">
        <f>IF(I145=0,0,CAPITAL!$C$6/I145)
</f>
        <v>20000</v>
      </c>
      <c r="M145" s="24">
        <f>IF(J145=0,0,CAPITAL!$C$7/J145)
</f>
        <v>69444.44444</v>
      </c>
      <c r="N145" s="24">
        <f t="shared" si="1"/>
        <v>94444.44444</v>
      </c>
      <c r="O145" s="24">
        <f t="shared" si="2"/>
        <v>0.05294117647</v>
      </c>
      <c r="P145" s="24">
        <f t="shared" si="3"/>
        <v>0.2117647059</v>
      </c>
      <c r="Q145" s="24">
        <f t="shared" si="4"/>
        <v>0.7352941176</v>
      </c>
    </row>
    <row r="146">
      <c r="A146" s="17">
        <v>144.0</v>
      </c>
      <c r="B146" s="24" t="s">
        <v>29</v>
      </c>
      <c r="C146" s="30"/>
      <c r="D146" s="22"/>
      <c r="E146" s="31"/>
      <c r="F146" s="22"/>
      <c r="G146" s="30"/>
      <c r="H146" s="24">
        <v>30.0</v>
      </c>
      <c r="I146" s="24">
        <v>35.0</v>
      </c>
      <c r="J146" s="24">
        <v>36.0</v>
      </c>
      <c r="K146" s="24">
        <f>IF(H146=0,0,CAPITAL!$C$5/H146)
</f>
        <v>5000</v>
      </c>
      <c r="L146" s="24">
        <f>IF(I146=0,0,CAPITAL!$C$6/I146)
</f>
        <v>20000</v>
      </c>
      <c r="M146" s="24">
        <f>IF(J146=0,0,CAPITAL!$C$7/J146)
</f>
        <v>69444.44444</v>
      </c>
      <c r="N146" s="24">
        <f t="shared" si="1"/>
        <v>94444.44444</v>
      </c>
      <c r="O146" s="24">
        <f t="shared" si="2"/>
        <v>0.05294117647</v>
      </c>
      <c r="P146" s="24">
        <f t="shared" si="3"/>
        <v>0.2117647059</v>
      </c>
      <c r="Q146" s="24">
        <f t="shared" si="4"/>
        <v>0.7352941176</v>
      </c>
    </row>
    <row r="147">
      <c r="A147" s="17">
        <v>145.0</v>
      </c>
      <c r="B147" s="24" t="s">
        <v>29</v>
      </c>
      <c r="C147" s="30"/>
      <c r="D147" s="22"/>
      <c r="E147" s="31"/>
      <c r="F147" s="22"/>
      <c r="G147" s="30"/>
      <c r="H147" s="24">
        <v>30.0</v>
      </c>
      <c r="I147" s="24">
        <v>35.0</v>
      </c>
      <c r="J147" s="24">
        <v>36.0</v>
      </c>
      <c r="K147" s="24">
        <f>IF(H147=0,0,CAPITAL!$C$5/H147)
</f>
        <v>5000</v>
      </c>
      <c r="L147" s="24">
        <f>IF(I147=0,0,CAPITAL!$C$6/I147)
</f>
        <v>20000</v>
      </c>
      <c r="M147" s="24">
        <f>IF(J147=0,0,CAPITAL!$C$7/J147)
</f>
        <v>69444.44444</v>
      </c>
      <c r="N147" s="24">
        <f t="shared" si="1"/>
        <v>94444.44444</v>
      </c>
      <c r="O147" s="24">
        <f t="shared" si="2"/>
        <v>0.05294117647</v>
      </c>
      <c r="P147" s="24">
        <f t="shared" si="3"/>
        <v>0.2117647059</v>
      </c>
      <c r="Q147" s="24">
        <f t="shared" si="4"/>
        <v>0.7352941176</v>
      </c>
    </row>
    <row r="148">
      <c r="A148" s="17">
        <v>146.0</v>
      </c>
      <c r="B148" s="24" t="s">
        <v>29</v>
      </c>
      <c r="C148" s="30"/>
      <c r="D148" s="22"/>
      <c r="E148" s="31"/>
      <c r="F148" s="22"/>
      <c r="G148" s="30"/>
      <c r="H148" s="24">
        <v>30.0</v>
      </c>
      <c r="I148" s="24">
        <v>35.0</v>
      </c>
      <c r="J148" s="24">
        <v>36.0</v>
      </c>
      <c r="K148" s="24">
        <f>IF(H148=0,0,CAPITAL!$C$5/H148)
</f>
        <v>5000</v>
      </c>
      <c r="L148" s="24">
        <f>IF(I148=0,0,CAPITAL!$C$6/I148)
</f>
        <v>20000</v>
      </c>
      <c r="M148" s="24">
        <f>IF(J148=0,0,CAPITAL!$C$7/J148)
</f>
        <v>69444.44444</v>
      </c>
      <c r="N148" s="24">
        <f t="shared" si="1"/>
        <v>94444.44444</v>
      </c>
      <c r="O148" s="24">
        <f t="shared" si="2"/>
        <v>0.05294117647</v>
      </c>
      <c r="P148" s="24">
        <f t="shared" si="3"/>
        <v>0.2117647059</v>
      </c>
      <c r="Q148" s="24">
        <f t="shared" si="4"/>
        <v>0.7352941176</v>
      </c>
    </row>
    <row r="149">
      <c r="A149" s="17">
        <v>147.0</v>
      </c>
      <c r="B149" s="24" t="s">
        <v>29</v>
      </c>
      <c r="C149" s="30"/>
      <c r="D149" s="22"/>
      <c r="E149" s="31"/>
      <c r="F149" s="22"/>
      <c r="G149" s="30"/>
      <c r="H149" s="24">
        <v>30.0</v>
      </c>
      <c r="I149" s="24">
        <v>35.0</v>
      </c>
      <c r="J149" s="24">
        <v>36.0</v>
      </c>
      <c r="K149" s="24">
        <f>IF(H149=0,0,CAPITAL!$C$5/H149)
</f>
        <v>5000</v>
      </c>
      <c r="L149" s="24">
        <f>IF(I149=0,0,CAPITAL!$C$6/I149)
</f>
        <v>20000</v>
      </c>
      <c r="M149" s="24">
        <f>IF(J149=0,0,CAPITAL!$C$7/J149)
</f>
        <v>69444.44444</v>
      </c>
      <c r="N149" s="24">
        <f t="shared" si="1"/>
        <v>94444.44444</v>
      </c>
      <c r="O149" s="24">
        <f t="shared" si="2"/>
        <v>0.05294117647</v>
      </c>
      <c r="P149" s="24">
        <f t="shared" si="3"/>
        <v>0.2117647059</v>
      </c>
      <c r="Q149" s="24">
        <f t="shared" si="4"/>
        <v>0.7352941176</v>
      </c>
    </row>
    <row r="150">
      <c r="A150" s="17">
        <v>148.0</v>
      </c>
      <c r="B150" s="24" t="s">
        <v>29</v>
      </c>
      <c r="C150" s="30"/>
      <c r="D150" s="22"/>
      <c r="E150" s="31"/>
      <c r="F150" s="22"/>
      <c r="G150" s="30"/>
      <c r="H150" s="24">
        <v>30.0</v>
      </c>
      <c r="I150" s="24">
        <v>35.0</v>
      </c>
      <c r="J150" s="24">
        <v>36.0</v>
      </c>
      <c r="K150" s="24">
        <f>IF(H150=0,0,CAPITAL!$C$5/H150)
</f>
        <v>5000</v>
      </c>
      <c r="L150" s="24">
        <f>IF(I150=0,0,CAPITAL!$C$6/I150)
</f>
        <v>20000</v>
      </c>
      <c r="M150" s="24">
        <f>IF(J150=0,0,CAPITAL!$C$7/J150)
</f>
        <v>69444.44444</v>
      </c>
      <c r="N150" s="24">
        <f t="shared" si="1"/>
        <v>94444.44444</v>
      </c>
      <c r="O150" s="24">
        <f t="shared" si="2"/>
        <v>0.05294117647</v>
      </c>
      <c r="P150" s="24">
        <f t="shared" si="3"/>
        <v>0.2117647059</v>
      </c>
      <c r="Q150" s="24">
        <f t="shared" si="4"/>
        <v>0.7352941176</v>
      </c>
    </row>
    <row r="151">
      <c r="A151" s="17">
        <v>149.0</v>
      </c>
      <c r="B151" s="24" t="s">
        <v>29</v>
      </c>
      <c r="C151" s="30"/>
      <c r="D151" s="22"/>
      <c r="E151" s="31"/>
      <c r="F151" s="22"/>
      <c r="G151" s="30"/>
      <c r="H151" s="24">
        <v>30.0</v>
      </c>
      <c r="I151" s="24">
        <v>35.0</v>
      </c>
      <c r="J151" s="24">
        <v>36.0</v>
      </c>
      <c r="K151" s="24">
        <f>IF(H151=0,0,CAPITAL!$C$5/H151)
</f>
        <v>5000</v>
      </c>
      <c r="L151" s="24">
        <f>IF(I151=0,0,CAPITAL!$C$6/I151)
</f>
        <v>20000</v>
      </c>
      <c r="M151" s="24">
        <f>IF(J151=0,0,CAPITAL!$C$7/J151)
</f>
        <v>69444.44444</v>
      </c>
      <c r="N151" s="24">
        <f t="shared" si="1"/>
        <v>94444.44444</v>
      </c>
      <c r="O151" s="24">
        <f t="shared" si="2"/>
        <v>0.05294117647</v>
      </c>
      <c r="P151" s="24">
        <f t="shared" si="3"/>
        <v>0.2117647059</v>
      </c>
      <c r="Q151" s="24">
        <f t="shared" si="4"/>
        <v>0.7352941176</v>
      </c>
    </row>
    <row r="152">
      <c r="A152" s="17">
        <v>150.0</v>
      </c>
      <c r="B152" s="24" t="s">
        <v>29</v>
      </c>
      <c r="C152" s="30"/>
      <c r="D152" s="22"/>
      <c r="E152" s="31"/>
      <c r="F152" s="22"/>
      <c r="G152" s="30"/>
      <c r="H152" s="24">
        <v>30.0</v>
      </c>
      <c r="I152" s="24">
        <v>35.0</v>
      </c>
      <c r="J152" s="24">
        <v>36.0</v>
      </c>
      <c r="K152" s="24">
        <f>IF(H152=0,0,CAPITAL!$C$5/H152)
</f>
        <v>5000</v>
      </c>
      <c r="L152" s="24">
        <f>IF(I152=0,0,CAPITAL!$C$6/I152)
</f>
        <v>20000</v>
      </c>
      <c r="M152" s="24">
        <f>IF(J152=0,0,CAPITAL!$C$7/J152)
</f>
        <v>69444.44444</v>
      </c>
      <c r="N152" s="24">
        <f t="shared" si="1"/>
        <v>94444.44444</v>
      </c>
      <c r="O152" s="24">
        <f t="shared" si="2"/>
        <v>0.05294117647</v>
      </c>
      <c r="P152" s="24">
        <f t="shared" si="3"/>
        <v>0.2117647059</v>
      </c>
      <c r="Q152" s="24">
        <f t="shared" si="4"/>
        <v>0.7352941176</v>
      </c>
    </row>
    <row r="153">
      <c r="A153" s="17">
        <v>151.0</v>
      </c>
      <c r="B153" s="24" t="s">
        <v>29</v>
      </c>
      <c r="C153" s="30"/>
      <c r="D153" s="22"/>
      <c r="E153" s="31"/>
      <c r="F153" s="22"/>
      <c r="G153" s="30"/>
      <c r="H153" s="24">
        <v>30.0</v>
      </c>
      <c r="I153" s="24">
        <v>35.0</v>
      </c>
      <c r="J153" s="24">
        <v>36.0</v>
      </c>
      <c r="K153" s="24">
        <f>IF(H153=0,0,CAPITAL!$C$5/H153)
</f>
        <v>5000</v>
      </c>
      <c r="L153" s="24">
        <f>IF(I153=0,0,CAPITAL!$C$6/I153)
</f>
        <v>20000</v>
      </c>
      <c r="M153" s="24">
        <f>IF(J153=0,0,CAPITAL!$C$7/J153)
</f>
        <v>69444.44444</v>
      </c>
      <c r="N153" s="24">
        <f t="shared" si="1"/>
        <v>94444.44444</v>
      </c>
      <c r="O153" s="24">
        <f t="shared" si="2"/>
        <v>0.05294117647</v>
      </c>
      <c r="P153" s="24">
        <f t="shared" si="3"/>
        <v>0.2117647059</v>
      </c>
      <c r="Q153" s="24">
        <f t="shared" si="4"/>
        <v>0.7352941176</v>
      </c>
    </row>
    <row r="154">
      <c r="A154" s="17">
        <v>152.0</v>
      </c>
      <c r="B154" s="24" t="s">
        <v>29</v>
      </c>
      <c r="C154" s="30"/>
      <c r="D154" s="22"/>
      <c r="E154" s="31"/>
      <c r="F154" s="22"/>
      <c r="G154" s="30"/>
      <c r="H154" s="24">
        <v>30.0</v>
      </c>
      <c r="I154" s="24">
        <v>35.0</v>
      </c>
      <c r="J154" s="24">
        <v>36.0</v>
      </c>
      <c r="K154" s="24">
        <f>IF(H154=0,0,CAPITAL!$C$5/H154)
</f>
        <v>5000</v>
      </c>
      <c r="L154" s="24">
        <f>IF(I154=0,0,CAPITAL!$C$6/I154)
</f>
        <v>20000</v>
      </c>
      <c r="M154" s="24">
        <f>IF(J154=0,0,CAPITAL!$C$7/J154)
</f>
        <v>69444.44444</v>
      </c>
      <c r="N154" s="24">
        <f t="shared" si="1"/>
        <v>94444.44444</v>
      </c>
      <c r="O154" s="24">
        <f t="shared" si="2"/>
        <v>0.05294117647</v>
      </c>
      <c r="P154" s="24">
        <f t="shared" si="3"/>
        <v>0.2117647059</v>
      </c>
      <c r="Q154" s="24">
        <f t="shared" si="4"/>
        <v>0.7352941176</v>
      </c>
    </row>
    <row r="155">
      <c r="A155" s="17">
        <v>153.0</v>
      </c>
      <c r="B155" s="24" t="s">
        <v>29</v>
      </c>
      <c r="C155" s="30"/>
      <c r="D155" s="22"/>
      <c r="E155" s="31"/>
      <c r="F155" s="22"/>
      <c r="G155" s="30"/>
      <c r="H155" s="24">
        <v>30.0</v>
      </c>
      <c r="I155" s="24">
        <v>35.0</v>
      </c>
      <c r="J155" s="24">
        <v>36.0</v>
      </c>
      <c r="K155" s="24">
        <f>IF(H155=0,0,CAPITAL!$C$5/H155)
</f>
        <v>5000</v>
      </c>
      <c r="L155" s="24">
        <f>IF(I155=0,0,CAPITAL!$C$6/I155)
</f>
        <v>20000</v>
      </c>
      <c r="M155" s="24">
        <f>IF(J155=0,0,CAPITAL!$C$7/J155)
</f>
        <v>69444.44444</v>
      </c>
      <c r="N155" s="24">
        <f t="shared" si="1"/>
        <v>94444.44444</v>
      </c>
      <c r="O155" s="24">
        <f t="shared" si="2"/>
        <v>0.05294117647</v>
      </c>
      <c r="P155" s="24">
        <f t="shared" si="3"/>
        <v>0.2117647059</v>
      </c>
      <c r="Q155" s="24">
        <f t="shared" si="4"/>
        <v>0.7352941176</v>
      </c>
    </row>
    <row r="156">
      <c r="A156" s="17">
        <v>154.0</v>
      </c>
      <c r="B156" s="24" t="s">
        <v>29</v>
      </c>
      <c r="C156" s="30"/>
      <c r="D156" s="22"/>
      <c r="E156" s="31"/>
      <c r="F156" s="22"/>
      <c r="G156" s="30"/>
      <c r="H156" s="24">
        <v>30.0</v>
      </c>
      <c r="I156" s="24">
        <v>35.0</v>
      </c>
      <c r="J156" s="24">
        <v>36.0</v>
      </c>
      <c r="K156" s="24">
        <f>IF(H156=0,0,CAPITAL!$C$5/H156)
</f>
        <v>5000</v>
      </c>
      <c r="L156" s="24">
        <f>IF(I156=0,0,CAPITAL!$C$6/I156)
</f>
        <v>20000</v>
      </c>
      <c r="M156" s="24">
        <f>IF(J156=0,0,CAPITAL!$C$7/J156)
</f>
        <v>69444.44444</v>
      </c>
      <c r="N156" s="24">
        <f t="shared" si="1"/>
        <v>94444.44444</v>
      </c>
      <c r="O156" s="24">
        <f t="shared" si="2"/>
        <v>0.05294117647</v>
      </c>
      <c r="P156" s="24">
        <f t="shared" si="3"/>
        <v>0.2117647059</v>
      </c>
      <c r="Q156" s="24">
        <f t="shared" si="4"/>
        <v>0.7352941176</v>
      </c>
    </row>
    <row r="157">
      <c r="A157" s="17">
        <v>155.0</v>
      </c>
      <c r="B157" s="24" t="s">
        <v>29</v>
      </c>
      <c r="C157" s="30"/>
      <c r="D157" s="22"/>
      <c r="E157" s="31"/>
      <c r="F157" s="22"/>
      <c r="G157" s="30"/>
      <c r="H157" s="24">
        <v>30.0</v>
      </c>
      <c r="I157" s="24">
        <v>35.0</v>
      </c>
      <c r="J157" s="24">
        <v>36.0</v>
      </c>
      <c r="K157" s="24">
        <f>IF(H157=0,0,CAPITAL!$C$5/H157)
</f>
        <v>5000</v>
      </c>
      <c r="L157" s="24">
        <f>IF(I157=0,0,CAPITAL!$C$6/I157)
</f>
        <v>20000</v>
      </c>
      <c r="M157" s="24">
        <f>IF(J157=0,0,CAPITAL!$C$7/J157)
</f>
        <v>69444.44444</v>
      </c>
      <c r="N157" s="24">
        <f t="shared" si="1"/>
        <v>94444.44444</v>
      </c>
      <c r="O157" s="24">
        <f t="shared" si="2"/>
        <v>0.05294117647</v>
      </c>
      <c r="P157" s="24">
        <f t="shared" si="3"/>
        <v>0.2117647059</v>
      </c>
      <c r="Q157" s="24">
        <f t="shared" si="4"/>
        <v>0.7352941176</v>
      </c>
    </row>
    <row r="158">
      <c r="A158" s="17">
        <v>156.0</v>
      </c>
      <c r="B158" s="24" t="s">
        <v>29</v>
      </c>
      <c r="C158" s="30"/>
      <c r="D158" s="22"/>
      <c r="E158" s="31"/>
      <c r="F158" s="22"/>
      <c r="G158" s="30"/>
      <c r="H158" s="24">
        <v>30.0</v>
      </c>
      <c r="I158" s="24">
        <v>35.0</v>
      </c>
      <c r="J158" s="24">
        <v>36.0</v>
      </c>
      <c r="K158" s="24">
        <f>IF(H158=0,0,CAPITAL!$C$5/H158)
</f>
        <v>5000</v>
      </c>
      <c r="L158" s="24">
        <f>IF(I158=0,0,CAPITAL!$C$6/I158)
</f>
        <v>20000</v>
      </c>
      <c r="M158" s="24">
        <f>IF(J158=0,0,CAPITAL!$C$7/J158)
</f>
        <v>69444.44444</v>
      </c>
      <c r="N158" s="24">
        <f t="shared" si="1"/>
        <v>94444.44444</v>
      </c>
      <c r="O158" s="24">
        <f t="shared" si="2"/>
        <v>0.05294117647</v>
      </c>
      <c r="P158" s="24">
        <f t="shared" si="3"/>
        <v>0.2117647059</v>
      </c>
      <c r="Q158" s="24">
        <f t="shared" si="4"/>
        <v>0.7352941176</v>
      </c>
    </row>
    <row r="159">
      <c r="A159" s="17">
        <v>157.0</v>
      </c>
      <c r="B159" s="24" t="s">
        <v>29</v>
      </c>
      <c r="C159" s="30"/>
      <c r="D159" s="22"/>
      <c r="E159" s="31"/>
      <c r="F159" s="22"/>
      <c r="G159" s="30"/>
      <c r="H159" s="24">
        <v>30.0</v>
      </c>
      <c r="I159" s="24">
        <v>35.0</v>
      </c>
      <c r="J159" s="24">
        <v>36.0</v>
      </c>
      <c r="K159" s="24">
        <f>IF(H159=0,0,CAPITAL!$C$5/H159)
</f>
        <v>5000</v>
      </c>
      <c r="L159" s="24">
        <f>IF(I159=0,0,CAPITAL!$C$6/I159)
</f>
        <v>20000</v>
      </c>
      <c r="M159" s="24">
        <f>IF(J159=0,0,CAPITAL!$C$7/J159)
</f>
        <v>69444.44444</v>
      </c>
      <c r="N159" s="24">
        <f t="shared" si="1"/>
        <v>94444.44444</v>
      </c>
      <c r="O159" s="24">
        <f t="shared" si="2"/>
        <v>0.05294117647</v>
      </c>
      <c r="P159" s="24">
        <f t="shared" si="3"/>
        <v>0.2117647059</v>
      </c>
      <c r="Q159" s="24">
        <f t="shared" si="4"/>
        <v>0.7352941176</v>
      </c>
    </row>
    <row r="160">
      <c r="A160" s="17">
        <v>158.0</v>
      </c>
      <c r="B160" s="24" t="s">
        <v>29</v>
      </c>
      <c r="C160" s="30"/>
      <c r="D160" s="22"/>
      <c r="E160" s="31"/>
      <c r="F160" s="22"/>
      <c r="G160" s="30"/>
      <c r="H160" s="24">
        <v>30.0</v>
      </c>
      <c r="I160" s="24">
        <v>35.0</v>
      </c>
      <c r="J160" s="24">
        <v>36.0</v>
      </c>
      <c r="K160" s="24">
        <f>IF(H160=0,0,CAPITAL!$C$5/H160)
</f>
        <v>5000</v>
      </c>
      <c r="L160" s="24">
        <f>IF(I160=0,0,CAPITAL!$C$6/I160)
</f>
        <v>20000</v>
      </c>
      <c r="M160" s="24">
        <f>IF(J160=0,0,CAPITAL!$C$7/J160)
</f>
        <v>69444.44444</v>
      </c>
      <c r="N160" s="24">
        <f t="shared" si="1"/>
        <v>94444.44444</v>
      </c>
      <c r="O160" s="24">
        <f t="shared" si="2"/>
        <v>0.05294117647</v>
      </c>
      <c r="P160" s="24">
        <f t="shared" si="3"/>
        <v>0.2117647059</v>
      </c>
      <c r="Q160" s="24">
        <f t="shared" si="4"/>
        <v>0.7352941176</v>
      </c>
    </row>
    <row r="161">
      <c r="A161" s="17">
        <v>159.0</v>
      </c>
      <c r="B161" s="24" t="s">
        <v>29</v>
      </c>
      <c r="C161" s="30"/>
      <c r="D161" s="22"/>
      <c r="E161" s="31"/>
      <c r="F161" s="22"/>
      <c r="G161" s="30"/>
      <c r="H161" s="24">
        <v>30.0</v>
      </c>
      <c r="I161" s="24">
        <v>35.0</v>
      </c>
      <c r="J161" s="24">
        <v>36.0</v>
      </c>
      <c r="K161" s="24">
        <f>IF(H161=0,0,CAPITAL!$C$5/H161)
</f>
        <v>5000</v>
      </c>
      <c r="L161" s="24">
        <f>IF(I161=0,0,CAPITAL!$C$6/I161)
</f>
        <v>20000</v>
      </c>
      <c r="M161" s="24">
        <f>IF(J161=0,0,CAPITAL!$C$7/J161)
</f>
        <v>69444.44444</v>
      </c>
      <c r="N161" s="24">
        <f t="shared" si="1"/>
        <v>94444.44444</v>
      </c>
      <c r="O161" s="24">
        <f t="shared" si="2"/>
        <v>0.05294117647</v>
      </c>
      <c r="P161" s="24">
        <f t="shared" si="3"/>
        <v>0.2117647059</v>
      </c>
      <c r="Q161" s="24">
        <f t="shared" si="4"/>
        <v>0.7352941176</v>
      </c>
    </row>
    <row r="162">
      <c r="A162" s="17">
        <v>160.0</v>
      </c>
      <c r="B162" s="24" t="s">
        <v>29</v>
      </c>
      <c r="C162" s="30"/>
      <c r="D162" s="22"/>
      <c r="E162" s="31"/>
      <c r="F162" s="22"/>
      <c r="G162" s="30"/>
      <c r="H162" s="24">
        <v>30.0</v>
      </c>
      <c r="I162" s="24">
        <v>35.0</v>
      </c>
      <c r="J162" s="24">
        <v>36.0</v>
      </c>
      <c r="K162" s="24">
        <f>IF(H162=0,0,CAPITAL!$C$5/H162)
</f>
        <v>5000</v>
      </c>
      <c r="L162" s="24">
        <f>IF(I162=0,0,CAPITAL!$C$6/I162)
</f>
        <v>20000</v>
      </c>
      <c r="M162" s="24">
        <f>IF(J162=0,0,CAPITAL!$C$7/J162)
</f>
        <v>69444.44444</v>
      </c>
      <c r="N162" s="24">
        <f t="shared" si="1"/>
        <v>94444.44444</v>
      </c>
      <c r="O162" s="24">
        <f t="shared" si="2"/>
        <v>0.05294117647</v>
      </c>
      <c r="P162" s="24">
        <f t="shared" si="3"/>
        <v>0.2117647059</v>
      </c>
      <c r="Q162" s="24">
        <f t="shared" si="4"/>
        <v>0.7352941176</v>
      </c>
    </row>
    <row r="163">
      <c r="A163" s="17">
        <v>161.0</v>
      </c>
      <c r="B163" s="24" t="s">
        <v>29</v>
      </c>
      <c r="C163" s="30"/>
      <c r="D163" s="22"/>
      <c r="E163" s="31"/>
      <c r="F163" s="22"/>
      <c r="G163" s="30"/>
      <c r="H163" s="24">
        <v>30.0</v>
      </c>
      <c r="I163" s="24">
        <v>35.0</v>
      </c>
      <c r="J163" s="24">
        <v>36.0</v>
      </c>
      <c r="K163" s="24">
        <f>IF(H163=0,0,CAPITAL!$C$5/H163)
</f>
        <v>5000</v>
      </c>
      <c r="L163" s="24">
        <f>IF(I163=0,0,CAPITAL!$C$6/I163)
</f>
        <v>20000</v>
      </c>
      <c r="M163" s="24">
        <f>IF(J163=0,0,CAPITAL!$C$7/J163)
</f>
        <v>69444.44444</v>
      </c>
      <c r="N163" s="24">
        <f t="shared" si="1"/>
        <v>94444.44444</v>
      </c>
      <c r="O163" s="24">
        <f t="shared" si="2"/>
        <v>0.05294117647</v>
      </c>
      <c r="P163" s="24">
        <f t="shared" si="3"/>
        <v>0.2117647059</v>
      </c>
      <c r="Q163" s="24">
        <f t="shared" si="4"/>
        <v>0.7352941176</v>
      </c>
    </row>
    <row r="164">
      <c r="A164" s="17">
        <v>162.0</v>
      </c>
      <c r="B164" s="24" t="s">
        <v>29</v>
      </c>
      <c r="C164" s="30"/>
      <c r="D164" s="22"/>
      <c r="E164" s="31"/>
      <c r="F164" s="22"/>
      <c r="G164" s="30"/>
      <c r="H164" s="24">
        <v>30.0</v>
      </c>
      <c r="I164" s="24">
        <v>35.0</v>
      </c>
      <c r="J164" s="24">
        <v>36.0</v>
      </c>
      <c r="K164" s="24">
        <f>IF(H164=0,0,CAPITAL!$C$5/H164)
</f>
        <v>5000</v>
      </c>
      <c r="L164" s="24">
        <f>IF(I164=0,0,CAPITAL!$C$6/I164)
</f>
        <v>20000</v>
      </c>
      <c r="M164" s="24">
        <f>IF(J164=0,0,CAPITAL!$C$7/J164)
</f>
        <v>69444.44444</v>
      </c>
      <c r="N164" s="24">
        <f t="shared" si="1"/>
        <v>94444.44444</v>
      </c>
      <c r="O164" s="24">
        <f t="shared" si="2"/>
        <v>0.05294117647</v>
      </c>
      <c r="P164" s="24">
        <f t="shared" si="3"/>
        <v>0.2117647059</v>
      </c>
      <c r="Q164" s="24">
        <f t="shared" si="4"/>
        <v>0.7352941176</v>
      </c>
    </row>
    <row r="165">
      <c r="A165" s="17">
        <v>163.0</v>
      </c>
      <c r="B165" s="24" t="s">
        <v>29</v>
      </c>
      <c r="C165" s="30"/>
      <c r="D165" s="22"/>
      <c r="E165" s="31"/>
      <c r="F165" s="22"/>
      <c r="G165" s="30"/>
      <c r="H165" s="24">
        <v>30.0</v>
      </c>
      <c r="I165" s="24">
        <v>35.0</v>
      </c>
      <c r="J165" s="24">
        <v>36.0</v>
      </c>
      <c r="K165" s="24">
        <f>IF(H165=0,0,CAPITAL!$C$5/H165)
</f>
        <v>5000</v>
      </c>
      <c r="L165" s="24">
        <f>IF(I165=0,0,CAPITAL!$C$6/I165)
</f>
        <v>20000</v>
      </c>
      <c r="M165" s="24">
        <f>IF(J165=0,0,CAPITAL!$C$7/J165)
</f>
        <v>69444.44444</v>
      </c>
      <c r="N165" s="24">
        <f t="shared" si="1"/>
        <v>94444.44444</v>
      </c>
      <c r="O165" s="24">
        <f t="shared" si="2"/>
        <v>0.05294117647</v>
      </c>
      <c r="P165" s="24">
        <f t="shared" si="3"/>
        <v>0.2117647059</v>
      </c>
      <c r="Q165" s="24">
        <f t="shared" si="4"/>
        <v>0.7352941176</v>
      </c>
    </row>
    <row r="166">
      <c r="A166" s="17">
        <v>164.0</v>
      </c>
      <c r="B166" s="24" t="s">
        <v>29</v>
      </c>
      <c r="C166" s="30"/>
      <c r="D166" s="22"/>
      <c r="E166" s="31"/>
      <c r="F166" s="22"/>
      <c r="G166" s="30"/>
      <c r="H166" s="24">
        <v>30.0</v>
      </c>
      <c r="I166" s="24">
        <v>35.0</v>
      </c>
      <c r="J166" s="24">
        <v>36.0</v>
      </c>
      <c r="K166" s="24">
        <f>IF(H166=0,0,CAPITAL!$C$5/H166)
</f>
        <v>5000</v>
      </c>
      <c r="L166" s="24">
        <f>IF(I166=0,0,CAPITAL!$C$6/I166)
</f>
        <v>20000</v>
      </c>
      <c r="M166" s="24">
        <f>IF(J166=0,0,CAPITAL!$C$7/J166)
</f>
        <v>69444.44444</v>
      </c>
      <c r="N166" s="24">
        <f t="shared" si="1"/>
        <v>94444.44444</v>
      </c>
      <c r="O166" s="24">
        <f t="shared" si="2"/>
        <v>0.05294117647</v>
      </c>
      <c r="P166" s="24">
        <f t="shared" si="3"/>
        <v>0.2117647059</v>
      </c>
      <c r="Q166" s="24">
        <f t="shared" si="4"/>
        <v>0.7352941176</v>
      </c>
    </row>
    <row r="167">
      <c r="A167" s="17">
        <v>165.0</v>
      </c>
      <c r="B167" s="24" t="s">
        <v>29</v>
      </c>
      <c r="C167" s="30"/>
      <c r="D167" s="22"/>
      <c r="E167" s="31"/>
      <c r="F167" s="22"/>
      <c r="G167" s="30"/>
      <c r="H167" s="24">
        <v>30.0</v>
      </c>
      <c r="I167" s="24">
        <v>35.0</v>
      </c>
      <c r="J167" s="24">
        <v>36.0</v>
      </c>
      <c r="K167" s="24">
        <f>IF(H167=0,0,CAPITAL!$C$5/H167)
</f>
        <v>5000</v>
      </c>
      <c r="L167" s="24">
        <f>IF(I167=0,0,CAPITAL!$C$6/I167)
</f>
        <v>20000</v>
      </c>
      <c r="M167" s="24">
        <f>IF(J167=0,0,CAPITAL!$C$7/J167)
</f>
        <v>69444.44444</v>
      </c>
      <c r="N167" s="24">
        <f t="shared" si="1"/>
        <v>94444.44444</v>
      </c>
      <c r="O167" s="24">
        <f t="shared" si="2"/>
        <v>0.05294117647</v>
      </c>
      <c r="P167" s="24">
        <f t="shared" si="3"/>
        <v>0.2117647059</v>
      </c>
      <c r="Q167" s="24">
        <f t="shared" si="4"/>
        <v>0.7352941176</v>
      </c>
    </row>
    <row r="168">
      <c r="A168" s="17">
        <v>166.0</v>
      </c>
      <c r="B168" s="24" t="s">
        <v>29</v>
      </c>
      <c r="C168" s="30"/>
      <c r="D168" s="22"/>
      <c r="E168" s="31"/>
      <c r="F168" s="22"/>
      <c r="G168" s="30"/>
      <c r="H168" s="24">
        <v>30.0</v>
      </c>
      <c r="I168" s="24">
        <v>35.0</v>
      </c>
      <c r="J168" s="24">
        <v>36.0</v>
      </c>
      <c r="K168" s="24">
        <f>IF(H168=0,0,CAPITAL!$C$5/H168)
</f>
        <v>5000</v>
      </c>
      <c r="L168" s="24">
        <f>IF(I168=0,0,CAPITAL!$C$6/I168)
</f>
        <v>20000</v>
      </c>
      <c r="M168" s="24">
        <f>IF(J168=0,0,CAPITAL!$C$7/J168)
</f>
        <v>69444.44444</v>
      </c>
      <c r="N168" s="24">
        <f t="shared" si="1"/>
        <v>94444.44444</v>
      </c>
      <c r="O168" s="24">
        <f t="shared" si="2"/>
        <v>0.05294117647</v>
      </c>
      <c r="P168" s="24">
        <f t="shared" si="3"/>
        <v>0.2117647059</v>
      </c>
      <c r="Q168" s="24">
        <f t="shared" si="4"/>
        <v>0.7352941176</v>
      </c>
    </row>
    <row r="169">
      <c r="A169" s="17">
        <v>167.0</v>
      </c>
      <c r="B169" s="24" t="s">
        <v>29</v>
      </c>
      <c r="C169" s="30"/>
      <c r="D169" s="22"/>
      <c r="E169" s="31"/>
      <c r="F169" s="22"/>
      <c r="G169" s="30"/>
      <c r="H169" s="24">
        <v>30.0</v>
      </c>
      <c r="I169" s="24">
        <v>35.0</v>
      </c>
      <c r="J169" s="24">
        <v>36.0</v>
      </c>
      <c r="K169" s="24">
        <f>IF(H169=0,0,CAPITAL!$C$5/H169)
</f>
        <v>5000</v>
      </c>
      <c r="L169" s="24">
        <f>IF(I169=0,0,CAPITAL!$C$6/I169)
</f>
        <v>20000</v>
      </c>
      <c r="M169" s="24">
        <f>IF(J169=0,0,CAPITAL!$C$7/J169)
</f>
        <v>69444.44444</v>
      </c>
      <c r="N169" s="24">
        <f t="shared" si="1"/>
        <v>94444.44444</v>
      </c>
      <c r="O169" s="24">
        <f t="shared" si="2"/>
        <v>0.05294117647</v>
      </c>
      <c r="P169" s="24">
        <f t="shared" si="3"/>
        <v>0.2117647059</v>
      </c>
      <c r="Q169" s="24">
        <f t="shared" si="4"/>
        <v>0.7352941176</v>
      </c>
    </row>
    <row r="170">
      <c r="A170" s="17">
        <v>168.0</v>
      </c>
      <c r="B170" s="24" t="s">
        <v>29</v>
      </c>
      <c r="C170" s="30"/>
      <c r="D170" s="22"/>
      <c r="E170" s="31"/>
      <c r="F170" s="22"/>
      <c r="G170" s="30"/>
      <c r="H170" s="24">
        <v>30.0</v>
      </c>
      <c r="I170" s="24">
        <v>35.0</v>
      </c>
      <c r="J170" s="24">
        <v>36.0</v>
      </c>
      <c r="K170" s="24">
        <f>IF(H170=0,0,CAPITAL!$C$5/H170)
</f>
        <v>5000</v>
      </c>
      <c r="L170" s="24">
        <f>IF(I170=0,0,CAPITAL!$C$6/I170)
</f>
        <v>20000</v>
      </c>
      <c r="M170" s="24">
        <f>IF(J170=0,0,CAPITAL!$C$7/J170)
</f>
        <v>69444.44444</v>
      </c>
      <c r="N170" s="24">
        <f t="shared" si="1"/>
        <v>94444.44444</v>
      </c>
      <c r="O170" s="24">
        <f t="shared" si="2"/>
        <v>0.05294117647</v>
      </c>
      <c r="P170" s="24">
        <f t="shared" si="3"/>
        <v>0.2117647059</v>
      </c>
      <c r="Q170" s="24">
        <f t="shared" si="4"/>
        <v>0.7352941176</v>
      </c>
    </row>
    <row r="171">
      <c r="A171" s="17">
        <v>169.0</v>
      </c>
      <c r="B171" s="24" t="s">
        <v>29</v>
      </c>
      <c r="C171" s="30"/>
      <c r="D171" s="22"/>
      <c r="E171" s="31"/>
      <c r="F171" s="22"/>
      <c r="G171" s="30"/>
      <c r="H171" s="24">
        <v>30.0</v>
      </c>
      <c r="I171" s="24">
        <v>35.0</v>
      </c>
      <c r="J171" s="24">
        <v>36.0</v>
      </c>
      <c r="K171" s="24">
        <f>IF(H171=0,0,CAPITAL!$C$5/H171)
</f>
        <v>5000</v>
      </c>
      <c r="L171" s="24">
        <f>IF(I171=0,0,CAPITAL!$C$6/I171)
</f>
        <v>20000</v>
      </c>
      <c r="M171" s="24">
        <f>IF(J171=0,0,CAPITAL!$C$7/J171)
</f>
        <v>69444.44444</v>
      </c>
      <c r="N171" s="24">
        <f t="shared" si="1"/>
        <v>94444.44444</v>
      </c>
      <c r="O171" s="24">
        <f t="shared" si="2"/>
        <v>0.05294117647</v>
      </c>
      <c r="P171" s="24">
        <f t="shared" si="3"/>
        <v>0.2117647059</v>
      </c>
      <c r="Q171" s="24">
        <f t="shared" si="4"/>
        <v>0.7352941176</v>
      </c>
    </row>
    <row r="172">
      <c r="A172" s="17">
        <v>170.0</v>
      </c>
      <c r="B172" s="24" t="s">
        <v>29</v>
      </c>
      <c r="C172" s="30"/>
      <c r="D172" s="22"/>
      <c r="E172" s="31"/>
      <c r="F172" s="22"/>
      <c r="G172" s="30"/>
      <c r="H172" s="24">
        <v>30.0</v>
      </c>
      <c r="I172" s="24">
        <v>35.0</v>
      </c>
      <c r="J172" s="24">
        <v>36.0</v>
      </c>
      <c r="K172" s="24">
        <f>IF(H172=0,0,CAPITAL!$C$5/H172)
</f>
        <v>5000</v>
      </c>
      <c r="L172" s="24">
        <f>IF(I172=0,0,CAPITAL!$C$6/I172)
</f>
        <v>20000</v>
      </c>
      <c r="M172" s="24">
        <f>IF(J172=0,0,CAPITAL!$C$7/J172)
</f>
        <v>69444.44444</v>
      </c>
      <c r="N172" s="24">
        <f t="shared" si="1"/>
        <v>94444.44444</v>
      </c>
      <c r="O172" s="24">
        <f t="shared" si="2"/>
        <v>0.05294117647</v>
      </c>
      <c r="P172" s="24">
        <f t="shared" si="3"/>
        <v>0.2117647059</v>
      </c>
      <c r="Q172" s="24">
        <f t="shared" si="4"/>
        <v>0.7352941176</v>
      </c>
    </row>
    <row r="173">
      <c r="A173" s="17">
        <v>171.0</v>
      </c>
      <c r="B173" s="24" t="s">
        <v>29</v>
      </c>
      <c r="C173" s="30"/>
      <c r="D173" s="22"/>
      <c r="E173" s="31"/>
      <c r="F173" s="22"/>
      <c r="G173" s="30"/>
      <c r="H173" s="24">
        <v>30.0</v>
      </c>
      <c r="I173" s="24">
        <v>35.0</v>
      </c>
      <c r="J173" s="24">
        <v>36.0</v>
      </c>
      <c r="K173" s="24">
        <f>IF(H173=0,0,CAPITAL!$C$5/H173)
</f>
        <v>5000</v>
      </c>
      <c r="L173" s="24">
        <f>IF(I173=0,0,CAPITAL!$C$6/I173)
</f>
        <v>20000</v>
      </c>
      <c r="M173" s="24">
        <f>IF(J173=0,0,CAPITAL!$C$7/J173)
</f>
        <v>69444.44444</v>
      </c>
      <c r="N173" s="24">
        <f t="shared" si="1"/>
        <v>94444.44444</v>
      </c>
      <c r="O173" s="24">
        <f t="shared" si="2"/>
        <v>0.05294117647</v>
      </c>
      <c r="P173" s="24">
        <f t="shared" si="3"/>
        <v>0.2117647059</v>
      </c>
      <c r="Q173" s="24">
        <f t="shared" si="4"/>
        <v>0.7352941176</v>
      </c>
    </row>
    <row r="174">
      <c r="A174" s="17">
        <v>172.0</v>
      </c>
      <c r="B174" s="24" t="s">
        <v>29</v>
      </c>
      <c r="C174" s="30"/>
      <c r="D174" s="22"/>
      <c r="E174" s="31"/>
      <c r="F174" s="22"/>
      <c r="G174" s="30"/>
      <c r="H174" s="24">
        <v>30.0</v>
      </c>
      <c r="I174" s="24">
        <v>35.0</v>
      </c>
      <c r="J174" s="24">
        <v>36.0</v>
      </c>
      <c r="K174" s="24">
        <f>IF(H174=0,0,CAPITAL!$C$5/H174)
</f>
        <v>5000</v>
      </c>
      <c r="L174" s="24">
        <f>IF(I174=0,0,CAPITAL!$C$6/I174)
</f>
        <v>20000</v>
      </c>
      <c r="M174" s="24">
        <f>IF(J174=0,0,CAPITAL!$C$7/J174)
</f>
        <v>69444.44444</v>
      </c>
      <c r="N174" s="24">
        <f t="shared" si="1"/>
        <v>94444.44444</v>
      </c>
      <c r="O174" s="24">
        <f t="shared" si="2"/>
        <v>0.05294117647</v>
      </c>
      <c r="P174" s="24">
        <f t="shared" si="3"/>
        <v>0.2117647059</v>
      </c>
      <c r="Q174" s="24">
        <f t="shared" si="4"/>
        <v>0.7352941176</v>
      </c>
    </row>
    <row r="175">
      <c r="A175" s="17">
        <v>173.0</v>
      </c>
      <c r="B175" s="24" t="s">
        <v>29</v>
      </c>
      <c r="C175" s="30"/>
      <c r="D175" s="22"/>
      <c r="E175" s="31"/>
      <c r="F175" s="22"/>
      <c r="G175" s="30"/>
      <c r="H175" s="24">
        <v>30.0</v>
      </c>
      <c r="I175" s="24">
        <v>35.0</v>
      </c>
      <c r="J175" s="24">
        <v>36.0</v>
      </c>
      <c r="K175" s="24">
        <f>IF(H175=0,0,CAPITAL!$C$5/H175)
</f>
        <v>5000</v>
      </c>
      <c r="L175" s="24">
        <f>IF(I175=0,0,CAPITAL!$C$6/I175)
</f>
        <v>20000</v>
      </c>
      <c r="M175" s="24">
        <f>IF(J175=0,0,CAPITAL!$C$7/J175)
</f>
        <v>69444.44444</v>
      </c>
      <c r="N175" s="24">
        <f t="shared" si="1"/>
        <v>94444.44444</v>
      </c>
      <c r="O175" s="24">
        <f t="shared" si="2"/>
        <v>0.05294117647</v>
      </c>
      <c r="P175" s="24">
        <f t="shared" si="3"/>
        <v>0.2117647059</v>
      </c>
      <c r="Q175" s="24">
        <f t="shared" si="4"/>
        <v>0.7352941176</v>
      </c>
    </row>
    <row r="176">
      <c r="A176" s="17">
        <v>174.0</v>
      </c>
      <c r="B176" s="24" t="s">
        <v>29</v>
      </c>
      <c r="C176" s="30"/>
      <c r="D176" s="22"/>
      <c r="E176" s="31"/>
      <c r="F176" s="22"/>
      <c r="G176" s="30"/>
      <c r="H176" s="24">
        <v>30.0</v>
      </c>
      <c r="I176" s="24">
        <v>35.0</v>
      </c>
      <c r="J176" s="24">
        <v>36.0</v>
      </c>
      <c r="K176" s="24">
        <f>IF(H176=0,0,CAPITAL!$C$5/H176)
</f>
        <v>5000</v>
      </c>
      <c r="L176" s="24">
        <f>IF(I176=0,0,CAPITAL!$C$6/I176)
</f>
        <v>20000</v>
      </c>
      <c r="M176" s="24">
        <f>IF(J176=0,0,CAPITAL!$C$7/J176)
</f>
        <v>69444.44444</v>
      </c>
      <c r="N176" s="24">
        <f t="shared" si="1"/>
        <v>94444.44444</v>
      </c>
      <c r="O176" s="24">
        <f t="shared" si="2"/>
        <v>0.05294117647</v>
      </c>
      <c r="P176" s="24">
        <f t="shared" si="3"/>
        <v>0.2117647059</v>
      </c>
      <c r="Q176" s="24">
        <f t="shared" si="4"/>
        <v>0.7352941176</v>
      </c>
    </row>
    <row r="177">
      <c r="A177" s="17">
        <v>175.0</v>
      </c>
      <c r="B177" s="24" t="s">
        <v>29</v>
      </c>
      <c r="C177" s="30"/>
      <c r="D177" s="22"/>
      <c r="E177" s="31"/>
      <c r="F177" s="22"/>
      <c r="G177" s="30"/>
      <c r="H177" s="24">
        <v>30.0</v>
      </c>
      <c r="I177" s="24">
        <v>35.0</v>
      </c>
      <c r="J177" s="24">
        <v>36.0</v>
      </c>
      <c r="K177" s="24">
        <f>IF(H177=0,0,CAPITAL!$C$5/H177)
</f>
        <v>5000</v>
      </c>
      <c r="L177" s="24">
        <f>IF(I177=0,0,CAPITAL!$C$6/I177)
</f>
        <v>20000</v>
      </c>
      <c r="M177" s="24">
        <f>IF(J177=0,0,CAPITAL!$C$7/J177)
</f>
        <v>69444.44444</v>
      </c>
      <c r="N177" s="24">
        <f t="shared" si="1"/>
        <v>94444.44444</v>
      </c>
      <c r="O177" s="24">
        <f t="shared" si="2"/>
        <v>0.05294117647</v>
      </c>
      <c r="P177" s="24">
        <f t="shared" si="3"/>
        <v>0.2117647059</v>
      </c>
      <c r="Q177" s="24">
        <f t="shared" si="4"/>
        <v>0.7352941176</v>
      </c>
    </row>
    <row r="178">
      <c r="A178" s="17">
        <v>176.0</v>
      </c>
      <c r="B178" s="24" t="s">
        <v>29</v>
      </c>
      <c r="C178" s="30"/>
      <c r="D178" s="22"/>
      <c r="E178" s="31"/>
      <c r="F178" s="22"/>
      <c r="G178" s="30"/>
      <c r="H178" s="24">
        <v>30.0</v>
      </c>
      <c r="I178" s="24">
        <v>35.0</v>
      </c>
      <c r="J178" s="24">
        <v>36.0</v>
      </c>
      <c r="K178" s="24">
        <f>IF(H178=0,0,CAPITAL!$C$5/H178)
</f>
        <v>5000</v>
      </c>
      <c r="L178" s="24">
        <f>IF(I178=0,0,CAPITAL!$C$6/I178)
</f>
        <v>20000</v>
      </c>
      <c r="M178" s="24">
        <f>IF(J178=0,0,CAPITAL!$C$7/J178)
</f>
        <v>69444.44444</v>
      </c>
      <c r="N178" s="24">
        <f t="shared" si="1"/>
        <v>94444.44444</v>
      </c>
      <c r="O178" s="24">
        <f t="shared" si="2"/>
        <v>0.05294117647</v>
      </c>
      <c r="P178" s="24">
        <f t="shared" si="3"/>
        <v>0.2117647059</v>
      </c>
      <c r="Q178" s="24">
        <f t="shared" si="4"/>
        <v>0.7352941176</v>
      </c>
    </row>
    <row r="179">
      <c r="A179" s="17">
        <v>177.0</v>
      </c>
      <c r="B179" s="24" t="s">
        <v>29</v>
      </c>
      <c r="C179" s="30"/>
      <c r="D179" s="22"/>
      <c r="E179" s="31"/>
      <c r="F179" s="22"/>
      <c r="G179" s="30"/>
      <c r="H179" s="24">
        <v>30.0</v>
      </c>
      <c r="I179" s="24">
        <v>35.0</v>
      </c>
      <c r="J179" s="24">
        <v>36.0</v>
      </c>
      <c r="K179" s="24">
        <f>IF(H179=0,0,CAPITAL!$C$5/H179)
</f>
        <v>5000</v>
      </c>
      <c r="L179" s="24">
        <f>IF(I179=0,0,CAPITAL!$C$6/I179)
</f>
        <v>20000</v>
      </c>
      <c r="M179" s="24">
        <f>IF(J179=0,0,CAPITAL!$C$7/J179)
</f>
        <v>69444.44444</v>
      </c>
      <c r="N179" s="24">
        <f t="shared" si="1"/>
        <v>94444.44444</v>
      </c>
      <c r="O179" s="24">
        <f t="shared" si="2"/>
        <v>0.05294117647</v>
      </c>
      <c r="P179" s="24">
        <f t="shared" si="3"/>
        <v>0.2117647059</v>
      </c>
      <c r="Q179" s="24">
        <f t="shared" si="4"/>
        <v>0.7352941176</v>
      </c>
    </row>
    <row r="180">
      <c r="A180" s="17">
        <v>178.0</v>
      </c>
      <c r="B180" s="24" t="s">
        <v>29</v>
      </c>
      <c r="C180" s="30"/>
      <c r="D180" s="22"/>
      <c r="E180" s="31"/>
      <c r="F180" s="22"/>
      <c r="G180" s="30"/>
      <c r="H180" s="24">
        <v>30.0</v>
      </c>
      <c r="I180" s="24">
        <v>35.0</v>
      </c>
      <c r="J180" s="24">
        <v>36.0</v>
      </c>
      <c r="K180" s="24">
        <f>IF(H180=0,0,CAPITAL!$C$5/H180)
</f>
        <v>5000</v>
      </c>
      <c r="L180" s="24">
        <f>IF(I180=0,0,CAPITAL!$C$6/I180)
</f>
        <v>20000</v>
      </c>
      <c r="M180" s="24">
        <f>IF(J180=0,0,CAPITAL!$C$7/J180)
</f>
        <v>69444.44444</v>
      </c>
      <c r="N180" s="24">
        <f t="shared" si="1"/>
        <v>94444.44444</v>
      </c>
      <c r="O180" s="24">
        <f t="shared" si="2"/>
        <v>0.05294117647</v>
      </c>
      <c r="P180" s="24">
        <f t="shared" si="3"/>
        <v>0.2117647059</v>
      </c>
      <c r="Q180" s="24">
        <f t="shared" si="4"/>
        <v>0.7352941176</v>
      </c>
    </row>
    <row r="181">
      <c r="A181" s="17">
        <v>179.0</v>
      </c>
      <c r="B181" s="24" t="s">
        <v>29</v>
      </c>
      <c r="C181" s="30"/>
      <c r="D181" s="22"/>
      <c r="E181" s="31"/>
      <c r="F181" s="22"/>
      <c r="G181" s="30"/>
      <c r="H181" s="24">
        <v>30.0</v>
      </c>
      <c r="I181" s="24">
        <v>35.0</v>
      </c>
      <c r="J181" s="24">
        <v>36.0</v>
      </c>
      <c r="K181" s="24">
        <f>IF(H181=0,0,CAPITAL!$C$5/H181)
</f>
        <v>5000</v>
      </c>
      <c r="L181" s="24">
        <f>IF(I181=0,0,CAPITAL!$C$6/I181)
</f>
        <v>20000</v>
      </c>
      <c r="M181" s="24">
        <f>IF(J181=0,0,CAPITAL!$C$7/J181)
</f>
        <v>69444.44444</v>
      </c>
      <c r="N181" s="24">
        <f t="shared" si="1"/>
        <v>94444.44444</v>
      </c>
      <c r="O181" s="24">
        <f t="shared" si="2"/>
        <v>0.05294117647</v>
      </c>
      <c r="P181" s="24">
        <f t="shared" si="3"/>
        <v>0.2117647059</v>
      </c>
      <c r="Q181" s="24">
        <f t="shared" si="4"/>
        <v>0.7352941176</v>
      </c>
    </row>
    <row r="182">
      <c r="A182" s="17">
        <v>180.0</v>
      </c>
      <c r="B182" s="24" t="s">
        <v>29</v>
      </c>
      <c r="C182" s="30"/>
      <c r="D182" s="22"/>
      <c r="E182" s="31"/>
      <c r="F182" s="22"/>
      <c r="G182" s="30"/>
      <c r="H182" s="24">
        <v>30.0</v>
      </c>
      <c r="I182" s="24">
        <v>35.0</v>
      </c>
      <c r="J182" s="24">
        <v>36.0</v>
      </c>
      <c r="K182" s="24">
        <f>IF(H182=0,0,CAPITAL!$C$5/H182)
</f>
        <v>5000</v>
      </c>
      <c r="L182" s="24">
        <f>IF(I182=0,0,CAPITAL!$C$6/I182)
</f>
        <v>20000</v>
      </c>
      <c r="M182" s="24">
        <f>IF(J182=0,0,CAPITAL!$C$7/J182)
</f>
        <v>69444.44444</v>
      </c>
      <c r="N182" s="24">
        <f t="shared" si="1"/>
        <v>94444.44444</v>
      </c>
      <c r="O182" s="24">
        <f t="shared" si="2"/>
        <v>0.05294117647</v>
      </c>
      <c r="P182" s="24">
        <f t="shared" si="3"/>
        <v>0.2117647059</v>
      </c>
      <c r="Q182" s="24">
        <f t="shared" si="4"/>
        <v>0.7352941176</v>
      </c>
    </row>
    <row r="183">
      <c r="A183" s="17">
        <v>181.0</v>
      </c>
      <c r="B183" s="24" t="s">
        <v>29</v>
      </c>
      <c r="C183" s="30"/>
      <c r="D183" s="22"/>
      <c r="E183" s="31"/>
      <c r="F183" s="22"/>
      <c r="G183" s="30"/>
      <c r="H183" s="24">
        <v>30.0</v>
      </c>
      <c r="I183" s="24">
        <v>35.0</v>
      </c>
      <c r="J183" s="24">
        <v>36.0</v>
      </c>
      <c r="K183" s="24">
        <f>IF(H183=0,0,CAPITAL!$C$5/H183)
</f>
        <v>5000</v>
      </c>
      <c r="L183" s="24">
        <f>IF(I183=0,0,CAPITAL!$C$6/I183)
</f>
        <v>20000</v>
      </c>
      <c r="M183" s="24">
        <f>IF(J183=0,0,CAPITAL!$C$7/J183)
</f>
        <v>69444.44444</v>
      </c>
      <c r="N183" s="24">
        <f t="shared" si="1"/>
        <v>94444.44444</v>
      </c>
      <c r="O183" s="24">
        <f t="shared" si="2"/>
        <v>0.05294117647</v>
      </c>
      <c r="P183" s="24">
        <f t="shared" si="3"/>
        <v>0.2117647059</v>
      </c>
      <c r="Q183" s="24">
        <f t="shared" si="4"/>
        <v>0.7352941176</v>
      </c>
    </row>
    <row r="184">
      <c r="A184" s="17">
        <v>182.0</v>
      </c>
      <c r="B184" s="24" t="s">
        <v>29</v>
      </c>
      <c r="C184" s="30"/>
      <c r="D184" s="22"/>
      <c r="E184" s="31"/>
      <c r="F184" s="22"/>
      <c r="G184" s="30"/>
      <c r="H184" s="24">
        <v>30.0</v>
      </c>
      <c r="I184" s="24">
        <v>35.0</v>
      </c>
      <c r="J184" s="24">
        <v>36.0</v>
      </c>
      <c r="K184" s="24">
        <f>IF(H184=0,0,CAPITAL!$C$5/H184)
</f>
        <v>5000</v>
      </c>
      <c r="L184" s="24">
        <f>IF(I184=0,0,CAPITAL!$C$6/I184)
</f>
        <v>20000</v>
      </c>
      <c r="M184" s="24">
        <f>IF(J184=0,0,CAPITAL!$C$7/J184)
</f>
        <v>69444.44444</v>
      </c>
      <c r="N184" s="24">
        <f t="shared" si="1"/>
        <v>94444.44444</v>
      </c>
      <c r="O184" s="24">
        <f t="shared" si="2"/>
        <v>0.05294117647</v>
      </c>
      <c r="P184" s="24">
        <f t="shared" si="3"/>
        <v>0.2117647059</v>
      </c>
      <c r="Q184" s="24">
        <f t="shared" si="4"/>
        <v>0.7352941176</v>
      </c>
    </row>
    <row r="185">
      <c r="A185" s="17">
        <v>183.0</v>
      </c>
      <c r="B185" s="24" t="s">
        <v>29</v>
      </c>
      <c r="C185" s="30"/>
      <c r="D185" s="22"/>
      <c r="E185" s="31"/>
      <c r="F185" s="22"/>
      <c r="G185" s="30"/>
      <c r="H185" s="24">
        <v>30.0</v>
      </c>
      <c r="I185" s="24">
        <v>35.0</v>
      </c>
      <c r="J185" s="24">
        <v>36.0</v>
      </c>
      <c r="K185" s="24">
        <f>IF(H185=0,0,CAPITAL!$C$5/H185)
</f>
        <v>5000</v>
      </c>
      <c r="L185" s="24">
        <f>IF(I185=0,0,CAPITAL!$C$6/I185)
</f>
        <v>20000</v>
      </c>
      <c r="M185" s="24">
        <f>IF(J185=0,0,CAPITAL!$C$7/J185)
</f>
        <v>69444.44444</v>
      </c>
      <c r="N185" s="24">
        <f t="shared" si="1"/>
        <v>94444.44444</v>
      </c>
      <c r="O185" s="24">
        <f t="shared" si="2"/>
        <v>0.05294117647</v>
      </c>
      <c r="P185" s="24">
        <f t="shared" si="3"/>
        <v>0.2117647059</v>
      </c>
      <c r="Q185" s="24">
        <f t="shared" si="4"/>
        <v>0.7352941176</v>
      </c>
    </row>
    <row r="186">
      <c r="A186" s="17">
        <v>184.0</v>
      </c>
      <c r="B186" s="24" t="s">
        <v>29</v>
      </c>
      <c r="C186" s="30"/>
      <c r="D186" s="22"/>
      <c r="E186" s="31"/>
      <c r="F186" s="22"/>
      <c r="G186" s="30"/>
      <c r="H186" s="24">
        <v>30.0</v>
      </c>
      <c r="I186" s="24">
        <v>35.0</v>
      </c>
      <c r="J186" s="24">
        <v>36.0</v>
      </c>
      <c r="K186" s="24">
        <f>IF(H186=0,0,CAPITAL!$C$5/H186)
</f>
        <v>5000</v>
      </c>
      <c r="L186" s="24">
        <f>IF(I186=0,0,CAPITAL!$C$6/I186)
</f>
        <v>20000</v>
      </c>
      <c r="M186" s="24">
        <f>IF(J186=0,0,CAPITAL!$C$7/J186)
</f>
        <v>69444.44444</v>
      </c>
      <c r="N186" s="24">
        <f t="shared" si="1"/>
        <v>94444.44444</v>
      </c>
      <c r="O186" s="24">
        <f t="shared" si="2"/>
        <v>0.05294117647</v>
      </c>
      <c r="P186" s="24">
        <f t="shared" si="3"/>
        <v>0.2117647059</v>
      </c>
      <c r="Q186" s="24">
        <f t="shared" si="4"/>
        <v>0.7352941176</v>
      </c>
    </row>
    <row r="187">
      <c r="A187" s="17">
        <v>185.0</v>
      </c>
      <c r="B187" s="24" t="s">
        <v>29</v>
      </c>
      <c r="C187" s="30"/>
      <c r="D187" s="22"/>
      <c r="E187" s="31"/>
      <c r="F187" s="22"/>
      <c r="G187" s="30"/>
      <c r="H187" s="24">
        <v>30.0</v>
      </c>
      <c r="I187" s="24">
        <v>35.0</v>
      </c>
      <c r="J187" s="24">
        <v>36.0</v>
      </c>
      <c r="K187" s="24">
        <f>IF(H187=0,0,CAPITAL!$C$5/H187)
</f>
        <v>5000</v>
      </c>
      <c r="L187" s="24">
        <f>IF(I187=0,0,CAPITAL!$C$6/I187)
</f>
        <v>20000</v>
      </c>
      <c r="M187" s="24">
        <f>IF(J187=0,0,CAPITAL!$C$7/J187)
</f>
        <v>69444.44444</v>
      </c>
      <c r="N187" s="24">
        <f t="shared" si="1"/>
        <v>94444.44444</v>
      </c>
      <c r="O187" s="24">
        <f t="shared" si="2"/>
        <v>0.05294117647</v>
      </c>
      <c r="P187" s="24">
        <f t="shared" si="3"/>
        <v>0.2117647059</v>
      </c>
      <c r="Q187" s="24">
        <f t="shared" si="4"/>
        <v>0.7352941176</v>
      </c>
    </row>
    <row r="188">
      <c r="A188" s="17">
        <v>186.0</v>
      </c>
      <c r="B188" s="24" t="s">
        <v>29</v>
      </c>
      <c r="C188" s="30"/>
      <c r="D188" s="22"/>
      <c r="E188" s="31"/>
      <c r="F188" s="22"/>
      <c r="G188" s="30"/>
      <c r="H188" s="24">
        <v>30.0</v>
      </c>
      <c r="I188" s="24">
        <v>35.0</v>
      </c>
      <c r="J188" s="24">
        <v>36.0</v>
      </c>
      <c r="K188" s="24">
        <f>IF(H188=0,0,CAPITAL!$C$5/H188)
</f>
        <v>5000</v>
      </c>
      <c r="L188" s="24">
        <f>IF(I188=0,0,CAPITAL!$C$6/I188)
</f>
        <v>20000</v>
      </c>
      <c r="M188" s="24">
        <f>IF(J188=0,0,CAPITAL!$C$7/J188)
</f>
        <v>69444.44444</v>
      </c>
      <c r="N188" s="24">
        <f t="shared" si="1"/>
        <v>94444.44444</v>
      </c>
      <c r="O188" s="24">
        <f t="shared" si="2"/>
        <v>0.05294117647</v>
      </c>
      <c r="P188" s="24">
        <f t="shared" si="3"/>
        <v>0.2117647059</v>
      </c>
      <c r="Q188" s="24">
        <f t="shared" si="4"/>
        <v>0.7352941176</v>
      </c>
    </row>
    <row r="189">
      <c r="A189" s="17">
        <v>187.0</v>
      </c>
      <c r="B189" s="24" t="s">
        <v>29</v>
      </c>
      <c r="C189" s="30"/>
      <c r="D189" s="22"/>
      <c r="E189" s="31"/>
      <c r="F189" s="22"/>
      <c r="G189" s="30"/>
      <c r="H189" s="24">
        <v>30.0</v>
      </c>
      <c r="I189" s="24">
        <v>35.0</v>
      </c>
      <c r="J189" s="24">
        <v>36.0</v>
      </c>
      <c r="K189" s="24">
        <f>IF(H189=0,0,CAPITAL!$C$5/H189)
</f>
        <v>5000</v>
      </c>
      <c r="L189" s="24">
        <f>IF(I189=0,0,CAPITAL!$C$6/I189)
</f>
        <v>20000</v>
      </c>
      <c r="M189" s="24">
        <f>IF(J189=0,0,CAPITAL!$C$7/J189)
</f>
        <v>69444.44444</v>
      </c>
      <c r="N189" s="24">
        <f t="shared" si="1"/>
        <v>94444.44444</v>
      </c>
      <c r="O189" s="24">
        <f t="shared" si="2"/>
        <v>0.05294117647</v>
      </c>
      <c r="P189" s="24">
        <f t="shared" si="3"/>
        <v>0.2117647059</v>
      </c>
      <c r="Q189" s="24">
        <f t="shared" si="4"/>
        <v>0.7352941176</v>
      </c>
    </row>
    <row r="190">
      <c r="A190" s="17">
        <v>188.0</v>
      </c>
      <c r="B190" s="24" t="s">
        <v>29</v>
      </c>
      <c r="C190" s="30"/>
      <c r="D190" s="22"/>
      <c r="E190" s="31"/>
      <c r="F190" s="22"/>
      <c r="G190" s="30"/>
      <c r="H190" s="24">
        <v>30.0</v>
      </c>
      <c r="I190" s="24">
        <v>35.0</v>
      </c>
      <c r="J190" s="24">
        <v>36.0</v>
      </c>
      <c r="K190" s="24">
        <f>IF(H190=0,0,CAPITAL!$C$5/H190)
</f>
        <v>5000</v>
      </c>
      <c r="L190" s="24">
        <f>IF(I190=0,0,CAPITAL!$C$6/I190)
</f>
        <v>20000</v>
      </c>
      <c r="M190" s="24">
        <f>IF(J190=0,0,CAPITAL!$C$7/J190)
</f>
        <v>69444.44444</v>
      </c>
      <c r="N190" s="24">
        <f t="shared" si="1"/>
        <v>94444.44444</v>
      </c>
      <c r="O190" s="24">
        <f t="shared" si="2"/>
        <v>0.05294117647</v>
      </c>
      <c r="P190" s="24">
        <f t="shared" si="3"/>
        <v>0.2117647059</v>
      </c>
      <c r="Q190" s="24">
        <f t="shared" si="4"/>
        <v>0.7352941176</v>
      </c>
    </row>
    <row r="191">
      <c r="A191" s="17">
        <v>189.0</v>
      </c>
      <c r="B191" s="24" t="s">
        <v>29</v>
      </c>
      <c r="C191" s="30"/>
      <c r="D191" s="22"/>
      <c r="E191" s="31"/>
      <c r="F191" s="22"/>
      <c r="G191" s="30"/>
      <c r="H191" s="24">
        <v>30.0</v>
      </c>
      <c r="I191" s="24">
        <v>35.0</v>
      </c>
      <c r="J191" s="24">
        <v>36.0</v>
      </c>
      <c r="K191" s="24">
        <f>IF(H191=0,0,CAPITAL!$C$5/H191)
</f>
        <v>5000</v>
      </c>
      <c r="L191" s="24">
        <f>IF(I191=0,0,CAPITAL!$C$6/I191)
</f>
        <v>20000</v>
      </c>
      <c r="M191" s="24">
        <f>IF(J191=0,0,CAPITAL!$C$7/J191)
</f>
        <v>69444.44444</v>
      </c>
      <c r="N191" s="24">
        <f t="shared" si="1"/>
        <v>94444.44444</v>
      </c>
      <c r="O191" s="24">
        <f t="shared" si="2"/>
        <v>0.05294117647</v>
      </c>
      <c r="P191" s="24">
        <f t="shared" si="3"/>
        <v>0.2117647059</v>
      </c>
      <c r="Q191" s="24">
        <f t="shared" si="4"/>
        <v>0.7352941176</v>
      </c>
    </row>
    <row r="192">
      <c r="A192" s="17">
        <v>190.0</v>
      </c>
      <c r="B192" s="24" t="s">
        <v>29</v>
      </c>
      <c r="C192" s="30"/>
      <c r="D192" s="22"/>
      <c r="E192" s="31"/>
      <c r="F192" s="22"/>
      <c r="G192" s="30"/>
      <c r="H192" s="24">
        <v>30.0</v>
      </c>
      <c r="I192" s="24">
        <v>35.0</v>
      </c>
      <c r="J192" s="24">
        <v>36.0</v>
      </c>
      <c r="K192" s="24">
        <f>IF(H192=0,0,CAPITAL!$C$5/H192)
</f>
        <v>5000</v>
      </c>
      <c r="L192" s="24">
        <f>IF(I192=0,0,CAPITAL!$C$6/I192)
</f>
        <v>20000</v>
      </c>
      <c r="M192" s="24">
        <f>IF(J192=0,0,CAPITAL!$C$7/J192)
</f>
        <v>69444.44444</v>
      </c>
      <c r="N192" s="24">
        <f t="shared" si="1"/>
        <v>94444.44444</v>
      </c>
      <c r="O192" s="24">
        <f t="shared" si="2"/>
        <v>0.05294117647</v>
      </c>
      <c r="P192" s="24">
        <f t="shared" si="3"/>
        <v>0.2117647059</v>
      </c>
      <c r="Q192" s="24">
        <f t="shared" si="4"/>
        <v>0.7352941176</v>
      </c>
    </row>
    <row r="193">
      <c r="A193" s="17">
        <v>191.0</v>
      </c>
      <c r="B193" s="24" t="s">
        <v>29</v>
      </c>
      <c r="C193" s="30"/>
      <c r="D193" s="22"/>
      <c r="E193" s="31"/>
      <c r="F193" s="22"/>
      <c r="G193" s="30"/>
      <c r="H193" s="24">
        <v>30.0</v>
      </c>
      <c r="I193" s="24">
        <v>35.0</v>
      </c>
      <c r="J193" s="24">
        <v>36.0</v>
      </c>
      <c r="K193" s="24">
        <f>IF(H193=0,0,CAPITAL!$C$5/H193)
</f>
        <v>5000</v>
      </c>
      <c r="L193" s="24">
        <f>IF(I193=0,0,CAPITAL!$C$6/I193)
</f>
        <v>20000</v>
      </c>
      <c r="M193" s="24">
        <f>IF(J193=0,0,CAPITAL!$C$7/J193)
</f>
        <v>69444.44444</v>
      </c>
      <c r="N193" s="24">
        <f t="shared" si="1"/>
        <v>94444.44444</v>
      </c>
      <c r="O193" s="24">
        <f t="shared" si="2"/>
        <v>0.05294117647</v>
      </c>
      <c r="P193" s="24">
        <f t="shared" si="3"/>
        <v>0.2117647059</v>
      </c>
      <c r="Q193" s="24">
        <f t="shared" si="4"/>
        <v>0.7352941176</v>
      </c>
    </row>
    <row r="194">
      <c r="A194" s="17">
        <v>192.0</v>
      </c>
      <c r="B194" s="24" t="s">
        <v>29</v>
      </c>
      <c r="C194" s="30"/>
      <c r="D194" s="22"/>
      <c r="E194" s="31"/>
      <c r="F194" s="22"/>
      <c r="G194" s="30"/>
      <c r="H194" s="24">
        <v>30.0</v>
      </c>
      <c r="I194" s="24">
        <v>35.0</v>
      </c>
      <c r="J194" s="24">
        <v>36.0</v>
      </c>
      <c r="K194" s="24">
        <f>IF(H194=0,0,CAPITAL!$C$5/H194)
</f>
        <v>5000</v>
      </c>
      <c r="L194" s="24">
        <f>IF(I194=0,0,CAPITAL!$C$6/I194)
</f>
        <v>20000</v>
      </c>
      <c r="M194" s="24">
        <f>IF(J194=0,0,CAPITAL!$C$7/J194)
</f>
        <v>69444.44444</v>
      </c>
      <c r="N194" s="24">
        <f t="shared" si="1"/>
        <v>94444.44444</v>
      </c>
      <c r="O194" s="24">
        <f t="shared" si="2"/>
        <v>0.05294117647</v>
      </c>
      <c r="P194" s="24">
        <f t="shared" si="3"/>
        <v>0.2117647059</v>
      </c>
      <c r="Q194" s="24">
        <f t="shared" si="4"/>
        <v>0.7352941176</v>
      </c>
    </row>
    <row r="195">
      <c r="A195" s="17">
        <v>193.0</v>
      </c>
      <c r="B195" s="24" t="s">
        <v>29</v>
      </c>
      <c r="C195" s="30"/>
      <c r="D195" s="22"/>
      <c r="E195" s="31"/>
      <c r="F195" s="22"/>
      <c r="G195" s="30"/>
      <c r="H195" s="24">
        <v>30.0</v>
      </c>
      <c r="I195" s="24">
        <v>35.0</v>
      </c>
      <c r="J195" s="24">
        <v>36.0</v>
      </c>
      <c r="K195" s="24">
        <f>IF(H195=0,0,CAPITAL!$C$5/H195)
</f>
        <v>5000</v>
      </c>
      <c r="L195" s="24">
        <f>IF(I195=0,0,CAPITAL!$C$6/I195)
</f>
        <v>20000</v>
      </c>
      <c r="M195" s="24">
        <f>IF(J195=0,0,CAPITAL!$C$7/J195)
</f>
        <v>69444.44444</v>
      </c>
      <c r="N195" s="24">
        <f t="shared" si="1"/>
        <v>94444.44444</v>
      </c>
      <c r="O195" s="24">
        <f t="shared" si="2"/>
        <v>0.05294117647</v>
      </c>
      <c r="P195" s="24">
        <f t="shared" si="3"/>
        <v>0.2117647059</v>
      </c>
      <c r="Q195" s="24">
        <f t="shared" si="4"/>
        <v>0.7352941176</v>
      </c>
    </row>
    <row r="196">
      <c r="A196" s="17">
        <v>194.0</v>
      </c>
      <c r="B196" s="24" t="s">
        <v>29</v>
      </c>
      <c r="C196" s="30"/>
      <c r="D196" s="22"/>
      <c r="E196" s="31"/>
      <c r="F196" s="22"/>
      <c r="G196" s="30"/>
      <c r="H196" s="24">
        <v>30.0</v>
      </c>
      <c r="I196" s="24">
        <v>35.0</v>
      </c>
      <c r="J196" s="24">
        <v>36.0</v>
      </c>
      <c r="K196" s="24">
        <f>IF(H196=0,0,CAPITAL!$C$5/H196)
</f>
        <v>5000</v>
      </c>
      <c r="L196" s="24">
        <f>IF(I196=0,0,CAPITAL!$C$6/I196)
</f>
        <v>20000</v>
      </c>
      <c r="M196" s="24">
        <f>IF(J196=0,0,CAPITAL!$C$7/J196)
</f>
        <v>69444.44444</v>
      </c>
      <c r="N196" s="24">
        <f t="shared" si="1"/>
        <v>94444.44444</v>
      </c>
      <c r="O196" s="24">
        <f t="shared" si="2"/>
        <v>0.05294117647</v>
      </c>
      <c r="P196" s="24">
        <f t="shared" si="3"/>
        <v>0.2117647059</v>
      </c>
      <c r="Q196" s="24">
        <f t="shared" si="4"/>
        <v>0.7352941176</v>
      </c>
    </row>
    <row r="197">
      <c r="A197" s="17">
        <v>195.0</v>
      </c>
      <c r="B197" s="24" t="s">
        <v>29</v>
      </c>
      <c r="C197" s="30"/>
      <c r="D197" s="22"/>
      <c r="E197" s="31"/>
      <c r="F197" s="22"/>
      <c r="G197" s="30"/>
      <c r="H197" s="24">
        <v>30.0</v>
      </c>
      <c r="I197" s="24">
        <v>35.0</v>
      </c>
      <c r="J197" s="24">
        <v>36.0</v>
      </c>
      <c r="K197" s="24">
        <f>IF(H197=0,0,CAPITAL!$C$5/H197)
</f>
        <v>5000</v>
      </c>
      <c r="L197" s="24">
        <f>IF(I197=0,0,CAPITAL!$C$6/I197)
</f>
        <v>20000</v>
      </c>
      <c r="M197" s="24">
        <f>IF(J197=0,0,CAPITAL!$C$7/J197)
</f>
        <v>69444.44444</v>
      </c>
      <c r="N197" s="24">
        <f t="shared" si="1"/>
        <v>94444.44444</v>
      </c>
      <c r="O197" s="24">
        <f t="shared" si="2"/>
        <v>0.05294117647</v>
      </c>
      <c r="P197" s="24">
        <f t="shared" si="3"/>
        <v>0.2117647059</v>
      </c>
      <c r="Q197" s="24">
        <f t="shared" si="4"/>
        <v>0.7352941176</v>
      </c>
    </row>
    <row r="198">
      <c r="A198" s="17">
        <v>196.0</v>
      </c>
      <c r="B198" s="24" t="s">
        <v>29</v>
      </c>
      <c r="C198" s="30"/>
      <c r="D198" s="22"/>
      <c r="E198" s="31"/>
      <c r="F198" s="22"/>
      <c r="G198" s="30"/>
      <c r="H198" s="24">
        <v>30.0</v>
      </c>
      <c r="I198" s="24">
        <v>35.0</v>
      </c>
      <c r="J198" s="24">
        <v>36.0</v>
      </c>
      <c r="K198" s="24">
        <f>IF(H198=0,0,CAPITAL!$C$5/H198)
</f>
        <v>5000</v>
      </c>
      <c r="L198" s="24">
        <f>IF(I198=0,0,CAPITAL!$C$6/I198)
</f>
        <v>20000</v>
      </c>
      <c r="M198" s="24">
        <f>IF(J198=0,0,CAPITAL!$C$7/J198)
</f>
        <v>69444.44444</v>
      </c>
      <c r="N198" s="24">
        <f t="shared" si="1"/>
        <v>94444.44444</v>
      </c>
      <c r="O198" s="24">
        <f t="shared" si="2"/>
        <v>0.05294117647</v>
      </c>
      <c r="P198" s="24">
        <f t="shared" si="3"/>
        <v>0.2117647059</v>
      </c>
      <c r="Q198" s="24">
        <f t="shared" si="4"/>
        <v>0.7352941176</v>
      </c>
    </row>
    <row r="199">
      <c r="A199" s="17">
        <v>197.0</v>
      </c>
      <c r="B199" s="24" t="s">
        <v>29</v>
      </c>
      <c r="C199" s="30"/>
      <c r="D199" s="22"/>
      <c r="E199" s="31"/>
      <c r="F199" s="22"/>
      <c r="G199" s="30"/>
      <c r="H199" s="24">
        <v>30.0</v>
      </c>
      <c r="I199" s="24">
        <v>35.0</v>
      </c>
      <c r="J199" s="24">
        <v>36.0</v>
      </c>
      <c r="K199" s="24">
        <f>IF(H199=0,0,CAPITAL!$C$5/H199)
</f>
        <v>5000</v>
      </c>
      <c r="L199" s="24">
        <f>IF(I199=0,0,CAPITAL!$C$6/I199)
</f>
        <v>20000</v>
      </c>
      <c r="M199" s="24">
        <f>IF(J199=0,0,CAPITAL!$C$7/J199)
</f>
        <v>69444.44444</v>
      </c>
      <c r="N199" s="24">
        <f t="shared" si="1"/>
        <v>94444.44444</v>
      </c>
      <c r="O199" s="24">
        <f t="shared" si="2"/>
        <v>0.05294117647</v>
      </c>
      <c r="P199" s="24">
        <f t="shared" si="3"/>
        <v>0.2117647059</v>
      </c>
      <c r="Q199" s="24">
        <f t="shared" si="4"/>
        <v>0.7352941176</v>
      </c>
    </row>
    <row r="200">
      <c r="A200" s="17">
        <v>198.0</v>
      </c>
      <c r="B200" s="24" t="s">
        <v>29</v>
      </c>
      <c r="C200" s="30"/>
      <c r="D200" s="22"/>
      <c r="E200" s="31"/>
      <c r="F200" s="22"/>
      <c r="G200" s="30"/>
      <c r="H200" s="24">
        <v>30.0</v>
      </c>
      <c r="I200" s="24">
        <v>35.0</v>
      </c>
      <c r="J200" s="24">
        <v>36.0</v>
      </c>
      <c r="K200" s="24">
        <f>IF(H200=0,0,CAPITAL!$C$5/H200)
</f>
        <v>5000</v>
      </c>
      <c r="L200" s="24">
        <f>IF(I200=0,0,CAPITAL!$C$6/I200)
</f>
        <v>20000</v>
      </c>
      <c r="M200" s="24">
        <f>IF(J200=0,0,CAPITAL!$C$7/J200)
</f>
        <v>69444.44444</v>
      </c>
      <c r="N200" s="24">
        <f t="shared" si="1"/>
        <v>94444.44444</v>
      </c>
      <c r="O200" s="24">
        <f t="shared" si="2"/>
        <v>0.05294117647</v>
      </c>
      <c r="P200" s="24">
        <f t="shared" si="3"/>
        <v>0.2117647059</v>
      </c>
      <c r="Q200" s="24">
        <f t="shared" si="4"/>
        <v>0.7352941176</v>
      </c>
    </row>
    <row r="201">
      <c r="A201" s="17">
        <v>199.0</v>
      </c>
      <c r="B201" s="24" t="s">
        <v>29</v>
      </c>
      <c r="C201" s="30"/>
      <c r="D201" s="22"/>
      <c r="E201" s="31"/>
      <c r="F201" s="22"/>
      <c r="G201" s="30"/>
      <c r="H201" s="24">
        <v>30.0</v>
      </c>
      <c r="I201" s="24">
        <v>35.0</v>
      </c>
      <c r="J201" s="24">
        <v>36.0</v>
      </c>
      <c r="K201" s="24">
        <f>IF(H201=0,0,CAPITAL!$C$5/H201)
</f>
        <v>5000</v>
      </c>
      <c r="L201" s="24">
        <f>IF(I201=0,0,CAPITAL!$C$6/I201)
</f>
        <v>20000</v>
      </c>
      <c r="M201" s="24">
        <f>IF(J201=0,0,CAPITAL!$C$7/J201)
</f>
        <v>69444.44444</v>
      </c>
      <c r="N201" s="24">
        <f t="shared" si="1"/>
        <v>94444.44444</v>
      </c>
      <c r="O201" s="24">
        <f t="shared" si="2"/>
        <v>0.05294117647</v>
      </c>
      <c r="P201" s="24">
        <f t="shared" si="3"/>
        <v>0.2117647059</v>
      </c>
      <c r="Q201" s="24">
        <f t="shared" si="4"/>
        <v>0.7352941176</v>
      </c>
    </row>
    <row r="202">
      <c r="A202" s="17">
        <v>200.0</v>
      </c>
      <c r="B202" s="24" t="s">
        <v>29</v>
      </c>
      <c r="C202" s="30"/>
      <c r="D202" s="22"/>
      <c r="E202" s="31"/>
      <c r="F202" s="22"/>
      <c r="G202" s="30"/>
      <c r="H202" s="24">
        <v>30.0</v>
      </c>
      <c r="I202" s="24">
        <v>35.0</v>
      </c>
      <c r="J202" s="24">
        <v>36.0</v>
      </c>
      <c r="K202" s="24">
        <f>IF(H202=0,0,CAPITAL!$C$5/H202)
</f>
        <v>5000</v>
      </c>
      <c r="L202" s="24">
        <f>IF(I202=0,0,CAPITAL!$C$6/I202)
</f>
        <v>20000</v>
      </c>
      <c r="M202" s="24">
        <f>IF(J202=0,0,CAPITAL!$C$7/J202)
</f>
        <v>69444.44444</v>
      </c>
      <c r="N202" s="24">
        <f t="shared" si="1"/>
        <v>94444.44444</v>
      </c>
      <c r="O202" s="24">
        <f t="shared" si="2"/>
        <v>0.05294117647</v>
      </c>
      <c r="P202" s="24">
        <f t="shared" si="3"/>
        <v>0.2117647059</v>
      </c>
      <c r="Q202" s="24">
        <f t="shared" si="4"/>
        <v>0.7352941176</v>
      </c>
    </row>
    <row r="203">
      <c r="A203" s="17">
        <v>201.0</v>
      </c>
      <c r="B203" s="24" t="s">
        <v>29</v>
      </c>
      <c r="C203" s="30"/>
      <c r="D203" s="22"/>
      <c r="E203" s="31"/>
      <c r="F203" s="22"/>
      <c r="G203" s="30"/>
      <c r="H203" s="24">
        <v>30.0</v>
      </c>
      <c r="I203" s="24">
        <v>35.0</v>
      </c>
      <c r="J203" s="24">
        <v>36.0</v>
      </c>
      <c r="K203" s="24">
        <f>IF(H203=0,0,CAPITAL!$C$5/H203)
</f>
        <v>5000</v>
      </c>
      <c r="L203" s="24">
        <f>IF(I203=0,0,CAPITAL!$C$6/I203)
</f>
        <v>20000</v>
      </c>
      <c r="M203" s="24">
        <f>IF(J203=0,0,CAPITAL!$C$7/J203)
</f>
        <v>69444.44444</v>
      </c>
      <c r="N203" s="24">
        <f t="shared" si="1"/>
        <v>94444.44444</v>
      </c>
      <c r="O203" s="24">
        <f t="shared" si="2"/>
        <v>0.05294117647</v>
      </c>
      <c r="P203" s="24">
        <f t="shared" si="3"/>
        <v>0.2117647059</v>
      </c>
      <c r="Q203" s="24">
        <f t="shared" si="4"/>
        <v>0.7352941176</v>
      </c>
    </row>
    <row r="204">
      <c r="A204" s="17">
        <v>202.0</v>
      </c>
      <c r="B204" s="24" t="s">
        <v>29</v>
      </c>
      <c r="C204" s="30"/>
      <c r="D204" s="22"/>
      <c r="E204" s="31"/>
      <c r="F204" s="22"/>
      <c r="G204" s="30"/>
      <c r="H204" s="24">
        <v>30.0</v>
      </c>
      <c r="I204" s="24">
        <v>35.0</v>
      </c>
      <c r="J204" s="24">
        <v>36.0</v>
      </c>
      <c r="K204" s="24">
        <f>IF(H204=0,0,CAPITAL!$C$5/H204)
</f>
        <v>5000</v>
      </c>
      <c r="L204" s="24">
        <f>IF(I204=0,0,CAPITAL!$C$6/I204)
</f>
        <v>20000</v>
      </c>
      <c r="M204" s="24">
        <f>IF(J204=0,0,CAPITAL!$C$7/J204)
</f>
        <v>69444.44444</v>
      </c>
      <c r="N204" s="24">
        <f t="shared" si="1"/>
        <v>94444.44444</v>
      </c>
      <c r="O204" s="24">
        <f t="shared" si="2"/>
        <v>0.05294117647</v>
      </c>
      <c r="P204" s="24">
        <f t="shared" si="3"/>
        <v>0.2117647059</v>
      </c>
      <c r="Q204" s="24">
        <f t="shared" si="4"/>
        <v>0.7352941176</v>
      </c>
    </row>
    <row r="205">
      <c r="A205" s="17">
        <v>203.0</v>
      </c>
      <c r="B205" s="24" t="s">
        <v>29</v>
      </c>
      <c r="C205" s="30"/>
      <c r="D205" s="22"/>
      <c r="E205" s="31"/>
      <c r="F205" s="22"/>
      <c r="G205" s="30"/>
      <c r="H205" s="24">
        <v>30.0</v>
      </c>
      <c r="I205" s="24">
        <v>35.0</v>
      </c>
      <c r="J205" s="24">
        <v>36.0</v>
      </c>
      <c r="K205" s="24">
        <f>IF(H205=0,0,CAPITAL!$C$5/H205)
</f>
        <v>5000</v>
      </c>
      <c r="L205" s="24">
        <f>IF(I205=0,0,CAPITAL!$C$6/I205)
</f>
        <v>20000</v>
      </c>
      <c r="M205" s="24">
        <f>IF(J205=0,0,CAPITAL!$C$7/J205)
</f>
        <v>69444.44444</v>
      </c>
      <c r="N205" s="24">
        <f t="shared" si="1"/>
        <v>94444.44444</v>
      </c>
      <c r="O205" s="24">
        <f t="shared" si="2"/>
        <v>0.05294117647</v>
      </c>
      <c r="P205" s="24">
        <f t="shared" si="3"/>
        <v>0.2117647059</v>
      </c>
      <c r="Q205" s="24">
        <f t="shared" si="4"/>
        <v>0.7352941176</v>
      </c>
    </row>
    <row r="206">
      <c r="A206" s="17">
        <v>204.0</v>
      </c>
      <c r="B206" s="24" t="s">
        <v>29</v>
      </c>
      <c r="C206" s="30"/>
      <c r="D206" s="22"/>
      <c r="E206" s="31"/>
      <c r="F206" s="22"/>
      <c r="G206" s="30"/>
      <c r="H206" s="24">
        <v>30.0</v>
      </c>
      <c r="I206" s="24">
        <v>35.0</v>
      </c>
      <c r="J206" s="24">
        <v>36.0</v>
      </c>
      <c r="K206" s="24">
        <f>IF(H206=0,0,CAPITAL!$C$5/H206)
</f>
        <v>5000</v>
      </c>
      <c r="L206" s="24">
        <f>IF(I206=0,0,CAPITAL!$C$6/I206)
</f>
        <v>20000</v>
      </c>
      <c r="M206" s="24">
        <f>IF(J206=0,0,CAPITAL!$C$7/J206)
</f>
        <v>69444.44444</v>
      </c>
      <c r="N206" s="24">
        <f t="shared" si="1"/>
        <v>94444.44444</v>
      </c>
      <c r="O206" s="24">
        <f t="shared" si="2"/>
        <v>0.05294117647</v>
      </c>
      <c r="P206" s="24">
        <f t="shared" si="3"/>
        <v>0.2117647059</v>
      </c>
      <c r="Q206" s="24">
        <f t="shared" si="4"/>
        <v>0.7352941176</v>
      </c>
    </row>
    <row r="207">
      <c r="A207" s="17">
        <v>205.0</v>
      </c>
      <c r="B207" s="24" t="s">
        <v>29</v>
      </c>
      <c r="C207" s="30"/>
      <c r="D207" s="22"/>
      <c r="E207" s="31"/>
      <c r="F207" s="22"/>
      <c r="G207" s="30"/>
      <c r="H207" s="24">
        <v>30.0</v>
      </c>
      <c r="I207" s="24">
        <v>35.0</v>
      </c>
      <c r="J207" s="24">
        <v>36.0</v>
      </c>
      <c r="K207" s="24">
        <f>IF(H207=0,0,CAPITAL!$C$5/H207)
</f>
        <v>5000</v>
      </c>
      <c r="L207" s="24">
        <f>IF(I207=0,0,CAPITAL!$C$6/I207)
</f>
        <v>20000</v>
      </c>
      <c r="M207" s="24">
        <f>IF(J207=0,0,CAPITAL!$C$7/J207)
</f>
        <v>69444.44444</v>
      </c>
      <c r="N207" s="24">
        <f t="shared" si="1"/>
        <v>94444.44444</v>
      </c>
      <c r="O207" s="24">
        <f t="shared" si="2"/>
        <v>0.05294117647</v>
      </c>
      <c r="P207" s="24">
        <f t="shared" si="3"/>
        <v>0.2117647059</v>
      </c>
      <c r="Q207" s="24">
        <f t="shared" si="4"/>
        <v>0.7352941176</v>
      </c>
    </row>
    <row r="208">
      <c r="A208" s="17">
        <v>206.0</v>
      </c>
      <c r="B208" s="24" t="s">
        <v>29</v>
      </c>
      <c r="C208" s="30"/>
      <c r="D208" s="22"/>
      <c r="E208" s="31"/>
      <c r="F208" s="22"/>
      <c r="G208" s="30"/>
      <c r="H208" s="24">
        <v>30.0</v>
      </c>
      <c r="I208" s="24">
        <v>35.0</v>
      </c>
      <c r="J208" s="24">
        <v>36.0</v>
      </c>
      <c r="K208" s="24">
        <f>IF(H208=0,0,CAPITAL!$C$5/H208)
</f>
        <v>5000</v>
      </c>
      <c r="L208" s="24">
        <f>IF(I208=0,0,CAPITAL!$C$6/I208)
</f>
        <v>20000</v>
      </c>
      <c r="M208" s="24">
        <f>IF(J208=0,0,CAPITAL!$C$7/J208)
</f>
        <v>69444.44444</v>
      </c>
      <c r="N208" s="24">
        <f t="shared" si="1"/>
        <v>94444.44444</v>
      </c>
      <c r="O208" s="24">
        <f t="shared" si="2"/>
        <v>0.05294117647</v>
      </c>
      <c r="P208" s="24">
        <f t="shared" si="3"/>
        <v>0.2117647059</v>
      </c>
      <c r="Q208" s="24">
        <f t="shared" si="4"/>
        <v>0.7352941176</v>
      </c>
    </row>
    <row r="209">
      <c r="A209" s="17">
        <v>207.0</v>
      </c>
      <c r="B209" s="24" t="s">
        <v>29</v>
      </c>
      <c r="C209" s="30"/>
      <c r="D209" s="22"/>
      <c r="E209" s="31"/>
      <c r="F209" s="22"/>
      <c r="G209" s="30"/>
      <c r="H209" s="24">
        <v>30.0</v>
      </c>
      <c r="I209" s="24">
        <v>35.0</v>
      </c>
      <c r="J209" s="24">
        <v>36.0</v>
      </c>
      <c r="K209" s="24">
        <f>IF(H209=0,0,CAPITAL!$C$5/H209)
</f>
        <v>5000</v>
      </c>
      <c r="L209" s="24">
        <f>IF(I209=0,0,CAPITAL!$C$6/I209)
</f>
        <v>20000</v>
      </c>
      <c r="M209" s="24">
        <f>IF(J209=0,0,CAPITAL!$C$7/J209)
</f>
        <v>69444.44444</v>
      </c>
      <c r="N209" s="24">
        <f t="shared" si="1"/>
        <v>94444.44444</v>
      </c>
      <c r="O209" s="24">
        <f t="shared" si="2"/>
        <v>0.05294117647</v>
      </c>
      <c r="P209" s="24">
        <f t="shared" si="3"/>
        <v>0.2117647059</v>
      </c>
      <c r="Q209" s="24">
        <f t="shared" si="4"/>
        <v>0.7352941176</v>
      </c>
    </row>
    <row r="210">
      <c r="A210" s="17">
        <v>208.0</v>
      </c>
      <c r="B210" s="24" t="s">
        <v>29</v>
      </c>
      <c r="C210" s="30"/>
      <c r="D210" s="22"/>
      <c r="E210" s="31"/>
      <c r="F210" s="22"/>
      <c r="G210" s="30"/>
      <c r="H210" s="24">
        <v>30.0</v>
      </c>
      <c r="I210" s="24">
        <v>35.0</v>
      </c>
      <c r="J210" s="24">
        <v>36.0</v>
      </c>
      <c r="K210" s="24">
        <f>IF(H210=0,0,CAPITAL!$C$5/H210)
</f>
        <v>5000</v>
      </c>
      <c r="L210" s="24">
        <f>IF(I210=0,0,CAPITAL!$C$6/I210)
</f>
        <v>20000</v>
      </c>
      <c r="M210" s="24">
        <f>IF(J210=0,0,CAPITAL!$C$7/J210)
</f>
        <v>69444.44444</v>
      </c>
      <c r="N210" s="24">
        <f t="shared" si="1"/>
        <v>94444.44444</v>
      </c>
      <c r="O210" s="24">
        <f t="shared" si="2"/>
        <v>0.05294117647</v>
      </c>
      <c r="P210" s="24">
        <f t="shared" si="3"/>
        <v>0.2117647059</v>
      </c>
      <c r="Q210" s="24">
        <f t="shared" si="4"/>
        <v>0.7352941176</v>
      </c>
    </row>
    <row r="211">
      <c r="A211" s="17">
        <v>209.0</v>
      </c>
      <c r="B211" s="24" t="s">
        <v>29</v>
      </c>
      <c r="C211" s="30"/>
      <c r="D211" s="22"/>
      <c r="E211" s="31"/>
      <c r="F211" s="22"/>
      <c r="G211" s="30"/>
      <c r="H211" s="24">
        <v>30.0</v>
      </c>
      <c r="I211" s="24">
        <v>35.0</v>
      </c>
      <c r="J211" s="24">
        <v>36.0</v>
      </c>
      <c r="K211" s="24">
        <f>IF(H211=0,0,CAPITAL!$C$5/H211)
</f>
        <v>5000</v>
      </c>
      <c r="L211" s="24">
        <f>IF(I211=0,0,CAPITAL!$C$6/I211)
</f>
        <v>20000</v>
      </c>
      <c r="M211" s="24">
        <f>IF(J211=0,0,CAPITAL!$C$7/J211)
</f>
        <v>69444.44444</v>
      </c>
      <c r="N211" s="24">
        <f t="shared" si="1"/>
        <v>94444.44444</v>
      </c>
      <c r="O211" s="24">
        <f t="shared" si="2"/>
        <v>0.05294117647</v>
      </c>
      <c r="P211" s="24">
        <f t="shared" si="3"/>
        <v>0.2117647059</v>
      </c>
      <c r="Q211" s="24">
        <f t="shared" si="4"/>
        <v>0.7352941176</v>
      </c>
    </row>
    <row r="212">
      <c r="A212" s="17">
        <v>210.0</v>
      </c>
      <c r="B212" s="24" t="s">
        <v>29</v>
      </c>
      <c r="C212" s="30"/>
      <c r="D212" s="22"/>
      <c r="E212" s="31"/>
      <c r="F212" s="22"/>
      <c r="G212" s="30"/>
      <c r="H212" s="24">
        <v>30.0</v>
      </c>
      <c r="I212" s="24">
        <v>35.0</v>
      </c>
      <c r="J212" s="24">
        <v>36.0</v>
      </c>
      <c r="K212" s="24">
        <f>IF(H212=0,0,CAPITAL!$C$5/H212)
</f>
        <v>5000</v>
      </c>
      <c r="L212" s="24">
        <f>IF(I212=0,0,CAPITAL!$C$6/I212)
</f>
        <v>20000</v>
      </c>
      <c r="M212" s="24">
        <f>IF(J212=0,0,CAPITAL!$C$7/J212)
</f>
        <v>69444.44444</v>
      </c>
      <c r="N212" s="24">
        <f t="shared" si="1"/>
        <v>94444.44444</v>
      </c>
      <c r="O212" s="24">
        <f t="shared" si="2"/>
        <v>0.05294117647</v>
      </c>
      <c r="P212" s="24">
        <f t="shared" si="3"/>
        <v>0.2117647059</v>
      </c>
      <c r="Q212" s="24">
        <f t="shared" si="4"/>
        <v>0.7352941176</v>
      </c>
    </row>
    <row r="213">
      <c r="A213" s="17">
        <v>211.0</v>
      </c>
      <c r="B213" s="24" t="s">
        <v>29</v>
      </c>
      <c r="C213" s="30"/>
      <c r="D213" s="22"/>
      <c r="E213" s="31"/>
      <c r="F213" s="22"/>
      <c r="G213" s="30"/>
      <c r="H213" s="24">
        <v>30.0</v>
      </c>
      <c r="I213" s="24">
        <v>35.0</v>
      </c>
      <c r="J213" s="24">
        <v>36.0</v>
      </c>
      <c r="K213" s="24">
        <f>IF(H213=0,0,CAPITAL!$C$5/H213)
</f>
        <v>5000</v>
      </c>
      <c r="L213" s="24">
        <f>IF(I213=0,0,CAPITAL!$C$6/I213)
</f>
        <v>20000</v>
      </c>
      <c r="M213" s="24">
        <f>IF(J213=0,0,CAPITAL!$C$7/J213)
</f>
        <v>69444.44444</v>
      </c>
      <c r="N213" s="24">
        <f t="shared" si="1"/>
        <v>94444.44444</v>
      </c>
      <c r="O213" s="24">
        <f t="shared" si="2"/>
        <v>0.05294117647</v>
      </c>
      <c r="P213" s="24">
        <f t="shared" si="3"/>
        <v>0.2117647059</v>
      </c>
      <c r="Q213" s="24">
        <f t="shared" si="4"/>
        <v>0.7352941176</v>
      </c>
    </row>
    <row r="214">
      <c r="A214" s="17">
        <v>212.0</v>
      </c>
      <c r="B214" s="24" t="s">
        <v>29</v>
      </c>
      <c r="C214" s="30"/>
      <c r="D214" s="22"/>
      <c r="E214" s="31"/>
      <c r="F214" s="22"/>
      <c r="G214" s="30"/>
      <c r="H214" s="24">
        <v>30.0</v>
      </c>
      <c r="I214" s="24">
        <v>35.0</v>
      </c>
      <c r="J214" s="24">
        <v>36.0</v>
      </c>
      <c r="K214" s="24">
        <f>IF(H214=0,0,CAPITAL!$C$5/H214)
</f>
        <v>5000</v>
      </c>
      <c r="L214" s="24">
        <f>IF(I214=0,0,CAPITAL!$C$6/I214)
</f>
        <v>20000</v>
      </c>
      <c r="M214" s="24">
        <f>IF(J214=0,0,CAPITAL!$C$7/J214)
</f>
        <v>69444.44444</v>
      </c>
      <c r="N214" s="24">
        <f t="shared" si="1"/>
        <v>94444.44444</v>
      </c>
      <c r="O214" s="24">
        <f t="shared" si="2"/>
        <v>0.05294117647</v>
      </c>
      <c r="P214" s="24">
        <f t="shared" si="3"/>
        <v>0.2117647059</v>
      </c>
      <c r="Q214" s="24">
        <f t="shared" si="4"/>
        <v>0.7352941176</v>
      </c>
    </row>
    <row r="215">
      <c r="A215" s="17">
        <v>213.0</v>
      </c>
      <c r="B215" s="24" t="s">
        <v>29</v>
      </c>
      <c r="C215" s="30"/>
      <c r="D215" s="22"/>
      <c r="E215" s="31"/>
      <c r="F215" s="22"/>
      <c r="G215" s="30"/>
      <c r="H215" s="24">
        <v>30.0</v>
      </c>
      <c r="I215" s="24">
        <v>35.0</v>
      </c>
      <c r="J215" s="24">
        <v>36.0</v>
      </c>
      <c r="K215" s="24">
        <f>IF(H215=0,0,CAPITAL!$C$5/H215)
</f>
        <v>5000</v>
      </c>
      <c r="L215" s="24">
        <f>IF(I215=0,0,CAPITAL!$C$6/I215)
</f>
        <v>20000</v>
      </c>
      <c r="M215" s="24">
        <f>IF(J215=0,0,CAPITAL!$C$7/J215)
</f>
        <v>69444.44444</v>
      </c>
      <c r="N215" s="24">
        <f t="shared" si="1"/>
        <v>94444.44444</v>
      </c>
      <c r="O215" s="24">
        <f t="shared" si="2"/>
        <v>0.05294117647</v>
      </c>
      <c r="P215" s="24">
        <f t="shared" si="3"/>
        <v>0.2117647059</v>
      </c>
      <c r="Q215" s="24">
        <f t="shared" si="4"/>
        <v>0.7352941176</v>
      </c>
    </row>
    <row r="216">
      <c r="A216" s="17">
        <v>214.0</v>
      </c>
      <c r="B216" s="24" t="s">
        <v>29</v>
      </c>
      <c r="C216" s="30"/>
      <c r="D216" s="22"/>
      <c r="E216" s="31"/>
      <c r="F216" s="22"/>
      <c r="G216" s="30"/>
      <c r="H216" s="24">
        <v>30.0</v>
      </c>
      <c r="I216" s="24">
        <v>35.0</v>
      </c>
      <c r="J216" s="24">
        <v>36.0</v>
      </c>
      <c r="K216" s="24">
        <f>IF(H216=0,0,CAPITAL!$C$5/H216)
</f>
        <v>5000</v>
      </c>
      <c r="L216" s="24">
        <f>IF(I216=0,0,CAPITAL!$C$6/I216)
</f>
        <v>20000</v>
      </c>
      <c r="M216" s="24">
        <f>IF(J216=0,0,CAPITAL!$C$7/J216)
</f>
        <v>69444.44444</v>
      </c>
      <c r="N216" s="24">
        <f t="shared" si="1"/>
        <v>94444.44444</v>
      </c>
      <c r="O216" s="24">
        <f t="shared" si="2"/>
        <v>0.05294117647</v>
      </c>
      <c r="P216" s="24">
        <f t="shared" si="3"/>
        <v>0.2117647059</v>
      </c>
      <c r="Q216" s="24">
        <f t="shared" si="4"/>
        <v>0.7352941176</v>
      </c>
    </row>
    <row r="217">
      <c r="A217" s="17">
        <v>215.0</v>
      </c>
      <c r="B217" s="24" t="s">
        <v>29</v>
      </c>
      <c r="C217" s="30"/>
      <c r="D217" s="22"/>
      <c r="E217" s="31"/>
      <c r="F217" s="22"/>
      <c r="G217" s="30"/>
      <c r="H217" s="24">
        <v>30.0</v>
      </c>
      <c r="I217" s="24">
        <v>35.0</v>
      </c>
      <c r="J217" s="24">
        <v>36.0</v>
      </c>
      <c r="K217" s="24">
        <f>IF(H217=0,0,CAPITAL!$C$5/H217)
</f>
        <v>5000</v>
      </c>
      <c r="L217" s="24">
        <f>IF(I217=0,0,CAPITAL!$C$6/I217)
</f>
        <v>20000</v>
      </c>
      <c r="M217" s="24">
        <f>IF(J217=0,0,CAPITAL!$C$7/J217)
</f>
        <v>69444.44444</v>
      </c>
      <c r="N217" s="24">
        <f t="shared" si="1"/>
        <v>94444.44444</v>
      </c>
      <c r="O217" s="24">
        <f t="shared" si="2"/>
        <v>0.05294117647</v>
      </c>
      <c r="P217" s="24">
        <f t="shared" si="3"/>
        <v>0.2117647059</v>
      </c>
      <c r="Q217" s="24">
        <f t="shared" si="4"/>
        <v>0.7352941176</v>
      </c>
    </row>
    <row r="218">
      <c r="A218" s="17">
        <v>216.0</v>
      </c>
      <c r="B218" s="24" t="s">
        <v>29</v>
      </c>
      <c r="C218" s="30"/>
      <c r="D218" s="22"/>
      <c r="E218" s="31"/>
      <c r="F218" s="22"/>
      <c r="G218" s="30"/>
      <c r="H218" s="24">
        <v>30.0</v>
      </c>
      <c r="I218" s="24">
        <v>35.0</v>
      </c>
      <c r="J218" s="24">
        <v>36.0</v>
      </c>
      <c r="K218" s="24">
        <f>IF(H218=0,0,CAPITAL!$C$5/H218)
</f>
        <v>5000</v>
      </c>
      <c r="L218" s="24">
        <f>IF(I218=0,0,CAPITAL!$C$6/I218)
</f>
        <v>20000</v>
      </c>
      <c r="M218" s="24">
        <f>IF(J218=0,0,CAPITAL!$C$7/J218)
</f>
        <v>69444.44444</v>
      </c>
      <c r="N218" s="24">
        <f t="shared" si="1"/>
        <v>94444.44444</v>
      </c>
      <c r="O218" s="24">
        <f t="shared" si="2"/>
        <v>0.05294117647</v>
      </c>
      <c r="P218" s="24">
        <f t="shared" si="3"/>
        <v>0.2117647059</v>
      </c>
      <c r="Q218" s="24">
        <f t="shared" si="4"/>
        <v>0.7352941176</v>
      </c>
    </row>
    <row r="219">
      <c r="A219" s="17">
        <v>217.0</v>
      </c>
      <c r="B219" s="24" t="s">
        <v>29</v>
      </c>
      <c r="C219" s="30"/>
      <c r="D219" s="22"/>
      <c r="E219" s="31"/>
      <c r="F219" s="22"/>
      <c r="G219" s="30"/>
      <c r="H219" s="24">
        <v>30.0</v>
      </c>
      <c r="I219" s="24">
        <v>35.0</v>
      </c>
      <c r="J219" s="24">
        <v>36.0</v>
      </c>
      <c r="K219" s="24">
        <f>IF(H219=0,0,CAPITAL!$C$5/H219)
</f>
        <v>5000</v>
      </c>
      <c r="L219" s="24">
        <f>IF(I219=0,0,CAPITAL!$C$6/I219)
</f>
        <v>20000</v>
      </c>
      <c r="M219" s="24">
        <f>IF(J219=0,0,CAPITAL!$C$7/J219)
</f>
        <v>69444.44444</v>
      </c>
      <c r="N219" s="24">
        <f t="shared" si="1"/>
        <v>94444.44444</v>
      </c>
      <c r="O219" s="24">
        <f t="shared" si="2"/>
        <v>0.05294117647</v>
      </c>
      <c r="P219" s="24">
        <f t="shared" si="3"/>
        <v>0.2117647059</v>
      </c>
      <c r="Q219" s="24">
        <f t="shared" si="4"/>
        <v>0.7352941176</v>
      </c>
    </row>
    <row r="220">
      <c r="A220" s="17">
        <v>218.0</v>
      </c>
      <c r="B220" s="24" t="s">
        <v>29</v>
      </c>
      <c r="C220" s="30"/>
      <c r="D220" s="22"/>
      <c r="E220" s="31"/>
      <c r="F220" s="22"/>
      <c r="G220" s="30"/>
      <c r="H220" s="24">
        <v>30.0</v>
      </c>
      <c r="I220" s="24">
        <v>35.0</v>
      </c>
      <c r="J220" s="24">
        <v>36.0</v>
      </c>
      <c r="K220" s="24">
        <f>IF(H220=0,0,CAPITAL!$C$5/H220)
</f>
        <v>5000</v>
      </c>
      <c r="L220" s="24">
        <f>IF(I220=0,0,CAPITAL!$C$6/I220)
</f>
        <v>20000</v>
      </c>
      <c r="M220" s="24">
        <f>IF(J220=0,0,CAPITAL!$C$7/J220)
</f>
        <v>69444.44444</v>
      </c>
      <c r="N220" s="24">
        <f t="shared" si="1"/>
        <v>94444.44444</v>
      </c>
      <c r="O220" s="24">
        <f t="shared" si="2"/>
        <v>0.05294117647</v>
      </c>
      <c r="P220" s="24">
        <f t="shared" si="3"/>
        <v>0.2117647059</v>
      </c>
      <c r="Q220" s="24">
        <f t="shared" si="4"/>
        <v>0.7352941176</v>
      </c>
    </row>
    <row r="221">
      <c r="A221" s="17">
        <v>219.0</v>
      </c>
      <c r="B221" s="24" t="s">
        <v>29</v>
      </c>
      <c r="C221" s="30"/>
      <c r="D221" s="22"/>
      <c r="E221" s="31"/>
      <c r="F221" s="22"/>
      <c r="G221" s="30"/>
      <c r="H221" s="24">
        <v>30.0</v>
      </c>
      <c r="I221" s="24">
        <v>35.0</v>
      </c>
      <c r="J221" s="24">
        <v>36.0</v>
      </c>
      <c r="K221" s="24">
        <f>IF(H221=0,0,CAPITAL!$C$5/H221)
</f>
        <v>5000</v>
      </c>
      <c r="L221" s="24">
        <f>IF(I221=0,0,CAPITAL!$C$6/I221)
</f>
        <v>20000</v>
      </c>
      <c r="M221" s="24">
        <f>IF(J221=0,0,CAPITAL!$C$7/J221)
</f>
        <v>69444.44444</v>
      </c>
      <c r="N221" s="24">
        <f t="shared" si="1"/>
        <v>94444.44444</v>
      </c>
      <c r="O221" s="24">
        <f t="shared" si="2"/>
        <v>0.05294117647</v>
      </c>
      <c r="P221" s="24">
        <f t="shared" si="3"/>
        <v>0.2117647059</v>
      </c>
      <c r="Q221" s="24">
        <f t="shared" si="4"/>
        <v>0.7352941176</v>
      </c>
    </row>
    <row r="222">
      <c r="A222" s="17">
        <v>220.0</v>
      </c>
      <c r="B222" s="24" t="s">
        <v>29</v>
      </c>
      <c r="C222" s="30"/>
      <c r="D222" s="22"/>
      <c r="E222" s="31"/>
      <c r="F222" s="22"/>
      <c r="G222" s="30"/>
      <c r="H222" s="24">
        <v>30.0</v>
      </c>
      <c r="I222" s="24">
        <v>35.0</v>
      </c>
      <c r="J222" s="24">
        <v>36.0</v>
      </c>
      <c r="K222" s="24">
        <f>IF(H222=0,0,CAPITAL!$C$5/H222)
</f>
        <v>5000</v>
      </c>
      <c r="L222" s="24">
        <f>IF(I222=0,0,CAPITAL!$C$6/I222)
</f>
        <v>20000</v>
      </c>
      <c r="M222" s="24">
        <f>IF(J222=0,0,CAPITAL!$C$7/J222)
</f>
        <v>69444.44444</v>
      </c>
      <c r="N222" s="24">
        <f t="shared" si="1"/>
        <v>94444.44444</v>
      </c>
      <c r="O222" s="24">
        <f t="shared" si="2"/>
        <v>0.05294117647</v>
      </c>
      <c r="P222" s="24">
        <f t="shared" si="3"/>
        <v>0.2117647059</v>
      </c>
      <c r="Q222" s="24">
        <f t="shared" si="4"/>
        <v>0.7352941176</v>
      </c>
    </row>
    <row r="223">
      <c r="A223" s="17">
        <v>221.0</v>
      </c>
      <c r="B223" s="24" t="s">
        <v>29</v>
      </c>
      <c r="C223" s="30"/>
      <c r="D223" s="22"/>
      <c r="E223" s="31"/>
      <c r="F223" s="22"/>
      <c r="G223" s="30"/>
      <c r="H223" s="24">
        <v>30.0</v>
      </c>
      <c r="I223" s="24">
        <v>35.0</v>
      </c>
      <c r="J223" s="24">
        <v>36.0</v>
      </c>
      <c r="K223" s="24">
        <f>IF(H223=0,0,CAPITAL!$C$5/H223)
</f>
        <v>5000</v>
      </c>
      <c r="L223" s="24">
        <f>IF(I223=0,0,CAPITAL!$C$6/I223)
</f>
        <v>20000</v>
      </c>
      <c r="M223" s="24">
        <f>IF(J223=0,0,CAPITAL!$C$7/J223)
</f>
        <v>69444.44444</v>
      </c>
      <c r="N223" s="24">
        <f t="shared" si="1"/>
        <v>94444.44444</v>
      </c>
      <c r="O223" s="24">
        <f t="shared" si="2"/>
        <v>0.05294117647</v>
      </c>
      <c r="P223" s="24">
        <f t="shared" si="3"/>
        <v>0.2117647059</v>
      </c>
      <c r="Q223" s="24">
        <f t="shared" si="4"/>
        <v>0.7352941176</v>
      </c>
    </row>
    <row r="224">
      <c r="A224" s="17">
        <v>222.0</v>
      </c>
      <c r="B224" s="24" t="s">
        <v>29</v>
      </c>
      <c r="C224" s="30"/>
      <c r="D224" s="22"/>
      <c r="E224" s="31"/>
      <c r="F224" s="22"/>
      <c r="G224" s="30"/>
      <c r="H224" s="24">
        <v>30.0</v>
      </c>
      <c r="I224" s="24">
        <v>35.0</v>
      </c>
      <c r="J224" s="24">
        <v>36.0</v>
      </c>
      <c r="K224" s="24">
        <f>IF(H224=0,0,CAPITAL!$C$5/H224)
</f>
        <v>5000</v>
      </c>
      <c r="L224" s="24">
        <f>IF(I224=0,0,CAPITAL!$C$6/I224)
</f>
        <v>20000</v>
      </c>
      <c r="M224" s="24">
        <f>IF(J224=0,0,CAPITAL!$C$7/J224)
</f>
        <v>69444.44444</v>
      </c>
      <c r="N224" s="24">
        <f t="shared" si="1"/>
        <v>94444.44444</v>
      </c>
      <c r="O224" s="24">
        <f t="shared" si="2"/>
        <v>0.05294117647</v>
      </c>
      <c r="P224" s="24">
        <f t="shared" si="3"/>
        <v>0.2117647059</v>
      </c>
      <c r="Q224" s="24">
        <f t="shared" si="4"/>
        <v>0.7352941176</v>
      </c>
    </row>
    <row r="225">
      <c r="A225" s="17">
        <v>223.0</v>
      </c>
      <c r="B225" s="24" t="s">
        <v>29</v>
      </c>
      <c r="C225" s="30"/>
      <c r="D225" s="22"/>
      <c r="E225" s="31"/>
      <c r="F225" s="22"/>
      <c r="G225" s="30"/>
      <c r="H225" s="24">
        <v>30.0</v>
      </c>
      <c r="I225" s="24">
        <v>35.0</v>
      </c>
      <c r="J225" s="24">
        <v>36.0</v>
      </c>
      <c r="K225" s="24">
        <f>IF(H225=0,0,CAPITAL!$C$5/H225)
</f>
        <v>5000</v>
      </c>
      <c r="L225" s="24">
        <f>IF(I225=0,0,CAPITAL!$C$6/I225)
</f>
        <v>20000</v>
      </c>
      <c r="M225" s="24">
        <f>IF(J225=0,0,CAPITAL!$C$7/J225)
</f>
        <v>69444.44444</v>
      </c>
      <c r="N225" s="24">
        <f t="shared" si="1"/>
        <v>94444.44444</v>
      </c>
      <c r="O225" s="24">
        <f t="shared" si="2"/>
        <v>0.05294117647</v>
      </c>
      <c r="P225" s="24">
        <f t="shared" si="3"/>
        <v>0.2117647059</v>
      </c>
      <c r="Q225" s="24">
        <f t="shared" si="4"/>
        <v>0.7352941176</v>
      </c>
    </row>
    <row r="226">
      <c r="A226" s="17">
        <v>224.0</v>
      </c>
      <c r="B226" s="24" t="s">
        <v>29</v>
      </c>
      <c r="C226" s="30"/>
      <c r="D226" s="22"/>
      <c r="E226" s="31"/>
      <c r="F226" s="22"/>
      <c r="G226" s="30"/>
      <c r="H226" s="24">
        <v>30.0</v>
      </c>
      <c r="I226" s="24">
        <v>35.0</v>
      </c>
      <c r="J226" s="24">
        <v>36.0</v>
      </c>
      <c r="K226" s="24">
        <f>IF(H226=0,0,CAPITAL!$C$5/H226)
</f>
        <v>5000</v>
      </c>
      <c r="L226" s="24">
        <f>IF(I226=0,0,CAPITAL!$C$6/I226)
</f>
        <v>20000</v>
      </c>
      <c r="M226" s="24">
        <f>IF(J226=0,0,CAPITAL!$C$7/J226)
</f>
        <v>69444.44444</v>
      </c>
      <c r="N226" s="24">
        <f t="shared" si="1"/>
        <v>94444.44444</v>
      </c>
      <c r="O226" s="24">
        <f t="shared" si="2"/>
        <v>0.05294117647</v>
      </c>
      <c r="P226" s="24">
        <f t="shared" si="3"/>
        <v>0.2117647059</v>
      </c>
      <c r="Q226" s="24">
        <f t="shared" si="4"/>
        <v>0.7352941176</v>
      </c>
    </row>
    <row r="227">
      <c r="A227" s="17">
        <v>225.0</v>
      </c>
      <c r="B227" s="24" t="s">
        <v>29</v>
      </c>
      <c r="C227" s="30"/>
      <c r="D227" s="22"/>
      <c r="E227" s="31"/>
      <c r="F227" s="22"/>
      <c r="G227" s="30"/>
      <c r="H227" s="24">
        <v>30.0</v>
      </c>
      <c r="I227" s="24">
        <v>35.0</v>
      </c>
      <c r="J227" s="24">
        <v>36.0</v>
      </c>
      <c r="K227" s="24">
        <f>IF(H227=0,0,CAPITAL!$C$5/H227)
</f>
        <v>5000</v>
      </c>
      <c r="L227" s="24">
        <f>IF(I227=0,0,CAPITAL!$C$6/I227)
</f>
        <v>20000</v>
      </c>
      <c r="M227" s="24">
        <f>IF(J227=0,0,CAPITAL!$C$7/J227)
</f>
        <v>69444.44444</v>
      </c>
      <c r="N227" s="24">
        <f t="shared" si="1"/>
        <v>94444.44444</v>
      </c>
      <c r="O227" s="24">
        <f t="shared" si="2"/>
        <v>0.05294117647</v>
      </c>
      <c r="P227" s="24">
        <f t="shared" si="3"/>
        <v>0.2117647059</v>
      </c>
      <c r="Q227" s="24">
        <f t="shared" si="4"/>
        <v>0.7352941176</v>
      </c>
    </row>
    <row r="228">
      <c r="A228" s="17">
        <v>226.0</v>
      </c>
      <c r="B228" s="24" t="s">
        <v>29</v>
      </c>
      <c r="C228" s="30"/>
      <c r="D228" s="22"/>
      <c r="E228" s="31"/>
      <c r="F228" s="22"/>
      <c r="G228" s="30"/>
      <c r="H228" s="24">
        <v>30.0</v>
      </c>
      <c r="I228" s="24">
        <v>35.0</v>
      </c>
      <c r="J228" s="24">
        <v>36.0</v>
      </c>
      <c r="K228" s="24">
        <f>IF(H228=0,0,CAPITAL!$C$5/H228)
</f>
        <v>5000</v>
      </c>
      <c r="L228" s="24">
        <f>IF(I228=0,0,CAPITAL!$C$6/I228)
</f>
        <v>20000</v>
      </c>
      <c r="M228" s="24">
        <f>IF(J228=0,0,CAPITAL!$C$7/J228)
</f>
        <v>69444.44444</v>
      </c>
      <c r="N228" s="24">
        <f t="shared" si="1"/>
        <v>94444.44444</v>
      </c>
      <c r="O228" s="24">
        <f t="shared" si="2"/>
        <v>0.05294117647</v>
      </c>
      <c r="P228" s="24">
        <f t="shared" si="3"/>
        <v>0.2117647059</v>
      </c>
      <c r="Q228" s="24">
        <f t="shared" si="4"/>
        <v>0.7352941176</v>
      </c>
    </row>
    <row r="229">
      <c r="A229" s="17">
        <v>227.0</v>
      </c>
      <c r="B229" s="24" t="s">
        <v>29</v>
      </c>
      <c r="C229" s="30"/>
      <c r="D229" s="22"/>
      <c r="E229" s="31"/>
      <c r="F229" s="22"/>
      <c r="G229" s="30"/>
      <c r="H229" s="24">
        <v>30.0</v>
      </c>
      <c r="I229" s="24">
        <v>35.0</v>
      </c>
      <c r="J229" s="24">
        <v>36.0</v>
      </c>
      <c r="K229" s="24">
        <f>IF(H229=0,0,CAPITAL!$C$5/H229)
</f>
        <v>5000</v>
      </c>
      <c r="L229" s="24">
        <f>IF(I229=0,0,CAPITAL!$C$6/I229)
</f>
        <v>20000</v>
      </c>
      <c r="M229" s="24">
        <f>IF(J229=0,0,CAPITAL!$C$7/J229)
</f>
        <v>69444.44444</v>
      </c>
      <c r="N229" s="24">
        <f t="shared" si="1"/>
        <v>94444.44444</v>
      </c>
      <c r="O229" s="24">
        <f t="shared" si="2"/>
        <v>0.05294117647</v>
      </c>
      <c r="P229" s="24">
        <f t="shared" si="3"/>
        <v>0.2117647059</v>
      </c>
      <c r="Q229" s="24">
        <f t="shared" si="4"/>
        <v>0.7352941176</v>
      </c>
    </row>
    <row r="230">
      <c r="A230" s="17">
        <v>228.0</v>
      </c>
      <c r="B230" s="24" t="s">
        <v>29</v>
      </c>
      <c r="C230" s="30"/>
      <c r="D230" s="22"/>
      <c r="E230" s="31"/>
      <c r="F230" s="22"/>
      <c r="G230" s="30"/>
      <c r="H230" s="24">
        <v>30.0</v>
      </c>
      <c r="I230" s="24">
        <v>35.0</v>
      </c>
      <c r="J230" s="24">
        <v>36.0</v>
      </c>
      <c r="K230" s="24">
        <f>IF(H230=0,0,CAPITAL!$C$5/H230)
</f>
        <v>5000</v>
      </c>
      <c r="L230" s="24">
        <f>IF(I230=0,0,CAPITAL!$C$6/I230)
</f>
        <v>20000</v>
      </c>
      <c r="M230" s="24">
        <f>IF(J230=0,0,CAPITAL!$C$7/J230)
</f>
        <v>69444.44444</v>
      </c>
      <c r="N230" s="24">
        <f t="shared" si="1"/>
        <v>94444.44444</v>
      </c>
      <c r="O230" s="24">
        <f t="shared" si="2"/>
        <v>0.05294117647</v>
      </c>
      <c r="P230" s="24">
        <f t="shared" si="3"/>
        <v>0.2117647059</v>
      </c>
      <c r="Q230" s="24">
        <f t="shared" si="4"/>
        <v>0.7352941176</v>
      </c>
    </row>
    <row r="231">
      <c r="A231" s="17">
        <v>229.0</v>
      </c>
      <c r="B231" s="24" t="s">
        <v>29</v>
      </c>
      <c r="C231" s="30"/>
      <c r="D231" s="22"/>
      <c r="E231" s="31"/>
      <c r="F231" s="22"/>
      <c r="G231" s="30"/>
      <c r="H231" s="24">
        <v>30.0</v>
      </c>
      <c r="I231" s="24">
        <v>35.0</v>
      </c>
      <c r="J231" s="24">
        <v>36.0</v>
      </c>
      <c r="K231" s="24">
        <f>IF(H231=0,0,CAPITAL!$C$5/H231)
</f>
        <v>5000</v>
      </c>
      <c r="L231" s="24">
        <f>IF(I231=0,0,CAPITAL!$C$6/I231)
</f>
        <v>20000</v>
      </c>
      <c r="M231" s="24">
        <f>IF(J231=0,0,CAPITAL!$C$7/J231)
</f>
        <v>69444.44444</v>
      </c>
      <c r="N231" s="24">
        <f t="shared" si="1"/>
        <v>94444.44444</v>
      </c>
      <c r="O231" s="24">
        <f t="shared" si="2"/>
        <v>0.05294117647</v>
      </c>
      <c r="P231" s="24">
        <f t="shared" si="3"/>
        <v>0.2117647059</v>
      </c>
      <c r="Q231" s="24">
        <f t="shared" si="4"/>
        <v>0.7352941176</v>
      </c>
    </row>
    <row r="232">
      <c r="A232" s="17">
        <v>230.0</v>
      </c>
      <c r="B232" s="24" t="s">
        <v>29</v>
      </c>
      <c r="C232" s="30"/>
      <c r="D232" s="22"/>
      <c r="E232" s="31"/>
      <c r="F232" s="22"/>
      <c r="G232" s="30"/>
      <c r="H232" s="24">
        <v>30.0</v>
      </c>
      <c r="I232" s="24">
        <v>35.0</v>
      </c>
      <c r="J232" s="24">
        <v>36.0</v>
      </c>
      <c r="K232" s="24">
        <f>IF(H232=0,0,CAPITAL!$C$5/H232)
</f>
        <v>5000</v>
      </c>
      <c r="L232" s="24">
        <f>IF(I232=0,0,CAPITAL!$C$6/I232)
</f>
        <v>20000</v>
      </c>
      <c r="M232" s="24">
        <f>IF(J232=0,0,CAPITAL!$C$7/J232)
</f>
        <v>69444.44444</v>
      </c>
      <c r="N232" s="24">
        <f t="shared" si="1"/>
        <v>94444.44444</v>
      </c>
      <c r="O232" s="24">
        <f t="shared" si="2"/>
        <v>0.05294117647</v>
      </c>
      <c r="P232" s="24">
        <f t="shared" si="3"/>
        <v>0.2117647059</v>
      </c>
      <c r="Q232" s="24">
        <f t="shared" si="4"/>
        <v>0.7352941176</v>
      </c>
    </row>
    <row r="233">
      <c r="A233" s="17">
        <v>231.0</v>
      </c>
      <c r="B233" s="24" t="s">
        <v>29</v>
      </c>
      <c r="C233" s="30"/>
      <c r="D233" s="22"/>
      <c r="E233" s="31"/>
      <c r="F233" s="22"/>
      <c r="G233" s="30"/>
      <c r="H233" s="24">
        <v>30.0</v>
      </c>
      <c r="I233" s="24">
        <v>35.0</v>
      </c>
      <c r="J233" s="24">
        <v>36.0</v>
      </c>
      <c r="K233" s="24">
        <f>IF(H233=0,0,CAPITAL!$C$5/H233)
</f>
        <v>5000</v>
      </c>
      <c r="L233" s="24">
        <f>IF(I233=0,0,CAPITAL!$C$6/I233)
</f>
        <v>20000</v>
      </c>
      <c r="M233" s="24">
        <f>IF(J233=0,0,CAPITAL!$C$7/J233)
</f>
        <v>69444.44444</v>
      </c>
      <c r="N233" s="24">
        <f t="shared" si="1"/>
        <v>94444.44444</v>
      </c>
      <c r="O233" s="24">
        <f t="shared" si="2"/>
        <v>0.05294117647</v>
      </c>
      <c r="P233" s="24">
        <f t="shared" si="3"/>
        <v>0.2117647059</v>
      </c>
      <c r="Q233" s="24">
        <f t="shared" si="4"/>
        <v>0.7352941176</v>
      </c>
    </row>
    <row r="234">
      <c r="A234" s="17">
        <v>232.0</v>
      </c>
      <c r="B234" s="24" t="s">
        <v>29</v>
      </c>
      <c r="C234" s="30"/>
      <c r="D234" s="22"/>
      <c r="E234" s="31"/>
      <c r="F234" s="22"/>
      <c r="G234" s="30"/>
      <c r="H234" s="24">
        <v>30.0</v>
      </c>
      <c r="I234" s="24">
        <v>35.0</v>
      </c>
      <c r="J234" s="24">
        <v>36.0</v>
      </c>
      <c r="K234" s="24">
        <f>IF(H234=0,0,CAPITAL!$C$5/H234)
</f>
        <v>5000</v>
      </c>
      <c r="L234" s="24">
        <f>IF(I234=0,0,CAPITAL!$C$6/I234)
</f>
        <v>20000</v>
      </c>
      <c r="M234" s="24">
        <f>IF(J234=0,0,CAPITAL!$C$7/J234)
</f>
        <v>69444.44444</v>
      </c>
      <c r="N234" s="24">
        <f t="shared" si="1"/>
        <v>94444.44444</v>
      </c>
      <c r="O234" s="24">
        <f t="shared" si="2"/>
        <v>0.05294117647</v>
      </c>
      <c r="P234" s="24">
        <f t="shared" si="3"/>
        <v>0.2117647059</v>
      </c>
      <c r="Q234" s="24">
        <f t="shared" si="4"/>
        <v>0.7352941176</v>
      </c>
    </row>
    <row r="235">
      <c r="A235" s="17">
        <v>233.0</v>
      </c>
      <c r="B235" s="24" t="s">
        <v>29</v>
      </c>
      <c r="C235" s="30"/>
      <c r="D235" s="22"/>
      <c r="E235" s="31"/>
      <c r="F235" s="22"/>
      <c r="G235" s="30"/>
      <c r="H235" s="24">
        <v>30.0</v>
      </c>
      <c r="I235" s="24">
        <v>35.0</v>
      </c>
      <c r="J235" s="24">
        <v>36.0</v>
      </c>
      <c r="K235" s="24">
        <f>IF(H235=0,0,CAPITAL!$C$5/H235)
</f>
        <v>5000</v>
      </c>
      <c r="L235" s="24">
        <f>IF(I235=0,0,CAPITAL!$C$6/I235)
</f>
        <v>20000</v>
      </c>
      <c r="M235" s="24">
        <f>IF(J235=0,0,CAPITAL!$C$7/J235)
</f>
        <v>69444.44444</v>
      </c>
      <c r="N235" s="24">
        <f t="shared" si="1"/>
        <v>94444.44444</v>
      </c>
      <c r="O235" s="24">
        <f t="shared" si="2"/>
        <v>0.05294117647</v>
      </c>
      <c r="P235" s="24">
        <f t="shared" si="3"/>
        <v>0.2117647059</v>
      </c>
      <c r="Q235" s="24">
        <f t="shared" si="4"/>
        <v>0.7352941176</v>
      </c>
    </row>
    <row r="236">
      <c r="A236" s="17">
        <v>234.0</v>
      </c>
      <c r="B236" s="24" t="s">
        <v>29</v>
      </c>
      <c r="C236" s="30"/>
      <c r="D236" s="22"/>
      <c r="E236" s="31"/>
      <c r="F236" s="22"/>
      <c r="G236" s="30"/>
      <c r="H236" s="24">
        <v>30.0</v>
      </c>
      <c r="I236" s="24">
        <v>35.0</v>
      </c>
      <c r="J236" s="24">
        <v>36.0</v>
      </c>
      <c r="K236" s="24">
        <f>IF(H236=0,0,CAPITAL!$C$5/H236)
</f>
        <v>5000</v>
      </c>
      <c r="L236" s="24">
        <f>IF(I236=0,0,CAPITAL!$C$6/I236)
</f>
        <v>20000</v>
      </c>
      <c r="M236" s="24">
        <f>IF(J236=0,0,CAPITAL!$C$7/J236)
</f>
        <v>69444.44444</v>
      </c>
      <c r="N236" s="24">
        <f t="shared" si="1"/>
        <v>94444.44444</v>
      </c>
      <c r="O236" s="24">
        <f t="shared" si="2"/>
        <v>0.05294117647</v>
      </c>
      <c r="P236" s="24">
        <f t="shared" si="3"/>
        <v>0.2117647059</v>
      </c>
      <c r="Q236" s="24">
        <f t="shared" si="4"/>
        <v>0.7352941176</v>
      </c>
    </row>
    <row r="237">
      <c r="A237" s="17">
        <v>235.0</v>
      </c>
      <c r="B237" s="24" t="s">
        <v>29</v>
      </c>
      <c r="C237" s="30"/>
      <c r="D237" s="22"/>
      <c r="E237" s="31"/>
      <c r="F237" s="22"/>
      <c r="G237" s="30"/>
      <c r="H237" s="24">
        <v>30.0</v>
      </c>
      <c r="I237" s="24">
        <v>35.0</v>
      </c>
      <c r="J237" s="24">
        <v>36.0</v>
      </c>
      <c r="K237" s="24">
        <f>IF(H237=0,0,CAPITAL!$C$5/H237)
</f>
        <v>5000</v>
      </c>
      <c r="L237" s="24">
        <f>IF(I237=0,0,CAPITAL!$C$6/I237)
</f>
        <v>20000</v>
      </c>
      <c r="M237" s="24">
        <f>IF(J237=0,0,CAPITAL!$C$7/J237)
</f>
        <v>69444.44444</v>
      </c>
      <c r="N237" s="24">
        <f t="shared" si="1"/>
        <v>94444.44444</v>
      </c>
      <c r="O237" s="24">
        <f t="shared" si="2"/>
        <v>0.05294117647</v>
      </c>
      <c r="P237" s="24">
        <f t="shared" si="3"/>
        <v>0.2117647059</v>
      </c>
      <c r="Q237" s="24">
        <f t="shared" si="4"/>
        <v>0.7352941176</v>
      </c>
    </row>
    <row r="238">
      <c r="A238" s="17">
        <v>236.0</v>
      </c>
      <c r="B238" s="24" t="s">
        <v>29</v>
      </c>
      <c r="C238" s="30"/>
      <c r="D238" s="22"/>
      <c r="E238" s="31"/>
      <c r="F238" s="22"/>
      <c r="G238" s="30"/>
      <c r="H238" s="24">
        <v>30.0</v>
      </c>
      <c r="I238" s="24">
        <v>35.0</v>
      </c>
      <c r="J238" s="24">
        <v>36.0</v>
      </c>
      <c r="K238" s="24">
        <f>IF(H238=0,0,CAPITAL!$C$5/H238)
</f>
        <v>5000</v>
      </c>
      <c r="L238" s="24">
        <f>IF(I238=0,0,CAPITAL!$C$6/I238)
</f>
        <v>20000</v>
      </c>
      <c r="M238" s="24">
        <f>IF(J238=0,0,CAPITAL!$C$7/J238)
</f>
        <v>69444.44444</v>
      </c>
      <c r="N238" s="24">
        <f t="shared" si="1"/>
        <v>94444.44444</v>
      </c>
      <c r="O238" s="24">
        <f t="shared" si="2"/>
        <v>0.05294117647</v>
      </c>
      <c r="P238" s="24">
        <f t="shared" si="3"/>
        <v>0.2117647059</v>
      </c>
      <c r="Q238" s="24">
        <f t="shared" si="4"/>
        <v>0.7352941176</v>
      </c>
    </row>
    <row r="239">
      <c r="A239" s="17">
        <v>237.0</v>
      </c>
      <c r="B239" s="24" t="s">
        <v>29</v>
      </c>
      <c r="C239" s="30"/>
      <c r="D239" s="22"/>
      <c r="E239" s="31"/>
      <c r="F239" s="22"/>
      <c r="G239" s="30"/>
      <c r="H239" s="24">
        <v>30.0</v>
      </c>
      <c r="I239" s="24">
        <v>35.0</v>
      </c>
      <c r="J239" s="24">
        <v>36.0</v>
      </c>
      <c r="K239" s="24">
        <f>IF(H239=0,0,CAPITAL!$C$5/H239)
</f>
        <v>5000</v>
      </c>
      <c r="L239" s="24">
        <f>IF(I239=0,0,CAPITAL!$C$6/I239)
</f>
        <v>20000</v>
      </c>
      <c r="M239" s="24">
        <f>IF(J239=0,0,CAPITAL!$C$7/J239)
</f>
        <v>69444.44444</v>
      </c>
      <c r="N239" s="24">
        <f t="shared" si="1"/>
        <v>94444.44444</v>
      </c>
      <c r="O239" s="24">
        <f t="shared" si="2"/>
        <v>0.05294117647</v>
      </c>
      <c r="P239" s="24">
        <f t="shared" si="3"/>
        <v>0.2117647059</v>
      </c>
      <c r="Q239" s="24">
        <f t="shared" si="4"/>
        <v>0.7352941176</v>
      </c>
    </row>
    <row r="240">
      <c r="A240" s="17">
        <v>238.0</v>
      </c>
      <c r="B240" s="24" t="s">
        <v>29</v>
      </c>
      <c r="C240" s="30"/>
      <c r="D240" s="22"/>
      <c r="E240" s="31"/>
      <c r="F240" s="22"/>
      <c r="G240" s="30"/>
      <c r="H240" s="24">
        <v>30.0</v>
      </c>
      <c r="I240" s="24">
        <v>35.0</v>
      </c>
      <c r="J240" s="24">
        <v>36.0</v>
      </c>
      <c r="K240" s="24">
        <f>IF(H240=0,0,CAPITAL!$C$5/H240)
</f>
        <v>5000</v>
      </c>
      <c r="L240" s="24">
        <f>IF(I240=0,0,CAPITAL!$C$6/I240)
</f>
        <v>20000</v>
      </c>
      <c r="M240" s="24">
        <f>IF(J240=0,0,CAPITAL!$C$7/J240)
</f>
        <v>69444.44444</v>
      </c>
      <c r="N240" s="24">
        <f t="shared" si="1"/>
        <v>94444.44444</v>
      </c>
      <c r="O240" s="24">
        <f t="shared" si="2"/>
        <v>0.05294117647</v>
      </c>
      <c r="P240" s="24">
        <f t="shared" si="3"/>
        <v>0.2117647059</v>
      </c>
      <c r="Q240" s="24">
        <f t="shared" si="4"/>
        <v>0.7352941176</v>
      </c>
    </row>
    <row r="241">
      <c r="A241" s="17">
        <v>239.0</v>
      </c>
      <c r="B241" s="24" t="s">
        <v>29</v>
      </c>
      <c r="C241" s="30"/>
      <c r="D241" s="22"/>
      <c r="E241" s="31"/>
      <c r="F241" s="22"/>
      <c r="G241" s="30"/>
      <c r="H241" s="24">
        <v>30.0</v>
      </c>
      <c r="I241" s="24">
        <v>35.0</v>
      </c>
      <c r="J241" s="24">
        <v>36.0</v>
      </c>
      <c r="K241" s="24">
        <f>IF(H241=0,0,CAPITAL!$C$5/H241)
</f>
        <v>5000</v>
      </c>
      <c r="L241" s="24">
        <f>IF(I241=0,0,CAPITAL!$C$6/I241)
</f>
        <v>20000</v>
      </c>
      <c r="M241" s="24">
        <f>IF(J241=0,0,CAPITAL!$C$7/J241)
</f>
        <v>69444.44444</v>
      </c>
      <c r="N241" s="24">
        <f t="shared" si="1"/>
        <v>94444.44444</v>
      </c>
      <c r="O241" s="24">
        <f t="shared" si="2"/>
        <v>0.05294117647</v>
      </c>
      <c r="P241" s="24">
        <f t="shared" si="3"/>
        <v>0.2117647059</v>
      </c>
      <c r="Q241" s="24">
        <f t="shared" si="4"/>
        <v>0.7352941176</v>
      </c>
    </row>
    <row r="242">
      <c r="A242" s="17">
        <v>240.0</v>
      </c>
      <c r="B242" s="24" t="s">
        <v>29</v>
      </c>
      <c r="C242" s="30"/>
      <c r="D242" s="22"/>
      <c r="E242" s="31"/>
      <c r="F242" s="22"/>
      <c r="G242" s="30"/>
      <c r="H242" s="24">
        <v>30.0</v>
      </c>
      <c r="I242" s="24">
        <v>35.0</v>
      </c>
      <c r="J242" s="24">
        <v>36.0</v>
      </c>
      <c r="K242" s="24">
        <f>IF(H242=0,0,CAPITAL!$C$5/H242)
</f>
        <v>5000</v>
      </c>
      <c r="L242" s="24">
        <f>IF(I242=0,0,CAPITAL!$C$6/I242)
</f>
        <v>20000</v>
      </c>
      <c r="M242" s="24">
        <f>IF(J242=0,0,CAPITAL!$C$7/J242)
</f>
        <v>69444.44444</v>
      </c>
      <c r="N242" s="24">
        <f t="shared" si="1"/>
        <v>94444.44444</v>
      </c>
      <c r="O242" s="24">
        <f t="shared" si="2"/>
        <v>0.05294117647</v>
      </c>
      <c r="P242" s="24">
        <f t="shared" si="3"/>
        <v>0.2117647059</v>
      </c>
      <c r="Q242" s="24">
        <f t="shared" si="4"/>
        <v>0.7352941176</v>
      </c>
    </row>
    <row r="243">
      <c r="A243" s="17">
        <v>241.0</v>
      </c>
      <c r="B243" s="24" t="s">
        <v>29</v>
      </c>
      <c r="C243" s="30"/>
      <c r="D243" s="22"/>
      <c r="E243" s="31"/>
      <c r="F243" s="22"/>
      <c r="G243" s="30"/>
      <c r="H243" s="24">
        <v>30.0</v>
      </c>
      <c r="I243" s="24">
        <v>35.0</v>
      </c>
      <c r="J243" s="24">
        <v>36.0</v>
      </c>
      <c r="K243" s="24">
        <f>IF(H243=0,0,CAPITAL!$C$5/H243)
</f>
        <v>5000</v>
      </c>
      <c r="L243" s="24">
        <f>IF(I243=0,0,CAPITAL!$C$6/I243)
</f>
        <v>20000</v>
      </c>
      <c r="M243" s="24">
        <f>IF(J243=0,0,CAPITAL!$C$7/J243)
</f>
        <v>69444.44444</v>
      </c>
      <c r="N243" s="24">
        <f t="shared" si="1"/>
        <v>94444.44444</v>
      </c>
      <c r="O243" s="24">
        <f t="shared" si="2"/>
        <v>0.05294117647</v>
      </c>
      <c r="P243" s="24">
        <f t="shared" si="3"/>
        <v>0.2117647059</v>
      </c>
      <c r="Q243" s="24">
        <f t="shared" si="4"/>
        <v>0.7352941176</v>
      </c>
    </row>
    <row r="244">
      <c r="A244" s="17">
        <v>242.0</v>
      </c>
      <c r="B244" s="24" t="s">
        <v>29</v>
      </c>
      <c r="C244" s="30"/>
      <c r="D244" s="22"/>
      <c r="E244" s="31"/>
      <c r="F244" s="22"/>
      <c r="G244" s="30"/>
      <c r="H244" s="24">
        <v>30.0</v>
      </c>
      <c r="I244" s="24">
        <v>35.0</v>
      </c>
      <c r="J244" s="24">
        <v>36.0</v>
      </c>
      <c r="K244" s="24">
        <f>IF(H244=0,0,CAPITAL!$C$5/H244)
</f>
        <v>5000</v>
      </c>
      <c r="L244" s="24">
        <f>IF(I244=0,0,CAPITAL!$C$6/I244)
</f>
        <v>20000</v>
      </c>
      <c r="M244" s="24">
        <f>IF(J244=0,0,CAPITAL!$C$7/J244)
</f>
        <v>69444.44444</v>
      </c>
      <c r="N244" s="24">
        <f t="shared" si="1"/>
        <v>94444.44444</v>
      </c>
      <c r="O244" s="24">
        <f t="shared" si="2"/>
        <v>0.05294117647</v>
      </c>
      <c r="P244" s="24">
        <f t="shared" si="3"/>
        <v>0.2117647059</v>
      </c>
      <c r="Q244" s="24">
        <f t="shared" si="4"/>
        <v>0.7352941176</v>
      </c>
    </row>
    <row r="245">
      <c r="A245" s="17">
        <v>243.0</v>
      </c>
      <c r="B245" s="24" t="s">
        <v>29</v>
      </c>
      <c r="C245" s="30"/>
      <c r="D245" s="22"/>
      <c r="E245" s="31"/>
      <c r="F245" s="22"/>
      <c r="G245" s="30"/>
      <c r="H245" s="24">
        <v>30.0</v>
      </c>
      <c r="I245" s="24">
        <v>35.0</v>
      </c>
      <c r="J245" s="24">
        <v>36.0</v>
      </c>
      <c r="K245" s="24">
        <f>IF(H245=0,0,CAPITAL!$C$5/H245)
</f>
        <v>5000</v>
      </c>
      <c r="L245" s="24">
        <f>IF(I245=0,0,CAPITAL!$C$6/I245)
</f>
        <v>20000</v>
      </c>
      <c r="M245" s="24">
        <f>IF(J245=0,0,CAPITAL!$C$7/J245)
</f>
        <v>69444.44444</v>
      </c>
      <c r="N245" s="24">
        <f t="shared" si="1"/>
        <v>94444.44444</v>
      </c>
      <c r="O245" s="24">
        <f t="shared" si="2"/>
        <v>0.05294117647</v>
      </c>
      <c r="P245" s="24">
        <f t="shared" si="3"/>
        <v>0.2117647059</v>
      </c>
      <c r="Q245" s="24">
        <f t="shared" si="4"/>
        <v>0.7352941176</v>
      </c>
    </row>
    <row r="246">
      <c r="A246" s="17">
        <v>244.0</v>
      </c>
      <c r="B246" s="24" t="s">
        <v>29</v>
      </c>
      <c r="C246" s="30"/>
      <c r="D246" s="22"/>
      <c r="E246" s="31"/>
      <c r="F246" s="22"/>
      <c r="G246" s="30"/>
      <c r="H246" s="24">
        <v>30.0</v>
      </c>
      <c r="I246" s="24">
        <v>35.0</v>
      </c>
      <c r="J246" s="24">
        <v>36.0</v>
      </c>
      <c r="K246" s="24">
        <f>IF(H246=0,0,CAPITAL!$C$5/H246)
</f>
        <v>5000</v>
      </c>
      <c r="L246" s="24">
        <f>IF(I246=0,0,CAPITAL!$C$6/I246)
</f>
        <v>20000</v>
      </c>
      <c r="M246" s="24">
        <f>IF(J246=0,0,CAPITAL!$C$7/J246)
</f>
        <v>69444.44444</v>
      </c>
      <c r="N246" s="24">
        <f t="shared" si="1"/>
        <v>94444.44444</v>
      </c>
      <c r="O246" s="24">
        <f t="shared" si="2"/>
        <v>0.05294117647</v>
      </c>
      <c r="P246" s="24">
        <f t="shared" si="3"/>
        <v>0.2117647059</v>
      </c>
      <c r="Q246" s="24">
        <f t="shared" si="4"/>
        <v>0.7352941176</v>
      </c>
    </row>
    <row r="247">
      <c r="A247" s="17">
        <v>245.0</v>
      </c>
      <c r="B247" s="24" t="s">
        <v>29</v>
      </c>
      <c r="C247" s="30"/>
      <c r="D247" s="22"/>
      <c r="E247" s="31"/>
      <c r="F247" s="22"/>
      <c r="G247" s="30"/>
      <c r="H247" s="24">
        <v>30.0</v>
      </c>
      <c r="I247" s="24">
        <v>35.0</v>
      </c>
      <c r="J247" s="24">
        <v>36.0</v>
      </c>
      <c r="K247" s="24">
        <f>IF(H247=0,0,CAPITAL!$C$5/H247)
</f>
        <v>5000</v>
      </c>
      <c r="L247" s="24">
        <f>IF(I247=0,0,CAPITAL!$C$6/I247)
</f>
        <v>20000</v>
      </c>
      <c r="M247" s="24">
        <f>IF(J247=0,0,CAPITAL!$C$7/J247)
</f>
        <v>69444.44444</v>
      </c>
      <c r="N247" s="24">
        <f t="shared" si="1"/>
        <v>94444.44444</v>
      </c>
      <c r="O247" s="24">
        <f t="shared" si="2"/>
        <v>0.05294117647</v>
      </c>
      <c r="P247" s="24">
        <f t="shared" si="3"/>
        <v>0.2117647059</v>
      </c>
      <c r="Q247" s="24">
        <f t="shared" si="4"/>
        <v>0.7352941176</v>
      </c>
    </row>
    <row r="248">
      <c r="A248" s="17">
        <v>246.0</v>
      </c>
      <c r="B248" s="24" t="s">
        <v>29</v>
      </c>
      <c r="C248" s="30"/>
      <c r="D248" s="22"/>
      <c r="E248" s="31"/>
      <c r="F248" s="22"/>
      <c r="G248" s="30"/>
      <c r="H248" s="24">
        <v>30.0</v>
      </c>
      <c r="I248" s="24">
        <v>35.0</v>
      </c>
      <c r="J248" s="24">
        <v>36.0</v>
      </c>
      <c r="K248" s="24">
        <f>IF(H248=0,0,CAPITAL!$C$5/H248)
</f>
        <v>5000</v>
      </c>
      <c r="L248" s="24">
        <f>IF(I248=0,0,CAPITAL!$C$6/I248)
</f>
        <v>20000</v>
      </c>
      <c r="M248" s="24">
        <f>IF(J248=0,0,CAPITAL!$C$7/J248)
</f>
        <v>69444.44444</v>
      </c>
      <c r="N248" s="24">
        <f t="shared" si="1"/>
        <v>94444.44444</v>
      </c>
      <c r="O248" s="24">
        <f t="shared" si="2"/>
        <v>0.05294117647</v>
      </c>
      <c r="P248" s="24">
        <f t="shared" si="3"/>
        <v>0.2117647059</v>
      </c>
      <c r="Q248" s="24">
        <f t="shared" si="4"/>
        <v>0.7352941176</v>
      </c>
    </row>
    <row r="249">
      <c r="A249" s="17">
        <v>247.0</v>
      </c>
      <c r="B249" s="24" t="s">
        <v>29</v>
      </c>
      <c r="C249" s="30"/>
      <c r="D249" s="22"/>
      <c r="E249" s="31"/>
      <c r="F249" s="22"/>
      <c r="G249" s="30"/>
      <c r="H249" s="24">
        <v>30.0</v>
      </c>
      <c r="I249" s="24">
        <v>35.0</v>
      </c>
      <c r="J249" s="24">
        <v>36.0</v>
      </c>
      <c r="K249" s="24">
        <f>IF(H249=0,0,CAPITAL!$C$5/H249)
</f>
        <v>5000</v>
      </c>
      <c r="L249" s="24">
        <f>IF(I249=0,0,CAPITAL!$C$6/I249)
</f>
        <v>20000</v>
      </c>
      <c r="M249" s="24">
        <f>IF(J249=0,0,CAPITAL!$C$7/J249)
</f>
        <v>69444.44444</v>
      </c>
      <c r="N249" s="24">
        <f t="shared" si="1"/>
        <v>94444.44444</v>
      </c>
      <c r="O249" s="24">
        <f t="shared" si="2"/>
        <v>0.05294117647</v>
      </c>
      <c r="P249" s="24">
        <f t="shared" si="3"/>
        <v>0.2117647059</v>
      </c>
      <c r="Q249" s="24">
        <f t="shared" si="4"/>
        <v>0.7352941176</v>
      </c>
    </row>
    <row r="250">
      <c r="A250" s="17">
        <v>248.0</v>
      </c>
      <c r="B250" s="24" t="s">
        <v>29</v>
      </c>
      <c r="C250" s="30"/>
      <c r="D250" s="22"/>
      <c r="E250" s="31"/>
      <c r="F250" s="22"/>
      <c r="G250" s="30"/>
      <c r="H250" s="24">
        <v>30.0</v>
      </c>
      <c r="I250" s="24">
        <v>35.0</v>
      </c>
      <c r="J250" s="24">
        <v>36.0</v>
      </c>
      <c r="K250" s="24">
        <f>IF(H250=0,0,CAPITAL!$C$5/H250)
</f>
        <v>5000</v>
      </c>
      <c r="L250" s="24">
        <f>IF(I250=0,0,CAPITAL!$C$6/I250)
</f>
        <v>20000</v>
      </c>
      <c r="M250" s="24">
        <f>IF(J250=0,0,CAPITAL!$C$7/J250)
</f>
        <v>69444.44444</v>
      </c>
      <c r="N250" s="24">
        <f t="shared" si="1"/>
        <v>94444.44444</v>
      </c>
      <c r="O250" s="24">
        <f t="shared" si="2"/>
        <v>0.05294117647</v>
      </c>
      <c r="P250" s="24">
        <f t="shared" si="3"/>
        <v>0.2117647059</v>
      </c>
      <c r="Q250" s="24">
        <f t="shared" si="4"/>
        <v>0.7352941176</v>
      </c>
    </row>
    <row r="251">
      <c r="A251" s="17">
        <v>249.0</v>
      </c>
      <c r="B251" s="24" t="s">
        <v>29</v>
      </c>
      <c r="C251" s="30"/>
      <c r="D251" s="22"/>
      <c r="E251" s="31"/>
      <c r="F251" s="22"/>
      <c r="G251" s="30"/>
      <c r="H251" s="24">
        <v>30.0</v>
      </c>
      <c r="I251" s="24">
        <v>35.0</v>
      </c>
      <c r="J251" s="24">
        <v>36.0</v>
      </c>
      <c r="K251" s="24">
        <f>IF(H251=0,0,CAPITAL!$C$5/H251)
</f>
        <v>5000</v>
      </c>
      <c r="L251" s="24">
        <f>IF(I251=0,0,CAPITAL!$C$6/I251)
</f>
        <v>20000</v>
      </c>
      <c r="M251" s="24">
        <f>IF(J251=0,0,CAPITAL!$C$7/J251)
</f>
        <v>69444.44444</v>
      </c>
      <c r="N251" s="24">
        <f t="shared" si="1"/>
        <v>94444.44444</v>
      </c>
      <c r="O251" s="24">
        <f t="shared" si="2"/>
        <v>0.05294117647</v>
      </c>
      <c r="P251" s="24">
        <f t="shared" si="3"/>
        <v>0.2117647059</v>
      </c>
      <c r="Q251" s="24">
        <f t="shared" si="4"/>
        <v>0.7352941176</v>
      </c>
    </row>
    <row r="252">
      <c r="A252" s="17">
        <v>250.0</v>
      </c>
      <c r="B252" s="24" t="s">
        <v>29</v>
      </c>
      <c r="C252" s="30"/>
      <c r="D252" s="22"/>
      <c r="E252" s="31"/>
      <c r="F252" s="22"/>
      <c r="G252" s="30"/>
      <c r="H252" s="24">
        <v>30.0</v>
      </c>
      <c r="I252" s="24">
        <v>35.0</v>
      </c>
      <c r="J252" s="24">
        <v>36.0</v>
      </c>
      <c r="K252" s="24">
        <f>IF(H252=0,0,CAPITAL!$C$5/H252)
</f>
        <v>5000</v>
      </c>
      <c r="L252" s="24">
        <f>IF(I252=0,0,CAPITAL!$C$6/I252)
</f>
        <v>20000</v>
      </c>
      <c r="M252" s="24">
        <f>IF(J252=0,0,CAPITAL!$C$7/J252)
</f>
        <v>69444.44444</v>
      </c>
      <c r="N252" s="24">
        <f t="shared" si="1"/>
        <v>94444.44444</v>
      </c>
      <c r="O252" s="24">
        <f t="shared" si="2"/>
        <v>0.05294117647</v>
      </c>
      <c r="P252" s="24">
        <f t="shared" si="3"/>
        <v>0.2117647059</v>
      </c>
      <c r="Q252" s="24">
        <f t="shared" si="4"/>
        <v>0.7352941176</v>
      </c>
    </row>
    <row r="253">
      <c r="A253" s="17">
        <v>251.0</v>
      </c>
      <c r="B253" s="24" t="s">
        <v>29</v>
      </c>
      <c r="C253" s="30"/>
      <c r="D253" s="22"/>
      <c r="E253" s="31"/>
      <c r="F253" s="22"/>
      <c r="G253" s="30"/>
      <c r="H253" s="24">
        <v>30.0</v>
      </c>
      <c r="I253" s="24">
        <v>35.0</v>
      </c>
      <c r="J253" s="24">
        <v>36.0</v>
      </c>
      <c r="K253" s="24">
        <f>IF(H253=0,0,CAPITAL!$C$5/H253)
</f>
        <v>5000</v>
      </c>
      <c r="L253" s="24">
        <f>IF(I253=0,0,CAPITAL!$C$6/I253)
</f>
        <v>20000</v>
      </c>
      <c r="M253" s="24">
        <f>IF(J253=0,0,CAPITAL!$C$7/J253)
</f>
        <v>69444.44444</v>
      </c>
      <c r="N253" s="24">
        <f t="shared" si="1"/>
        <v>94444.44444</v>
      </c>
      <c r="O253" s="24">
        <f t="shared" si="2"/>
        <v>0.05294117647</v>
      </c>
      <c r="P253" s="24">
        <f t="shared" si="3"/>
        <v>0.2117647059</v>
      </c>
      <c r="Q253" s="24">
        <f t="shared" si="4"/>
        <v>0.7352941176</v>
      </c>
    </row>
    <row r="254">
      <c r="A254" s="17">
        <v>252.0</v>
      </c>
      <c r="B254" s="24" t="s">
        <v>29</v>
      </c>
      <c r="C254" s="30"/>
      <c r="D254" s="22"/>
      <c r="E254" s="31"/>
      <c r="F254" s="22"/>
      <c r="G254" s="30"/>
      <c r="H254" s="24">
        <v>30.0</v>
      </c>
      <c r="I254" s="24">
        <v>35.0</v>
      </c>
      <c r="J254" s="24">
        <v>36.0</v>
      </c>
      <c r="K254" s="24">
        <f>IF(H254=0,0,CAPITAL!$C$5/H254)
</f>
        <v>5000</v>
      </c>
      <c r="L254" s="24">
        <f>IF(I254=0,0,CAPITAL!$C$6/I254)
</f>
        <v>20000</v>
      </c>
      <c r="M254" s="24">
        <f>IF(J254=0,0,CAPITAL!$C$7/J254)
</f>
        <v>69444.44444</v>
      </c>
      <c r="N254" s="24">
        <f t="shared" si="1"/>
        <v>94444.44444</v>
      </c>
      <c r="O254" s="24">
        <f t="shared" si="2"/>
        <v>0.05294117647</v>
      </c>
      <c r="P254" s="24">
        <f t="shared" si="3"/>
        <v>0.2117647059</v>
      </c>
      <c r="Q254" s="24">
        <f t="shared" si="4"/>
        <v>0.7352941176</v>
      </c>
    </row>
    <row r="255">
      <c r="A255" s="17">
        <v>253.0</v>
      </c>
      <c r="B255" s="24" t="s">
        <v>29</v>
      </c>
      <c r="C255" s="30"/>
      <c r="D255" s="22"/>
      <c r="E255" s="31"/>
      <c r="F255" s="22"/>
      <c r="G255" s="30"/>
      <c r="H255" s="24">
        <v>30.0</v>
      </c>
      <c r="I255" s="24">
        <v>35.0</v>
      </c>
      <c r="J255" s="24">
        <v>36.0</v>
      </c>
      <c r="K255" s="24">
        <f>IF(H255=0,0,CAPITAL!$C$5/H255)
</f>
        <v>5000</v>
      </c>
      <c r="L255" s="24">
        <f>IF(I255=0,0,CAPITAL!$C$6/I255)
</f>
        <v>20000</v>
      </c>
      <c r="M255" s="24">
        <f>IF(J255=0,0,CAPITAL!$C$7/J255)
</f>
        <v>69444.44444</v>
      </c>
      <c r="N255" s="24">
        <f t="shared" si="1"/>
        <v>94444.44444</v>
      </c>
      <c r="O255" s="24">
        <f t="shared" si="2"/>
        <v>0.05294117647</v>
      </c>
      <c r="P255" s="24">
        <f t="shared" si="3"/>
        <v>0.2117647059</v>
      </c>
      <c r="Q255" s="24">
        <f t="shared" si="4"/>
        <v>0.7352941176</v>
      </c>
    </row>
    <row r="256">
      <c r="A256" s="17">
        <v>254.0</v>
      </c>
      <c r="B256" s="24" t="s">
        <v>29</v>
      </c>
      <c r="C256" s="30"/>
      <c r="D256" s="22"/>
      <c r="E256" s="31"/>
      <c r="F256" s="22"/>
      <c r="G256" s="30"/>
      <c r="H256" s="24">
        <v>30.0</v>
      </c>
      <c r="I256" s="24">
        <v>35.0</v>
      </c>
      <c r="J256" s="24">
        <v>36.0</v>
      </c>
      <c r="K256" s="24">
        <f>IF(H256=0,0,CAPITAL!$C$5/H256)
</f>
        <v>5000</v>
      </c>
      <c r="L256" s="24">
        <f>IF(I256=0,0,CAPITAL!$C$6/I256)
</f>
        <v>20000</v>
      </c>
      <c r="M256" s="24">
        <f>IF(J256=0,0,CAPITAL!$C$7/J256)
</f>
        <v>69444.44444</v>
      </c>
      <c r="N256" s="24">
        <f t="shared" si="1"/>
        <v>94444.44444</v>
      </c>
      <c r="O256" s="24">
        <f t="shared" si="2"/>
        <v>0.05294117647</v>
      </c>
      <c r="P256" s="24">
        <f t="shared" si="3"/>
        <v>0.2117647059</v>
      </c>
      <c r="Q256" s="24">
        <f t="shared" si="4"/>
        <v>0.7352941176</v>
      </c>
    </row>
    <row r="257">
      <c r="A257" s="17">
        <v>255.0</v>
      </c>
      <c r="B257" s="24" t="s">
        <v>29</v>
      </c>
      <c r="C257" s="30"/>
      <c r="D257" s="22"/>
      <c r="E257" s="31"/>
      <c r="F257" s="22"/>
      <c r="G257" s="30"/>
      <c r="H257" s="24">
        <v>30.0</v>
      </c>
      <c r="I257" s="24">
        <v>35.0</v>
      </c>
      <c r="J257" s="24">
        <v>36.0</v>
      </c>
      <c r="K257" s="24">
        <f>IF(H257=0,0,CAPITAL!$C$5/H257)
</f>
        <v>5000</v>
      </c>
      <c r="L257" s="24">
        <f>IF(I257=0,0,CAPITAL!$C$6/I257)
</f>
        <v>20000</v>
      </c>
      <c r="M257" s="24">
        <f>IF(J257=0,0,CAPITAL!$C$7/J257)
</f>
        <v>69444.44444</v>
      </c>
      <c r="N257" s="24">
        <f t="shared" si="1"/>
        <v>94444.44444</v>
      </c>
      <c r="O257" s="24">
        <f t="shared" si="2"/>
        <v>0.05294117647</v>
      </c>
      <c r="P257" s="24">
        <f t="shared" si="3"/>
        <v>0.2117647059</v>
      </c>
      <c r="Q257" s="24">
        <f t="shared" si="4"/>
        <v>0.7352941176</v>
      </c>
    </row>
    <row r="258">
      <c r="A258" s="17">
        <v>256.0</v>
      </c>
      <c r="B258" s="24" t="s">
        <v>29</v>
      </c>
      <c r="C258" s="30"/>
      <c r="D258" s="22"/>
      <c r="E258" s="31"/>
      <c r="F258" s="22"/>
      <c r="G258" s="30"/>
      <c r="H258" s="24">
        <v>30.0</v>
      </c>
      <c r="I258" s="24">
        <v>35.0</v>
      </c>
      <c r="J258" s="24">
        <v>36.0</v>
      </c>
      <c r="K258" s="24">
        <f>IF(H258=0,0,CAPITAL!$C$5/H258)
</f>
        <v>5000</v>
      </c>
      <c r="L258" s="24">
        <f>IF(I258=0,0,CAPITAL!$C$6/I258)
</f>
        <v>20000</v>
      </c>
      <c r="M258" s="24">
        <f>IF(J258=0,0,CAPITAL!$C$7/J258)
</f>
        <v>69444.44444</v>
      </c>
      <c r="N258" s="24">
        <f t="shared" si="1"/>
        <v>94444.44444</v>
      </c>
      <c r="O258" s="24">
        <f t="shared" si="2"/>
        <v>0.05294117647</v>
      </c>
      <c r="P258" s="24">
        <f t="shared" si="3"/>
        <v>0.2117647059</v>
      </c>
      <c r="Q258" s="24">
        <f t="shared" si="4"/>
        <v>0.7352941176</v>
      </c>
    </row>
    <row r="259">
      <c r="A259" s="17">
        <v>257.0</v>
      </c>
      <c r="B259" s="24" t="s">
        <v>29</v>
      </c>
      <c r="C259" s="30"/>
      <c r="D259" s="22"/>
      <c r="E259" s="31"/>
      <c r="F259" s="22"/>
      <c r="G259" s="30"/>
      <c r="H259" s="24">
        <v>30.0</v>
      </c>
      <c r="I259" s="24">
        <v>35.0</v>
      </c>
      <c r="J259" s="24">
        <v>36.0</v>
      </c>
      <c r="K259" s="24">
        <f>IF(H259=0,0,CAPITAL!$C$5/H259)
</f>
        <v>5000</v>
      </c>
      <c r="L259" s="24">
        <f>IF(I259=0,0,CAPITAL!$C$6/I259)
</f>
        <v>20000</v>
      </c>
      <c r="M259" s="24">
        <f>IF(J259=0,0,CAPITAL!$C$7/J259)
</f>
        <v>69444.44444</v>
      </c>
      <c r="N259" s="24">
        <f t="shared" si="1"/>
        <v>94444.44444</v>
      </c>
      <c r="O259" s="24">
        <f t="shared" si="2"/>
        <v>0.05294117647</v>
      </c>
      <c r="P259" s="24">
        <f t="shared" si="3"/>
        <v>0.2117647059</v>
      </c>
      <c r="Q259" s="24">
        <f t="shared" si="4"/>
        <v>0.7352941176</v>
      </c>
    </row>
    <row r="260">
      <c r="A260" s="17">
        <v>258.0</v>
      </c>
      <c r="B260" s="24" t="s">
        <v>29</v>
      </c>
      <c r="C260" s="30"/>
      <c r="D260" s="22"/>
      <c r="E260" s="31"/>
      <c r="F260" s="22"/>
      <c r="G260" s="30"/>
      <c r="H260" s="24">
        <v>30.0</v>
      </c>
      <c r="I260" s="24">
        <v>35.0</v>
      </c>
      <c r="J260" s="24">
        <v>36.0</v>
      </c>
      <c r="K260" s="24">
        <f>IF(H260=0,0,CAPITAL!$C$5/H260)
</f>
        <v>5000</v>
      </c>
      <c r="L260" s="24">
        <f>IF(I260=0,0,CAPITAL!$C$6/I260)
</f>
        <v>20000</v>
      </c>
      <c r="M260" s="24">
        <f>IF(J260=0,0,CAPITAL!$C$7/J260)
</f>
        <v>69444.44444</v>
      </c>
      <c r="N260" s="24">
        <f t="shared" si="1"/>
        <v>94444.44444</v>
      </c>
      <c r="O260" s="24">
        <f t="shared" si="2"/>
        <v>0.05294117647</v>
      </c>
      <c r="P260" s="24">
        <f t="shared" si="3"/>
        <v>0.2117647059</v>
      </c>
      <c r="Q260" s="24">
        <f t="shared" si="4"/>
        <v>0.7352941176</v>
      </c>
    </row>
    <row r="261">
      <c r="A261" s="17">
        <v>259.0</v>
      </c>
      <c r="B261" s="24" t="s">
        <v>29</v>
      </c>
      <c r="C261" s="30"/>
      <c r="D261" s="22"/>
      <c r="E261" s="31"/>
      <c r="F261" s="22"/>
      <c r="G261" s="30"/>
      <c r="H261" s="24">
        <v>30.0</v>
      </c>
      <c r="I261" s="24">
        <v>35.0</v>
      </c>
      <c r="J261" s="24">
        <v>36.0</v>
      </c>
      <c r="K261" s="24">
        <f>IF(H261=0,0,CAPITAL!$C$5/H261)
</f>
        <v>5000</v>
      </c>
      <c r="L261" s="24">
        <f>IF(I261=0,0,CAPITAL!$C$6/I261)
</f>
        <v>20000</v>
      </c>
      <c r="M261" s="24">
        <f>IF(J261=0,0,CAPITAL!$C$7/J261)
</f>
        <v>69444.44444</v>
      </c>
      <c r="N261" s="24">
        <f t="shared" si="1"/>
        <v>94444.44444</v>
      </c>
      <c r="O261" s="24">
        <f t="shared" si="2"/>
        <v>0.05294117647</v>
      </c>
      <c r="P261" s="24">
        <f t="shared" si="3"/>
        <v>0.2117647059</v>
      </c>
      <c r="Q261" s="24">
        <f t="shared" si="4"/>
        <v>0.7352941176</v>
      </c>
    </row>
    <row r="262">
      <c r="A262" s="17">
        <v>260.0</v>
      </c>
      <c r="B262" s="24" t="s">
        <v>29</v>
      </c>
      <c r="C262" s="30"/>
      <c r="D262" s="22"/>
      <c r="E262" s="31"/>
      <c r="F262" s="22"/>
      <c r="G262" s="30"/>
      <c r="H262" s="24">
        <v>30.0</v>
      </c>
      <c r="I262" s="24">
        <v>35.0</v>
      </c>
      <c r="J262" s="24">
        <v>36.0</v>
      </c>
      <c r="K262" s="24">
        <f>IF(H262=0,0,CAPITAL!$C$5/H262)
</f>
        <v>5000</v>
      </c>
      <c r="L262" s="24">
        <f>IF(I262=0,0,CAPITAL!$C$6/I262)
</f>
        <v>20000</v>
      </c>
      <c r="M262" s="24">
        <f>IF(J262=0,0,CAPITAL!$C$7/J262)
</f>
        <v>69444.44444</v>
      </c>
      <c r="N262" s="24">
        <f t="shared" si="1"/>
        <v>94444.44444</v>
      </c>
      <c r="O262" s="24">
        <f t="shared" si="2"/>
        <v>0.05294117647</v>
      </c>
      <c r="P262" s="24">
        <f t="shared" si="3"/>
        <v>0.2117647059</v>
      </c>
      <c r="Q262" s="24">
        <f t="shared" si="4"/>
        <v>0.7352941176</v>
      </c>
    </row>
    <row r="263">
      <c r="A263" s="17">
        <v>261.0</v>
      </c>
      <c r="B263" s="24" t="s">
        <v>29</v>
      </c>
      <c r="C263" s="30"/>
      <c r="D263" s="22"/>
      <c r="E263" s="31"/>
      <c r="F263" s="22"/>
      <c r="G263" s="30"/>
      <c r="H263" s="24">
        <v>30.0</v>
      </c>
      <c r="I263" s="24">
        <v>35.0</v>
      </c>
      <c r="J263" s="24">
        <v>36.0</v>
      </c>
      <c r="K263" s="24">
        <f>IF(H263=0,0,CAPITAL!$C$5/H263)
</f>
        <v>5000</v>
      </c>
      <c r="L263" s="24">
        <f>IF(I263=0,0,CAPITAL!$C$6/I263)
</f>
        <v>20000</v>
      </c>
      <c r="M263" s="24">
        <f>IF(J263=0,0,CAPITAL!$C$7/J263)
</f>
        <v>69444.44444</v>
      </c>
      <c r="N263" s="24">
        <f t="shared" si="1"/>
        <v>94444.44444</v>
      </c>
      <c r="O263" s="24">
        <f t="shared" si="2"/>
        <v>0.05294117647</v>
      </c>
      <c r="P263" s="24">
        <f t="shared" si="3"/>
        <v>0.2117647059</v>
      </c>
      <c r="Q263" s="24">
        <f t="shared" si="4"/>
        <v>0.7352941176</v>
      </c>
    </row>
    <row r="264">
      <c r="A264" s="17">
        <v>262.0</v>
      </c>
      <c r="B264" s="24" t="s">
        <v>29</v>
      </c>
      <c r="C264" s="30"/>
      <c r="D264" s="22"/>
      <c r="E264" s="31"/>
      <c r="F264" s="22"/>
      <c r="G264" s="30"/>
      <c r="H264" s="24">
        <v>30.0</v>
      </c>
      <c r="I264" s="24">
        <v>35.0</v>
      </c>
      <c r="J264" s="24">
        <v>36.0</v>
      </c>
      <c r="K264" s="24">
        <f>IF(H264=0,0,CAPITAL!$C$5/H264)
</f>
        <v>5000</v>
      </c>
      <c r="L264" s="24">
        <f>IF(I264=0,0,CAPITAL!$C$6/I264)
</f>
        <v>20000</v>
      </c>
      <c r="M264" s="24">
        <f>IF(J264=0,0,CAPITAL!$C$7/J264)
</f>
        <v>69444.44444</v>
      </c>
      <c r="N264" s="24">
        <f t="shared" si="1"/>
        <v>94444.44444</v>
      </c>
      <c r="O264" s="24">
        <f t="shared" si="2"/>
        <v>0.05294117647</v>
      </c>
      <c r="P264" s="24">
        <f t="shared" si="3"/>
        <v>0.2117647059</v>
      </c>
      <c r="Q264" s="24">
        <f t="shared" si="4"/>
        <v>0.7352941176</v>
      </c>
    </row>
    <row r="265">
      <c r="A265" s="17">
        <v>263.0</v>
      </c>
      <c r="B265" s="24" t="s">
        <v>29</v>
      </c>
      <c r="C265" s="30"/>
      <c r="D265" s="22"/>
      <c r="E265" s="31"/>
      <c r="F265" s="22"/>
      <c r="G265" s="30"/>
      <c r="H265" s="24">
        <v>30.0</v>
      </c>
      <c r="I265" s="24">
        <v>35.0</v>
      </c>
      <c r="J265" s="24">
        <v>36.0</v>
      </c>
      <c r="K265" s="24">
        <f>IF(H265=0,0,CAPITAL!$C$5/H265)
</f>
        <v>5000</v>
      </c>
      <c r="L265" s="24">
        <f>IF(I265=0,0,CAPITAL!$C$6/I265)
</f>
        <v>20000</v>
      </c>
      <c r="M265" s="24">
        <f>IF(J265=0,0,CAPITAL!$C$7/J265)
</f>
        <v>69444.44444</v>
      </c>
      <c r="N265" s="24">
        <f t="shared" si="1"/>
        <v>94444.44444</v>
      </c>
      <c r="O265" s="24">
        <f t="shared" si="2"/>
        <v>0.05294117647</v>
      </c>
      <c r="P265" s="24">
        <f t="shared" si="3"/>
        <v>0.2117647059</v>
      </c>
      <c r="Q265" s="24">
        <f t="shared" si="4"/>
        <v>0.7352941176</v>
      </c>
    </row>
    <row r="266">
      <c r="A266" s="17">
        <v>264.0</v>
      </c>
      <c r="B266" s="24" t="s">
        <v>29</v>
      </c>
      <c r="C266" s="30"/>
      <c r="D266" s="22"/>
      <c r="E266" s="31"/>
      <c r="F266" s="22"/>
      <c r="G266" s="30"/>
      <c r="H266" s="24">
        <v>30.0</v>
      </c>
      <c r="I266" s="24">
        <v>35.0</v>
      </c>
      <c r="J266" s="24">
        <v>36.0</v>
      </c>
      <c r="K266" s="24">
        <f>IF(H266=0,0,CAPITAL!$C$5/H266)
</f>
        <v>5000</v>
      </c>
      <c r="L266" s="24">
        <f>IF(I266=0,0,CAPITAL!$C$6/I266)
</f>
        <v>20000</v>
      </c>
      <c r="M266" s="24">
        <f>IF(J266=0,0,CAPITAL!$C$7/J266)
</f>
        <v>69444.44444</v>
      </c>
      <c r="N266" s="24">
        <f t="shared" si="1"/>
        <v>94444.44444</v>
      </c>
      <c r="O266" s="24">
        <f t="shared" si="2"/>
        <v>0.05294117647</v>
      </c>
      <c r="P266" s="24">
        <f t="shared" si="3"/>
        <v>0.2117647059</v>
      </c>
      <c r="Q266" s="24">
        <f t="shared" si="4"/>
        <v>0.7352941176</v>
      </c>
    </row>
    <row r="267">
      <c r="A267" s="17">
        <v>265.0</v>
      </c>
      <c r="B267" s="24" t="s">
        <v>29</v>
      </c>
      <c r="C267" s="30"/>
      <c r="D267" s="22"/>
      <c r="E267" s="31"/>
      <c r="F267" s="22"/>
      <c r="G267" s="30"/>
      <c r="H267" s="24">
        <v>30.0</v>
      </c>
      <c r="I267" s="24">
        <v>35.0</v>
      </c>
      <c r="J267" s="24">
        <v>36.0</v>
      </c>
      <c r="K267" s="24">
        <f>IF(H267=0,0,CAPITAL!$C$5/H267)
</f>
        <v>5000</v>
      </c>
      <c r="L267" s="24">
        <f>IF(I267=0,0,CAPITAL!$C$6/I267)
</f>
        <v>20000</v>
      </c>
      <c r="M267" s="24">
        <f>IF(J267=0,0,CAPITAL!$C$7/J267)
</f>
        <v>69444.44444</v>
      </c>
      <c r="N267" s="24">
        <f t="shared" si="1"/>
        <v>94444.44444</v>
      </c>
      <c r="O267" s="24">
        <f t="shared" si="2"/>
        <v>0.05294117647</v>
      </c>
      <c r="P267" s="24">
        <f t="shared" si="3"/>
        <v>0.2117647059</v>
      </c>
      <c r="Q267" s="24">
        <f t="shared" si="4"/>
        <v>0.7352941176</v>
      </c>
    </row>
    <row r="268">
      <c r="A268" s="17">
        <v>266.0</v>
      </c>
      <c r="B268" s="24" t="s">
        <v>29</v>
      </c>
      <c r="C268" s="30"/>
      <c r="D268" s="22"/>
      <c r="E268" s="31"/>
      <c r="F268" s="22"/>
      <c r="G268" s="30"/>
      <c r="H268" s="24">
        <v>30.0</v>
      </c>
      <c r="I268" s="24">
        <v>35.0</v>
      </c>
      <c r="J268" s="24">
        <v>36.0</v>
      </c>
      <c r="K268" s="24">
        <f>IF(H268=0,0,CAPITAL!$C$5/H268)
</f>
        <v>5000</v>
      </c>
      <c r="L268" s="24">
        <f>IF(I268=0,0,CAPITAL!$C$6/I268)
</f>
        <v>20000</v>
      </c>
      <c r="M268" s="24">
        <f>IF(J268=0,0,CAPITAL!$C$7/J268)
</f>
        <v>69444.44444</v>
      </c>
      <c r="N268" s="24">
        <f t="shared" si="1"/>
        <v>94444.44444</v>
      </c>
      <c r="O268" s="24">
        <f t="shared" si="2"/>
        <v>0.05294117647</v>
      </c>
      <c r="P268" s="24">
        <f t="shared" si="3"/>
        <v>0.2117647059</v>
      </c>
      <c r="Q268" s="24">
        <f t="shared" si="4"/>
        <v>0.7352941176</v>
      </c>
    </row>
    <row r="269">
      <c r="A269" s="17">
        <v>267.0</v>
      </c>
      <c r="B269" s="24" t="s">
        <v>29</v>
      </c>
      <c r="C269" s="30"/>
      <c r="D269" s="22"/>
      <c r="E269" s="31"/>
      <c r="F269" s="22"/>
      <c r="G269" s="30"/>
      <c r="H269" s="24">
        <v>30.0</v>
      </c>
      <c r="I269" s="24">
        <v>35.0</v>
      </c>
      <c r="J269" s="24">
        <v>36.0</v>
      </c>
      <c r="K269" s="24">
        <f>IF(H269=0,0,CAPITAL!$C$5/H269)
</f>
        <v>5000</v>
      </c>
      <c r="L269" s="24">
        <f>IF(I269=0,0,CAPITAL!$C$6/I269)
</f>
        <v>20000</v>
      </c>
      <c r="M269" s="24">
        <f>IF(J269=0,0,CAPITAL!$C$7/J269)
</f>
        <v>69444.44444</v>
      </c>
      <c r="N269" s="24">
        <f t="shared" si="1"/>
        <v>94444.44444</v>
      </c>
      <c r="O269" s="24">
        <f t="shared" si="2"/>
        <v>0.05294117647</v>
      </c>
      <c r="P269" s="24">
        <f t="shared" si="3"/>
        <v>0.2117647059</v>
      </c>
      <c r="Q269" s="24">
        <f t="shared" si="4"/>
        <v>0.7352941176</v>
      </c>
    </row>
    <row r="270">
      <c r="A270" s="17">
        <v>268.0</v>
      </c>
      <c r="B270" s="24" t="s">
        <v>29</v>
      </c>
      <c r="C270" s="30"/>
      <c r="D270" s="22"/>
      <c r="E270" s="31"/>
      <c r="F270" s="22"/>
      <c r="G270" s="30"/>
      <c r="H270" s="24">
        <v>30.0</v>
      </c>
      <c r="I270" s="24">
        <v>35.0</v>
      </c>
      <c r="J270" s="24">
        <v>36.0</v>
      </c>
      <c r="K270" s="24">
        <f>IF(H270=0,0,CAPITAL!$C$5/H270)
</f>
        <v>5000</v>
      </c>
      <c r="L270" s="24">
        <f>IF(I270=0,0,CAPITAL!$C$6/I270)
</f>
        <v>20000</v>
      </c>
      <c r="M270" s="24">
        <f>IF(J270=0,0,CAPITAL!$C$7/J270)
</f>
        <v>69444.44444</v>
      </c>
      <c r="N270" s="24">
        <f t="shared" si="1"/>
        <v>94444.44444</v>
      </c>
      <c r="O270" s="24">
        <f t="shared" si="2"/>
        <v>0.05294117647</v>
      </c>
      <c r="P270" s="24">
        <f t="shared" si="3"/>
        <v>0.2117647059</v>
      </c>
      <c r="Q270" s="24">
        <f t="shared" si="4"/>
        <v>0.7352941176</v>
      </c>
    </row>
    <row r="271">
      <c r="A271" s="17">
        <v>269.0</v>
      </c>
      <c r="B271" s="24" t="s">
        <v>29</v>
      </c>
      <c r="C271" s="30"/>
      <c r="D271" s="22"/>
      <c r="E271" s="31"/>
      <c r="F271" s="22"/>
      <c r="G271" s="30"/>
      <c r="H271" s="24">
        <v>30.0</v>
      </c>
      <c r="I271" s="24">
        <v>35.0</v>
      </c>
      <c r="J271" s="24">
        <v>36.0</v>
      </c>
      <c r="K271" s="24">
        <f>IF(H271=0,0,CAPITAL!$C$5/H271)
</f>
        <v>5000</v>
      </c>
      <c r="L271" s="24">
        <f>IF(I271=0,0,CAPITAL!$C$6/I271)
</f>
        <v>20000</v>
      </c>
      <c r="M271" s="24">
        <f>IF(J271=0,0,CAPITAL!$C$7/J271)
</f>
        <v>69444.44444</v>
      </c>
      <c r="N271" s="24">
        <f t="shared" si="1"/>
        <v>94444.44444</v>
      </c>
      <c r="O271" s="24">
        <f t="shared" si="2"/>
        <v>0.05294117647</v>
      </c>
      <c r="P271" s="24">
        <f t="shared" si="3"/>
        <v>0.2117647059</v>
      </c>
      <c r="Q271" s="24">
        <f t="shared" si="4"/>
        <v>0.7352941176</v>
      </c>
    </row>
    <row r="272">
      <c r="A272" s="17">
        <v>270.0</v>
      </c>
      <c r="B272" s="24" t="s">
        <v>29</v>
      </c>
      <c r="C272" s="30"/>
      <c r="D272" s="22"/>
      <c r="E272" s="31"/>
      <c r="F272" s="22"/>
      <c r="G272" s="30"/>
      <c r="H272" s="24">
        <v>30.0</v>
      </c>
      <c r="I272" s="24">
        <v>35.0</v>
      </c>
      <c r="J272" s="24">
        <v>36.0</v>
      </c>
      <c r="K272" s="24">
        <f>IF(H272=0,0,CAPITAL!$C$5/H272)
</f>
        <v>5000</v>
      </c>
      <c r="L272" s="24">
        <f>IF(I272=0,0,CAPITAL!$C$6/I272)
</f>
        <v>20000</v>
      </c>
      <c r="M272" s="24">
        <f>IF(J272=0,0,CAPITAL!$C$7/J272)
</f>
        <v>69444.44444</v>
      </c>
      <c r="N272" s="24">
        <f t="shared" si="1"/>
        <v>94444.44444</v>
      </c>
      <c r="O272" s="24">
        <f t="shared" si="2"/>
        <v>0.05294117647</v>
      </c>
      <c r="P272" s="24">
        <f t="shared" si="3"/>
        <v>0.2117647059</v>
      </c>
      <c r="Q272" s="24">
        <f t="shared" si="4"/>
        <v>0.7352941176</v>
      </c>
    </row>
    <row r="273">
      <c r="A273" s="17">
        <v>271.0</v>
      </c>
      <c r="B273" s="24" t="s">
        <v>29</v>
      </c>
      <c r="C273" s="30"/>
      <c r="D273" s="22"/>
      <c r="E273" s="31"/>
      <c r="F273" s="22"/>
      <c r="G273" s="30"/>
      <c r="H273" s="24">
        <v>30.0</v>
      </c>
      <c r="I273" s="24">
        <v>35.0</v>
      </c>
      <c r="J273" s="24">
        <v>36.0</v>
      </c>
      <c r="K273" s="24">
        <f>IF(H273=0,0,CAPITAL!$C$5/H273)
</f>
        <v>5000</v>
      </c>
      <c r="L273" s="24">
        <f>IF(I273=0,0,CAPITAL!$C$6/I273)
</f>
        <v>20000</v>
      </c>
      <c r="M273" s="24">
        <f>IF(J273=0,0,CAPITAL!$C$7/J273)
</f>
        <v>69444.44444</v>
      </c>
      <c r="N273" s="24">
        <f t="shared" si="1"/>
        <v>94444.44444</v>
      </c>
      <c r="O273" s="24">
        <f t="shared" si="2"/>
        <v>0.05294117647</v>
      </c>
      <c r="P273" s="24">
        <f t="shared" si="3"/>
        <v>0.2117647059</v>
      </c>
      <c r="Q273" s="24">
        <f t="shared" si="4"/>
        <v>0.7352941176</v>
      </c>
    </row>
    <row r="274">
      <c r="A274" s="17">
        <v>272.0</v>
      </c>
      <c r="B274" s="24" t="s">
        <v>29</v>
      </c>
      <c r="C274" s="30"/>
      <c r="D274" s="22"/>
      <c r="E274" s="31"/>
      <c r="F274" s="22"/>
      <c r="G274" s="30"/>
      <c r="H274" s="24">
        <v>30.0</v>
      </c>
      <c r="I274" s="24">
        <v>35.0</v>
      </c>
      <c r="J274" s="24">
        <v>36.0</v>
      </c>
      <c r="K274" s="24">
        <f>IF(H274=0,0,CAPITAL!$C$5/H274)
</f>
        <v>5000</v>
      </c>
      <c r="L274" s="24">
        <f>IF(I274=0,0,CAPITAL!$C$6/I274)
</f>
        <v>20000</v>
      </c>
      <c r="M274" s="24">
        <f>IF(J274=0,0,CAPITAL!$C$7/J274)
</f>
        <v>69444.44444</v>
      </c>
      <c r="N274" s="24">
        <f t="shared" si="1"/>
        <v>94444.44444</v>
      </c>
      <c r="O274" s="24">
        <f t="shared" si="2"/>
        <v>0.05294117647</v>
      </c>
      <c r="P274" s="24">
        <f t="shared" si="3"/>
        <v>0.2117647059</v>
      </c>
      <c r="Q274" s="24">
        <f t="shared" si="4"/>
        <v>0.7352941176</v>
      </c>
    </row>
    <row r="275">
      <c r="A275" s="17">
        <v>273.0</v>
      </c>
      <c r="B275" s="24" t="s">
        <v>29</v>
      </c>
      <c r="C275" s="30"/>
      <c r="D275" s="22"/>
      <c r="E275" s="31"/>
      <c r="F275" s="22"/>
      <c r="G275" s="30"/>
      <c r="H275" s="24">
        <v>30.0</v>
      </c>
      <c r="I275" s="24">
        <v>35.0</v>
      </c>
      <c r="J275" s="24">
        <v>36.0</v>
      </c>
      <c r="K275" s="24">
        <f>IF(H275=0,0,CAPITAL!$C$5/H275)
</f>
        <v>5000</v>
      </c>
      <c r="L275" s="24">
        <f>IF(I275=0,0,CAPITAL!$C$6/I275)
</f>
        <v>20000</v>
      </c>
      <c r="M275" s="24">
        <f>IF(J275=0,0,CAPITAL!$C$7/J275)
</f>
        <v>69444.44444</v>
      </c>
      <c r="N275" s="24">
        <f t="shared" si="1"/>
        <v>94444.44444</v>
      </c>
      <c r="O275" s="24">
        <f t="shared" si="2"/>
        <v>0.05294117647</v>
      </c>
      <c r="P275" s="24">
        <f t="shared" si="3"/>
        <v>0.2117647059</v>
      </c>
      <c r="Q275" s="24">
        <f t="shared" si="4"/>
        <v>0.7352941176</v>
      </c>
    </row>
    <row r="276">
      <c r="A276" s="17">
        <v>274.0</v>
      </c>
      <c r="B276" s="24" t="s">
        <v>29</v>
      </c>
      <c r="C276" s="30"/>
      <c r="D276" s="22"/>
      <c r="E276" s="31"/>
      <c r="F276" s="22"/>
      <c r="G276" s="30"/>
      <c r="H276" s="24">
        <v>30.0</v>
      </c>
      <c r="I276" s="24">
        <v>35.0</v>
      </c>
      <c r="J276" s="24">
        <v>36.0</v>
      </c>
      <c r="K276" s="24">
        <f>IF(H276=0,0,CAPITAL!$C$5/H276)
</f>
        <v>5000</v>
      </c>
      <c r="L276" s="24">
        <f>IF(I276=0,0,CAPITAL!$C$6/I276)
</f>
        <v>20000</v>
      </c>
      <c r="M276" s="24">
        <f>IF(J276=0,0,CAPITAL!$C$7/J276)
</f>
        <v>69444.44444</v>
      </c>
      <c r="N276" s="24">
        <f t="shared" si="1"/>
        <v>94444.44444</v>
      </c>
      <c r="O276" s="24">
        <f t="shared" si="2"/>
        <v>0.05294117647</v>
      </c>
      <c r="P276" s="24">
        <f t="shared" si="3"/>
        <v>0.2117647059</v>
      </c>
      <c r="Q276" s="24">
        <f t="shared" si="4"/>
        <v>0.7352941176</v>
      </c>
    </row>
    <row r="277">
      <c r="A277" s="17">
        <v>275.0</v>
      </c>
      <c r="B277" s="24" t="s">
        <v>29</v>
      </c>
      <c r="C277" s="30"/>
      <c r="D277" s="22"/>
      <c r="E277" s="31"/>
      <c r="F277" s="22"/>
      <c r="G277" s="30"/>
      <c r="H277" s="24">
        <v>30.0</v>
      </c>
      <c r="I277" s="24">
        <v>35.0</v>
      </c>
      <c r="J277" s="24">
        <v>36.0</v>
      </c>
      <c r="K277" s="24">
        <f>IF(H277=0,0,CAPITAL!$C$5/H277)
</f>
        <v>5000</v>
      </c>
      <c r="L277" s="24">
        <f>IF(I277=0,0,CAPITAL!$C$6/I277)
</f>
        <v>20000</v>
      </c>
      <c r="M277" s="24">
        <f>IF(J277=0,0,CAPITAL!$C$7/J277)
</f>
        <v>69444.44444</v>
      </c>
      <c r="N277" s="24">
        <f t="shared" si="1"/>
        <v>94444.44444</v>
      </c>
      <c r="O277" s="24">
        <f t="shared" si="2"/>
        <v>0.05294117647</v>
      </c>
      <c r="P277" s="24">
        <f t="shared" si="3"/>
        <v>0.2117647059</v>
      </c>
      <c r="Q277" s="24">
        <f t="shared" si="4"/>
        <v>0.7352941176</v>
      </c>
    </row>
    <row r="278">
      <c r="A278" s="17">
        <v>276.0</v>
      </c>
      <c r="B278" s="24" t="s">
        <v>29</v>
      </c>
      <c r="C278" s="30"/>
      <c r="D278" s="22"/>
      <c r="E278" s="31"/>
      <c r="F278" s="22"/>
      <c r="G278" s="30"/>
      <c r="H278" s="24">
        <v>30.0</v>
      </c>
      <c r="I278" s="24">
        <v>35.0</v>
      </c>
      <c r="J278" s="24">
        <v>36.0</v>
      </c>
      <c r="K278" s="24">
        <f>IF(H278=0,0,CAPITAL!$C$5/H278)
</f>
        <v>5000</v>
      </c>
      <c r="L278" s="24">
        <f>IF(I278=0,0,CAPITAL!$C$6/I278)
</f>
        <v>20000</v>
      </c>
      <c r="M278" s="24">
        <f>IF(J278=0,0,CAPITAL!$C$7/J278)
</f>
        <v>69444.44444</v>
      </c>
      <c r="N278" s="24">
        <f t="shared" si="1"/>
        <v>94444.44444</v>
      </c>
      <c r="O278" s="24">
        <f t="shared" si="2"/>
        <v>0.05294117647</v>
      </c>
      <c r="P278" s="24">
        <f t="shared" si="3"/>
        <v>0.2117647059</v>
      </c>
      <c r="Q278" s="24">
        <f t="shared" si="4"/>
        <v>0.7352941176</v>
      </c>
    </row>
    <row r="279">
      <c r="A279" s="17">
        <v>277.0</v>
      </c>
      <c r="B279" s="24" t="s">
        <v>29</v>
      </c>
      <c r="C279" s="30"/>
      <c r="D279" s="22"/>
      <c r="E279" s="31"/>
      <c r="F279" s="22"/>
      <c r="G279" s="30"/>
      <c r="H279" s="24">
        <v>30.0</v>
      </c>
      <c r="I279" s="24">
        <v>35.0</v>
      </c>
      <c r="J279" s="24">
        <v>36.0</v>
      </c>
      <c r="K279" s="24">
        <f>IF(H279=0,0,CAPITAL!$C$5/H279)
</f>
        <v>5000</v>
      </c>
      <c r="L279" s="24">
        <f>IF(I279=0,0,CAPITAL!$C$6/I279)
</f>
        <v>20000</v>
      </c>
      <c r="M279" s="24">
        <f>IF(J279=0,0,CAPITAL!$C$7/J279)
</f>
        <v>69444.44444</v>
      </c>
      <c r="N279" s="24">
        <f t="shared" si="1"/>
        <v>94444.44444</v>
      </c>
      <c r="O279" s="24">
        <f t="shared" si="2"/>
        <v>0.05294117647</v>
      </c>
      <c r="P279" s="24">
        <f t="shared" si="3"/>
        <v>0.2117647059</v>
      </c>
      <c r="Q279" s="24">
        <f t="shared" si="4"/>
        <v>0.7352941176</v>
      </c>
    </row>
    <row r="280">
      <c r="A280" s="17">
        <v>278.0</v>
      </c>
      <c r="B280" s="24" t="s">
        <v>29</v>
      </c>
      <c r="C280" s="30"/>
      <c r="D280" s="22"/>
      <c r="E280" s="31"/>
      <c r="F280" s="22"/>
      <c r="G280" s="30"/>
      <c r="H280" s="24">
        <v>30.0</v>
      </c>
      <c r="I280" s="24">
        <v>35.0</v>
      </c>
      <c r="J280" s="24">
        <v>36.0</v>
      </c>
      <c r="K280" s="24">
        <f>IF(H280=0,0,CAPITAL!$C$5/H280)
</f>
        <v>5000</v>
      </c>
      <c r="L280" s="24">
        <f>IF(I280=0,0,CAPITAL!$C$6/I280)
</f>
        <v>20000</v>
      </c>
      <c r="M280" s="24">
        <f>IF(J280=0,0,CAPITAL!$C$7/J280)
</f>
        <v>69444.44444</v>
      </c>
      <c r="N280" s="24">
        <f t="shared" si="1"/>
        <v>94444.44444</v>
      </c>
      <c r="O280" s="24">
        <f t="shared" si="2"/>
        <v>0.05294117647</v>
      </c>
      <c r="P280" s="24">
        <f t="shared" si="3"/>
        <v>0.2117647059</v>
      </c>
      <c r="Q280" s="24">
        <f t="shared" si="4"/>
        <v>0.7352941176</v>
      </c>
    </row>
    <row r="281">
      <c r="A281" s="17">
        <v>279.0</v>
      </c>
      <c r="B281" s="24" t="s">
        <v>29</v>
      </c>
      <c r="C281" s="30"/>
      <c r="D281" s="22"/>
      <c r="E281" s="31"/>
      <c r="F281" s="22"/>
      <c r="G281" s="30"/>
      <c r="H281" s="24">
        <v>30.0</v>
      </c>
      <c r="I281" s="24">
        <v>35.0</v>
      </c>
      <c r="J281" s="24">
        <v>36.0</v>
      </c>
      <c r="K281" s="24">
        <f>IF(H281=0,0,CAPITAL!$C$5/H281)
</f>
        <v>5000</v>
      </c>
      <c r="L281" s="24">
        <f>IF(I281=0,0,CAPITAL!$C$6/I281)
</f>
        <v>20000</v>
      </c>
      <c r="M281" s="24">
        <f>IF(J281=0,0,CAPITAL!$C$7/J281)
</f>
        <v>69444.44444</v>
      </c>
      <c r="N281" s="24">
        <f t="shared" si="1"/>
        <v>94444.44444</v>
      </c>
      <c r="O281" s="24">
        <f t="shared" si="2"/>
        <v>0.05294117647</v>
      </c>
      <c r="P281" s="24">
        <f t="shared" si="3"/>
        <v>0.2117647059</v>
      </c>
      <c r="Q281" s="24">
        <f t="shared" si="4"/>
        <v>0.7352941176</v>
      </c>
    </row>
    <row r="282">
      <c r="A282" s="17">
        <v>280.0</v>
      </c>
      <c r="B282" s="24" t="s">
        <v>29</v>
      </c>
      <c r="C282" s="30"/>
      <c r="D282" s="22"/>
      <c r="E282" s="31"/>
      <c r="F282" s="22"/>
      <c r="G282" s="30"/>
      <c r="H282" s="24">
        <v>30.0</v>
      </c>
      <c r="I282" s="24">
        <v>35.0</v>
      </c>
      <c r="J282" s="24">
        <v>36.0</v>
      </c>
      <c r="K282" s="24">
        <f>IF(H282=0,0,CAPITAL!$C$5/H282)
</f>
        <v>5000</v>
      </c>
      <c r="L282" s="24">
        <f>IF(I282=0,0,CAPITAL!$C$6/I282)
</f>
        <v>20000</v>
      </c>
      <c r="M282" s="24">
        <f>IF(J282=0,0,CAPITAL!$C$7/J282)
</f>
        <v>69444.44444</v>
      </c>
      <c r="N282" s="24">
        <f t="shared" si="1"/>
        <v>94444.44444</v>
      </c>
      <c r="O282" s="24">
        <f t="shared" si="2"/>
        <v>0.05294117647</v>
      </c>
      <c r="P282" s="24">
        <f t="shared" si="3"/>
        <v>0.2117647059</v>
      </c>
      <c r="Q282" s="24">
        <f t="shared" si="4"/>
        <v>0.7352941176</v>
      </c>
    </row>
    <row r="283">
      <c r="A283" s="17">
        <v>281.0</v>
      </c>
      <c r="B283" s="24" t="s">
        <v>29</v>
      </c>
      <c r="C283" s="30"/>
      <c r="D283" s="22"/>
      <c r="E283" s="31"/>
      <c r="F283" s="22"/>
      <c r="G283" s="30"/>
      <c r="H283" s="24">
        <v>30.0</v>
      </c>
      <c r="I283" s="24">
        <v>35.0</v>
      </c>
      <c r="J283" s="24">
        <v>36.0</v>
      </c>
      <c r="K283" s="24">
        <f>IF(H283=0,0,CAPITAL!$C$5/H283)
</f>
        <v>5000</v>
      </c>
      <c r="L283" s="24">
        <f>IF(I283=0,0,CAPITAL!$C$6/I283)
</f>
        <v>20000</v>
      </c>
      <c r="M283" s="24">
        <f>IF(J283=0,0,CAPITAL!$C$7/J283)
</f>
        <v>69444.44444</v>
      </c>
      <c r="N283" s="24">
        <f t="shared" si="1"/>
        <v>94444.44444</v>
      </c>
      <c r="O283" s="24">
        <f t="shared" si="2"/>
        <v>0.05294117647</v>
      </c>
      <c r="P283" s="24">
        <f t="shared" si="3"/>
        <v>0.2117647059</v>
      </c>
      <c r="Q283" s="24">
        <f t="shared" si="4"/>
        <v>0.7352941176</v>
      </c>
    </row>
    <row r="284">
      <c r="A284" s="17">
        <v>282.0</v>
      </c>
      <c r="B284" s="24" t="s">
        <v>29</v>
      </c>
      <c r="C284" s="30"/>
      <c r="D284" s="22"/>
      <c r="E284" s="31"/>
      <c r="F284" s="22"/>
      <c r="G284" s="30"/>
      <c r="H284" s="24">
        <v>30.0</v>
      </c>
      <c r="I284" s="24">
        <v>35.0</v>
      </c>
      <c r="J284" s="24">
        <v>36.0</v>
      </c>
      <c r="K284" s="24">
        <f>IF(H284=0,0,CAPITAL!$C$5/H284)
</f>
        <v>5000</v>
      </c>
      <c r="L284" s="24">
        <f>IF(I284=0,0,CAPITAL!$C$6/I284)
</f>
        <v>20000</v>
      </c>
      <c r="M284" s="24">
        <f>IF(J284=0,0,CAPITAL!$C$7/J284)
</f>
        <v>69444.44444</v>
      </c>
      <c r="N284" s="24">
        <f t="shared" si="1"/>
        <v>94444.44444</v>
      </c>
      <c r="O284" s="24">
        <f t="shared" si="2"/>
        <v>0.05294117647</v>
      </c>
      <c r="P284" s="24">
        <f t="shared" si="3"/>
        <v>0.2117647059</v>
      </c>
      <c r="Q284" s="24">
        <f t="shared" si="4"/>
        <v>0.7352941176</v>
      </c>
    </row>
    <row r="285">
      <c r="A285" s="17">
        <v>283.0</v>
      </c>
      <c r="B285" s="24" t="s">
        <v>29</v>
      </c>
      <c r="C285" s="30"/>
      <c r="D285" s="22"/>
      <c r="E285" s="31"/>
      <c r="F285" s="22"/>
      <c r="G285" s="30"/>
      <c r="H285" s="24">
        <v>30.0</v>
      </c>
      <c r="I285" s="24">
        <v>35.0</v>
      </c>
      <c r="J285" s="24">
        <v>36.0</v>
      </c>
      <c r="K285" s="24">
        <f>IF(H285=0,0,CAPITAL!$C$5/H285)
</f>
        <v>5000</v>
      </c>
      <c r="L285" s="24">
        <f>IF(I285=0,0,CAPITAL!$C$6/I285)
</f>
        <v>20000</v>
      </c>
      <c r="M285" s="24">
        <f>IF(J285=0,0,CAPITAL!$C$7/J285)
</f>
        <v>69444.44444</v>
      </c>
      <c r="N285" s="24">
        <f t="shared" si="1"/>
        <v>94444.44444</v>
      </c>
      <c r="O285" s="24">
        <f t="shared" si="2"/>
        <v>0.05294117647</v>
      </c>
      <c r="P285" s="24">
        <f t="shared" si="3"/>
        <v>0.2117647059</v>
      </c>
      <c r="Q285" s="24">
        <f t="shared" si="4"/>
        <v>0.7352941176</v>
      </c>
    </row>
    <row r="286">
      <c r="A286" s="17">
        <v>284.0</v>
      </c>
      <c r="B286" s="24" t="s">
        <v>29</v>
      </c>
      <c r="C286" s="30"/>
      <c r="D286" s="22"/>
      <c r="E286" s="31"/>
      <c r="F286" s="22"/>
      <c r="G286" s="30"/>
      <c r="H286" s="24">
        <v>30.0</v>
      </c>
      <c r="I286" s="24">
        <v>35.0</v>
      </c>
      <c r="J286" s="24">
        <v>36.0</v>
      </c>
      <c r="K286" s="24">
        <f>IF(H286=0,0,CAPITAL!$C$5/H286)
</f>
        <v>5000</v>
      </c>
      <c r="L286" s="24">
        <f>IF(I286=0,0,CAPITAL!$C$6/I286)
</f>
        <v>20000</v>
      </c>
      <c r="M286" s="24">
        <f>IF(J286=0,0,CAPITAL!$C$7/J286)
</f>
        <v>69444.44444</v>
      </c>
      <c r="N286" s="24">
        <f t="shared" si="1"/>
        <v>94444.44444</v>
      </c>
      <c r="O286" s="24">
        <f t="shared" si="2"/>
        <v>0.05294117647</v>
      </c>
      <c r="P286" s="24">
        <f t="shared" si="3"/>
        <v>0.2117647059</v>
      </c>
      <c r="Q286" s="24">
        <f t="shared" si="4"/>
        <v>0.7352941176</v>
      </c>
    </row>
    <row r="287">
      <c r="A287" s="17">
        <v>285.0</v>
      </c>
      <c r="B287" s="24" t="s">
        <v>29</v>
      </c>
      <c r="C287" s="30"/>
      <c r="D287" s="22"/>
      <c r="E287" s="31"/>
      <c r="F287" s="22"/>
      <c r="G287" s="30"/>
      <c r="H287" s="24">
        <v>30.0</v>
      </c>
      <c r="I287" s="24">
        <v>35.0</v>
      </c>
      <c r="J287" s="24">
        <v>36.0</v>
      </c>
      <c r="K287" s="24">
        <f>IF(H287=0,0,CAPITAL!$C$5/H287)
</f>
        <v>5000</v>
      </c>
      <c r="L287" s="24">
        <f>IF(I287=0,0,CAPITAL!$C$6/I287)
</f>
        <v>20000</v>
      </c>
      <c r="M287" s="24">
        <f>IF(J287=0,0,CAPITAL!$C$7/J287)
</f>
        <v>69444.44444</v>
      </c>
      <c r="N287" s="24">
        <f t="shared" si="1"/>
        <v>94444.44444</v>
      </c>
      <c r="O287" s="24">
        <f t="shared" si="2"/>
        <v>0.05294117647</v>
      </c>
      <c r="P287" s="24">
        <f t="shared" si="3"/>
        <v>0.2117647059</v>
      </c>
      <c r="Q287" s="24">
        <f t="shared" si="4"/>
        <v>0.7352941176</v>
      </c>
    </row>
    <row r="288">
      <c r="A288" s="17">
        <v>286.0</v>
      </c>
      <c r="B288" s="24" t="s">
        <v>29</v>
      </c>
      <c r="C288" s="30"/>
      <c r="D288" s="22"/>
      <c r="E288" s="31"/>
      <c r="F288" s="22"/>
      <c r="G288" s="30"/>
      <c r="H288" s="24">
        <v>30.0</v>
      </c>
      <c r="I288" s="24">
        <v>35.0</v>
      </c>
      <c r="J288" s="24">
        <v>36.0</v>
      </c>
      <c r="K288" s="24">
        <f>IF(H288=0,0,CAPITAL!$C$5/H288)
</f>
        <v>5000</v>
      </c>
      <c r="L288" s="24">
        <f>IF(I288=0,0,CAPITAL!$C$6/I288)
</f>
        <v>20000</v>
      </c>
      <c r="M288" s="24">
        <f>IF(J288=0,0,CAPITAL!$C$7/J288)
</f>
        <v>69444.44444</v>
      </c>
      <c r="N288" s="24">
        <f t="shared" si="1"/>
        <v>94444.44444</v>
      </c>
      <c r="O288" s="24">
        <f t="shared" si="2"/>
        <v>0.05294117647</v>
      </c>
      <c r="P288" s="24">
        <f t="shared" si="3"/>
        <v>0.2117647059</v>
      </c>
      <c r="Q288" s="24">
        <f t="shared" si="4"/>
        <v>0.7352941176</v>
      </c>
    </row>
    <row r="289">
      <c r="A289" s="17">
        <v>287.0</v>
      </c>
      <c r="B289" s="24" t="s">
        <v>29</v>
      </c>
      <c r="C289" s="30"/>
      <c r="D289" s="22"/>
      <c r="E289" s="31"/>
      <c r="F289" s="22"/>
      <c r="G289" s="30"/>
      <c r="H289" s="24">
        <v>30.0</v>
      </c>
      <c r="I289" s="24">
        <v>35.0</v>
      </c>
      <c r="J289" s="24">
        <v>36.0</v>
      </c>
      <c r="K289" s="24">
        <f>IF(H289=0,0,CAPITAL!$C$5/H289)
</f>
        <v>5000</v>
      </c>
      <c r="L289" s="24">
        <f>IF(I289=0,0,CAPITAL!$C$6/I289)
</f>
        <v>20000</v>
      </c>
      <c r="M289" s="24">
        <f>IF(J289=0,0,CAPITAL!$C$7/J289)
</f>
        <v>69444.44444</v>
      </c>
      <c r="N289" s="24">
        <f t="shared" si="1"/>
        <v>94444.44444</v>
      </c>
      <c r="O289" s="24">
        <f t="shared" si="2"/>
        <v>0.05294117647</v>
      </c>
      <c r="P289" s="24">
        <f t="shared" si="3"/>
        <v>0.2117647059</v>
      </c>
      <c r="Q289" s="24">
        <f t="shared" si="4"/>
        <v>0.7352941176</v>
      </c>
    </row>
    <row r="290">
      <c r="A290" s="17">
        <v>288.0</v>
      </c>
      <c r="B290" s="24" t="s">
        <v>29</v>
      </c>
      <c r="C290" s="30"/>
      <c r="D290" s="22"/>
      <c r="E290" s="31"/>
      <c r="F290" s="22"/>
      <c r="G290" s="30"/>
      <c r="H290" s="24">
        <v>30.0</v>
      </c>
      <c r="I290" s="24">
        <v>35.0</v>
      </c>
      <c r="J290" s="24">
        <v>36.0</v>
      </c>
      <c r="K290" s="24">
        <f>IF(H290=0,0,CAPITAL!$C$5/H290)
</f>
        <v>5000</v>
      </c>
      <c r="L290" s="24">
        <f>IF(I290=0,0,CAPITAL!$C$6/I290)
</f>
        <v>20000</v>
      </c>
      <c r="M290" s="24">
        <f>IF(J290=0,0,CAPITAL!$C$7/J290)
</f>
        <v>69444.44444</v>
      </c>
      <c r="N290" s="24">
        <f t="shared" si="1"/>
        <v>94444.44444</v>
      </c>
      <c r="O290" s="24">
        <f t="shared" si="2"/>
        <v>0.05294117647</v>
      </c>
      <c r="P290" s="24">
        <f t="shared" si="3"/>
        <v>0.2117647059</v>
      </c>
      <c r="Q290" s="24">
        <f t="shared" si="4"/>
        <v>0.7352941176</v>
      </c>
    </row>
    <row r="291">
      <c r="A291" s="17">
        <v>289.0</v>
      </c>
      <c r="B291" s="24" t="s">
        <v>29</v>
      </c>
      <c r="C291" s="30"/>
      <c r="D291" s="22"/>
      <c r="E291" s="31"/>
      <c r="F291" s="22"/>
      <c r="G291" s="30"/>
      <c r="H291" s="24">
        <v>30.0</v>
      </c>
      <c r="I291" s="24">
        <v>35.0</v>
      </c>
      <c r="J291" s="24">
        <v>36.0</v>
      </c>
      <c r="K291" s="24">
        <f>IF(H291=0,0,CAPITAL!$C$5/H291)
</f>
        <v>5000</v>
      </c>
      <c r="L291" s="24">
        <f>IF(I291=0,0,CAPITAL!$C$6/I291)
</f>
        <v>20000</v>
      </c>
      <c r="M291" s="24">
        <f>IF(J291=0,0,CAPITAL!$C$7/J291)
</f>
        <v>69444.44444</v>
      </c>
      <c r="N291" s="24">
        <f t="shared" si="1"/>
        <v>94444.44444</v>
      </c>
      <c r="O291" s="24">
        <f t="shared" si="2"/>
        <v>0.05294117647</v>
      </c>
      <c r="P291" s="24">
        <f t="shared" si="3"/>
        <v>0.2117647059</v>
      </c>
      <c r="Q291" s="24">
        <f t="shared" si="4"/>
        <v>0.7352941176</v>
      </c>
    </row>
    <row r="292">
      <c r="A292" s="17">
        <v>290.0</v>
      </c>
      <c r="B292" s="24" t="s">
        <v>29</v>
      </c>
      <c r="C292" s="30"/>
      <c r="D292" s="22"/>
      <c r="E292" s="31"/>
      <c r="F292" s="22"/>
      <c r="G292" s="30"/>
      <c r="H292" s="24">
        <v>30.0</v>
      </c>
      <c r="I292" s="24">
        <v>35.0</v>
      </c>
      <c r="J292" s="24">
        <v>36.0</v>
      </c>
      <c r="K292" s="24">
        <f>IF(H292=0,0,CAPITAL!$C$5/H292)
</f>
        <v>5000</v>
      </c>
      <c r="L292" s="24">
        <f>IF(I292=0,0,CAPITAL!$C$6/I292)
</f>
        <v>20000</v>
      </c>
      <c r="M292" s="24">
        <f>IF(J292=0,0,CAPITAL!$C$7/J292)
</f>
        <v>69444.44444</v>
      </c>
      <c r="N292" s="24">
        <f t="shared" si="1"/>
        <v>94444.44444</v>
      </c>
      <c r="O292" s="24">
        <f t="shared" si="2"/>
        <v>0.05294117647</v>
      </c>
      <c r="P292" s="24">
        <f t="shared" si="3"/>
        <v>0.2117647059</v>
      </c>
      <c r="Q292" s="24">
        <f t="shared" si="4"/>
        <v>0.7352941176</v>
      </c>
    </row>
    <row r="293">
      <c r="A293" s="17">
        <v>291.0</v>
      </c>
      <c r="B293" s="24" t="s">
        <v>29</v>
      </c>
      <c r="C293" s="30"/>
      <c r="D293" s="22"/>
      <c r="E293" s="31"/>
      <c r="F293" s="22"/>
      <c r="G293" s="30"/>
      <c r="H293" s="24">
        <v>30.0</v>
      </c>
      <c r="I293" s="24">
        <v>35.0</v>
      </c>
      <c r="J293" s="24">
        <v>36.0</v>
      </c>
      <c r="K293" s="24">
        <f>IF(H293=0,0,CAPITAL!$C$5/H293)
</f>
        <v>5000</v>
      </c>
      <c r="L293" s="24">
        <f>IF(I293=0,0,CAPITAL!$C$6/I293)
</f>
        <v>20000</v>
      </c>
      <c r="M293" s="24">
        <f>IF(J293=0,0,CAPITAL!$C$7/J293)
</f>
        <v>69444.44444</v>
      </c>
      <c r="N293" s="24">
        <f t="shared" si="1"/>
        <v>94444.44444</v>
      </c>
      <c r="O293" s="24">
        <f t="shared" si="2"/>
        <v>0.05294117647</v>
      </c>
      <c r="P293" s="24">
        <f t="shared" si="3"/>
        <v>0.2117647059</v>
      </c>
      <c r="Q293" s="24">
        <f t="shared" si="4"/>
        <v>0.7352941176</v>
      </c>
    </row>
    <row r="294">
      <c r="A294" s="17">
        <v>292.0</v>
      </c>
      <c r="B294" s="24" t="s">
        <v>29</v>
      </c>
      <c r="C294" s="30"/>
      <c r="D294" s="22"/>
      <c r="E294" s="31"/>
      <c r="F294" s="22"/>
      <c r="G294" s="30"/>
      <c r="H294" s="24">
        <v>30.0</v>
      </c>
      <c r="I294" s="24">
        <v>35.0</v>
      </c>
      <c r="J294" s="24">
        <v>36.0</v>
      </c>
      <c r="K294" s="24">
        <f>IF(H294=0,0,CAPITAL!$C$5/H294)
</f>
        <v>5000</v>
      </c>
      <c r="L294" s="24">
        <f>IF(I294=0,0,CAPITAL!$C$6/I294)
</f>
        <v>20000</v>
      </c>
      <c r="M294" s="24">
        <f>IF(J294=0,0,CAPITAL!$C$7/J294)
</f>
        <v>69444.44444</v>
      </c>
      <c r="N294" s="24">
        <f t="shared" si="1"/>
        <v>94444.44444</v>
      </c>
      <c r="O294" s="24">
        <f t="shared" si="2"/>
        <v>0.05294117647</v>
      </c>
      <c r="P294" s="24">
        <f t="shared" si="3"/>
        <v>0.2117647059</v>
      </c>
      <c r="Q294" s="24">
        <f t="shared" si="4"/>
        <v>0.7352941176</v>
      </c>
    </row>
    <row r="295">
      <c r="A295" s="17">
        <v>293.0</v>
      </c>
      <c r="B295" s="24" t="s">
        <v>29</v>
      </c>
      <c r="C295" s="30"/>
      <c r="D295" s="22"/>
      <c r="E295" s="31"/>
      <c r="F295" s="22"/>
      <c r="G295" s="30"/>
      <c r="H295" s="24">
        <v>30.0</v>
      </c>
      <c r="I295" s="24">
        <v>35.0</v>
      </c>
      <c r="J295" s="24">
        <v>36.0</v>
      </c>
      <c r="K295" s="24">
        <f>IF(H295=0,0,CAPITAL!$C$5/H295)
</f>
        <v>5000</v>
      </c>
      <c r="L295" s="24">
        <f>IF(I295=0,0,CAPITAL!$C$6/I295)
</f>
        <v>20000</v>
      </c>
      <c r="M295" s="24">
        <f>IF(J295=0,0,CAPITAL!$C$7/J295)
</f>
        <v>69444.44444</v>
      </c>
      <c r="N295" s="24">
        <f t="shared" si="1"/>
        <v>94444.44444</v>
      </c>
      <c r="O295" s="24">
        <f t="shared" si="2"/>
        <v>0.05294117647</v>
      </c>
      <c r="P295" s="24">
        <f t="shared" si="3"/>
        <v>0.2117647059</v>
      </c>
      <c r="Q295" s="24">
        <f t="shared" si="4"/>
        <v>0.7352941176</v>
      </c>
    </row>
    <row r="296">
      <c r="A296" s="17">
        <v>294.0</v>
      </c>
      <c r="B296" s="24" t="s">
        <v>29</v>
      </c>
      <c r="C296" s="30"/>
      <c r="D296" s="22"/>
      <c r="E296" s="31"/>
      <c r="F296" s="22"/>
      <c r="G296" s="30"/>
      <c r="H296" s="24">
        <v>30.0</v>
      </c>
      <c r="I296" s="24">
        <v>35.0</v>
      </c>
      <c r="J296" s="24">
        <v>36.0</v>
      </c>
      <c r="K296" s="24">
        <f>IF(H296=0,0,CAPITAL!$C$5/H296)
</f>
        <v>5000</v>
      </c>
      <c r="L296" s="24">
        <f>IF(I296=0,0,CAPITAL!$C$6/I296)
</f>
        <v>20000</v>
      </c>
      <c r="M296" s="24">
        <f>IF(J296=0,0,CAPITAL!$C$7/J296)
</f>
        <v>69444.44444</v>
      </c>
      <c r="N296" s="24">
        <f t="shared" si="1"/>
        <v>94444.44444</v>
      </c>
      <c r="O296" s="24">
        <f t="shared" si="2"/>
        <v>0.05294117647</v>
      </c>
      <c r="P296" s="24">
        <f t="shared" si="3"/>
        <v>0.2117647059</v>
      </c>
      <c r="Q296" s="24">
        <f t="shared" si="4"/>
        <v>0.7352941176</v>
      </c>
    </row>
    <row r="297">
      <c r="A297" s="17">
        <v>295.0</v>
      </c>
      <c r="B297" s="24" t="s">
        <v>29</v>
      </c>
      <c r="C297" s="30"/>
      <c r="D297" s="22"/>
      <c r="E297" s="31"/>
      <c r="F297" s="22"/>
      <c r="G297" s="30"/>
      <c r="H297" s="24">
        <v>30.0</v>
      </c>
      <c r="I297" s="24">
        <v>35.0</v>
      </c>
      <c r="J297" s="24">
        <v>36.0</v>
      </c>
      <c r="K297" s="24">
        <f>IF(H297=0,0,CAPITAL!$C$5/H297)
</f>
        <v>5000</v>
      </c>
      <c r="L297" s="24">
        <f>IF(I297=0,0,CAPITAL!$C$6/I297)
</f>
        <v>20000</v>
      </c>
      <c r="M297" s="24">
        <f>IF(J297=0,0,CAPITAL!$C$7/J297)
</f>
        <v>69444.44444</v>
      </c>
      <c r="N297" s="24">
        <f t="shared" si="1"/>
        <v>94444.44444</v>
      </c>
      <c r="O297" s="24">
        <f t="shared" si="2"/>
        <v>0.05294117647</v>
      </c>
      <c r="P297" s="24">
        <f t="shared" si="3"/>
        <v>0.2117647059</v>
      </c>
      <c r="Q297" s="24">
        <f t="shared" si="4"/>
        <v>0.7352941176</v>
      </c>
    </row>
    <row r="298">
      <c r="A298" s="17">
        <v>296.0</v>
      </c>
      <c r="B298" s="24" t="s">
        <v>29</v>
      </c>
      <c r="C298" s="30"/>
      <c r="D298" s="22"/>
      <c r="E298" s="31"/>
      <c r="F298" s="22"/>
      <c r="G298" s="30"/>
      <c r="H298" s="24">
        <v>30.0</v>
      </c>
      <c r="I298" s="24">
        <v>35.0</v>
      </c>
      <c r="J298" s="24">
        <v>36.0</v>
      </c>
      <c r="K298" s="24">
        <f>IF(H298=0,0,CAPITAL!$C$5/H298)
</f>
        <v>5000</v>
      </c>
      <c r="L298" s="24">
        <f>IF(I298=0,0,CAPITAL!$C$6/I298)
</f>
        <v>20000</v>
      </c>
      <c r="M298" s="24">
        <f>IF(J298=0,0,CAPITAL!$C$7/J298)
</f>
        <v>69444.44444</v>
      </c>
      <c r="N298" s="24">
        <f t="shared" si="1"/>
        <v>94444.44444</v>
      </c>
      <c r="O298" s="24">
        <f t="shared" si="2"/>
        <v>0.05294117647</v>
      </c>
      <c r="P298" s="24">
        <f t="shared" si="3"/>
        <v>0.2117647059</v>
      </c>
      <c r="Q298" s="24">
        <f t="shared" si="4"/>
        <v>0.7352941176</v>
      </c>
    </row>
    <row r="299">
      <c r="A299" s="17">
        <v>297.0</v>
      </c>
      <c r="B299" s="24" t="s">
        <v>29</v>
      </c>
      <c r="C299" s="30"/>
      <c r="D299" s="22"/>
      <c r="E299" s="31"/>
      <c r="F299" s="22"/>
      <c r="G299" s="30"/>
      <c r="H299" s="24">
        <v>30.0</v>
      </c>
      <c r="I299" s="24">
        <v>35.0</v>
      </c>
      <c r="J299" s="24">
        <v>36.0</v>
      </c>
      <c r="K299" s="24">
        <f>IF(H299=0,0,CAPITAL!$C$5/H299)
</f>
        <v>5000</v>
      </c>
      <c r="L299" s="24">
        <f>IF(I299=0,0,CAPITAL!$C$6/I299)
</f>
        <v>20000</v>
      </c>
      <c r="M299" s="24">
        <f>IF(J299=0,0,CAPITAL!$C$7/J299)
</f>
        <v>69444.44444</v>
      </c>
      <c r="N299" s="24">
        <f t="shared" si="1"/>
        <v>94444.44444</v>
      </c>
      <c r="O299" s="24">
        <f t="shared" si="2"/>
        <v>0.05294117647</v>
      </c>
      <c r="P299" s="24">
        <f t="shared" si="3"/>
        <v>0.2117647059</v>
      </c>
      <c r="Q299" s="24">
        <f t="shared" si="4"/>
        <v>0.7352941176</v>
      </c>
    </row>
    <row r="300">
      <c r="A300" s="17">
        <v>298.0</v>
      </c>
      <c r="B300" s="24" t="s">
        <v>29</v>
      </c>
      <c r="C300" s="30"/>
      <c r="D300" s="22"/>
      <c r="E300" s="31"/>
      <c r="F300" s="22"/>
      <c r="G300" s="30"/>
      <c r="H300" s="24">
        <v>30.0</v>
      </c>
      <c r="I300" s="24">
        <v>35.0</v>
      </c>
      <c r="J300" s="24">
        <v>36.0</v>
      </c>
      <c r="K300" s="24">
        <f>IF(H300=0,0,CAPITAL!$C$5/H300)
</f>
        <v>5000</v>
      </c>
      <c r="L300" s="24">
        <f>IF(I300=0,0,CAPITAL!$C$6/I300)
</f>
        <v>20000</v>
      </c>
      <c r="M300" s="24">
        <f>IF(J300=0,0,CAPITAL!$C$7/J300)
</f>
        <v>69444.44444</v>
      </c>
      <c r="N300" s="24">
        <f t="shared" si="1"/>
        <v>94444.44444</v>
      </c>
      <c r="O300" s="24">
        <f t="shared" si="2"/>
        <v>0.05294117647</v>
      </c>
      <c r="P300" s="24">
        <f t="shared" si="3"/>
        <v>0.2117647059</v>
      </c>
      <c r="Q300" s="24">
        <f t="shared" si="4"/>
        <v>0.7352941176</v>
      </c>
    </row>
    <row r="301">
      <c r="A301" s="17">
        <v>299.0</v>
      </c>
      <c r="B301" s="24" t="s">
        <v>29</v>
      </c>
      <c r="C301" s="30"/>
      <c r="D301" s="22"/>
      <c r="E301" s="31"/>
      <c r="F301" s="22"/>
      <c r="G301" s="30"/>
      <c r="H301" s="24">
        <v>30.0</v>
      </c>
      <c r="I301" s="24">
        <v>35.0</v>
      </c>
      <c r="J301" s="24">
        <v>36.0</v>
      </c>
      <c r="K301" s="24">
        <f>IF(H301=0,0,CAPITAL!$C$5/H301)
</f>
        <v>5000</v>
      </c>
      <c r="L301" s="24">
        <f>IF(I301=0,0,CAPITAL!$C$6/I301)
</f>
        <v>20000</v>
      </c>
      <c r="M301" s="24">
        <f>IF(J301=0,0,CAPITAL!$C$7/J301)
</f>
        <v>69444.44444</v>
      </c>
      <c r="N301" s="24">
        <f t="shared" si="1"/>
        <v>94444.44444</v>
      </c>
      <c r="O301" s="24">
        <f t="shared" si="2"/>
        <v>0.05294117647</v>
      </c>
      <c r="P301" s="24">
        <f t="shared" si="3"/>
        <v>0.2117647059</v>
      </c>
      <c r="Q301" s="24">
        <f t="shared" si="4"/>
        <v>0.7352941176</v>
      </c>
    </row>
    <row r="302">
      <c r="A302" s="17">
        <v>300.0</v>
      </c>
      <c r="B302" s="24" t="s">
        <v>29</v>
      </c>
      <c r="C302" s="30"/>
      <c r="D302" s="22"/>
      <c r="E302" s="31"/>
      <c r="F302" s="22"/>
      <c r="G302" s="30"/>
      <c r="H302" s="24">
        <v>30.0</v>
      </c>
      <c r="I302" s="24">
        <v>35.0</v>
      </c>
      <c r="J302" s="24">
        <v>36.0</v>
      </c>
      <c r="K302" s="24">
        <f>IF(H302=0,0,CAPITAL!$C$5/H302)
</f>
        <v>5000</v>
      </c>
      <c r="L302" s="24">
        <f>IF(I302=0,0,CAPITAL!$C$6/I302)
</f>
        <v>20000</v>
      </c>
      <c r="M302" s="24">
        <f>IF(J302=0,0,CAPITAL!$C$7/J302)
</f>
        <v>69444.44444</v>
      </c>
      <c r="N302" s="24">
        <f t="shared" si="1"/>
        <v>94444.44444</v>
      </c>
      <c r="O302" s="24">
        <f t="shared" si="2"/>
        <v>0.05294117647</v>
      </c>
      <c r="P302" s="24">
        <f t="shared" si="3"/>
        <v>0.2117647059</v>
      </c>
      <c r="Q302" s="24">
        <f t="shared" si="4"/>
        <v>0.7352941176</v>
      </c>
    </row>
    <row r="303">
      <c r="A303" s="17">
        <v>301.0</v>
      </c>
      <c r="B303" s="24" t="s">
        <v>29</v>
      </c>
      <c r="C303" s="30"/>
      <c r="D303" s="22"/>
      <c r="E303" s="31"/>
      <c r="F303" s="22"/>
      <c r="G303" s="30"/>
      <c r="H303" s="24">
        <v>30.0</v>
      </c>
      <c r="I303" s="24">
        <v>35.0</v>
      </c>
      <c r="J303" s="24">
        <v>36.0</v>
      </c>
      <c r="K303" s="24">
        <f>IF(H303=0,0,CAPITAL!$C$5/H303)
</f>
        <v>5000</v>
      </c>
      <c r="L303" s="24">
        <f>IF(I303=0,0,CAPITAL!$C$6/I303)
</f>
        <v>20000</v>
      </c>
      <c r="M303" s="24">
        <f>IF(J303=0,0,CAPITAL!$C$7/J303)
</f>
        <v>69444.44444</v>
      </c>
      <c r="N303" s="24">
        <f t="shared" si="1"/>
        <v>94444.44444</v>
      </c>
      <c r="O303" s="24">
        <f t="shared" si="2"/>
        <v>0.05294117647</v>
      </c>
      <c r="P303" s="24">
        <f t="shared" si="3"/>
        <v>0.2117647059</v>
      </c>
      <c r="Q303" s="24">
        <f t="shared" si="4"/>
        <v>0.7352941176</v>
      </c>
    </row>
    <row r="304">
      <c r="A304" s="17">
        <v>302.0</v>
      </c>
      <c r="B304" s="24" t="s">
        <v>29</v>
      </c>
      <c r="C304" s="30"/>
      <c r="D304" s="22"/>
      <c r="E304" s="31"/>
      <c r="F304" s="22"/>
      <c r="G304" s="30"/>
      <c r="H304" s="24">
        <v>30.0</v>
      </c>
      <c r="I304" s="24">
        <v>35.0</v>
      </c>
      <c r="J304" s="24">
        <v>36.0</v>
      </c>
      <c r="K304" s="24">
        <f>IF(H304=0,0,CAPITAL!$C$5/H304)
</f>
        <v>5000</v>
      </c>
      <c r="L304" s="24">
        <f>IF(I304=0,0,CAPITAL!$C$6/I304)
</f>
        <v>20000</v>
      </c>
      <c r="M304" s="24">
        <f>IF(J304=0,0,CAPITAL!$C$7/J304)
</f>
        <v>69444.44444</v>
      </c>
      <c r="N304" s="24">
        <f t="shared" si="1"/>
        <v>94444.44444</v>
      </c>
      <c r="O304" s="24">
        <f t="shared" si="2"/>
        <v>0.05294117647</v>
      </c>
      <c r="P304" s="24">
        <f t="shared" si="3"/>
        <v>0.2117647059</v>
      </c>
      <c r="Q304" s="24">
        <f t="shared" si="4"/>
        <v>0.7352941176</v>
      </c>
    </row>
    <row r="305">
      <c r="A305" s="17">
        <v>303.0</v>
      </c>
      <c r="B305" s="24" t="s">
        <v>29</v>
      </c>
      <c r="C305" s="30"/>
      <c r="D305" s="22"/>
      <c r="E305" s="31"/>
      <c r="F305" s="22"/>
      <c r="G305" s="30"/>
      <c r="H305" s="24">
        <v>30.0</v>
      </c>
      <c r="I305" s="24">
        <v>35.0</v>
      </c>
      <c r="J305" s="24">
        <v>36.0</v>
      </c>
      <c r="K305" s="24">
        <f>IF(H305=0,0,CAPITAL!$C$5/H305)
</f>
        <v>5000</v>
      </c>
      <c r="L305" s="24">
        <f>IF(I305=0,0,CAPITAL!$C$6/I305)
</f>
        <v>20000</v>
      </c>
      <c r="M305" s="24">
        <f>IF(J305=0,0,CAPITAL!$C$7/J305)
</f>
        <v>69444.44444</v>
      </c>
      <c r="N305" s="24">
        <f t="shared" si="1"/>
        <v>94444.44444</v>
      </c>
      <c r="O305" s="24">
        <f t="shared" si="2"/>
        <v>0.05294117647</v>
      </c>
      <c r="P305" s="24">
        <f t="shared" si="3"/>
        <v>0.2117647059</v>
      </c>
      <c r="Q305" s="24">
        <f t="shared" si="4"/>
        <v>0.7352941176</v>
      </c>
    </row>
    <row r="306">
      <c r="A306" s="17">
        <v>304.0</v>
      </c>
      <c r="B306" s="24" t="s">
        <v>29</v>
      </c>
      <c r="C306" s="30"/>
      <c r="D306" s="22"/>
      <c r="E306" s="31"/>
      <c r="F306" s="22"/>
      <c r="G306" s="30"/>
      <c r="H306" s="24">
        <v>30.0</v>
      </c>
      <c r="I306" s="24">
        <v>35.0</v>
      </c>
      <c r="J306" s="24">
        <v>36.0</v>
      </c>
      <c r="K306" s="24">
        <f>IF(H306=0,0,CAPITAL!$C$5/H306)
</f>
        <v>5000</v>
      </c>
      <c r="L306" s="24">
        <f>IF(I306=0,0,CAPITAL!$C$6/I306)
</f>
        <v>20000</v>
      </c>
      <c r="M306" s="24">
        <f>IF(J306=0,0,CAPITAL!$C$7/J306)
</f>
        <v>69444.44444</v>
      </c>
      <c r="N306" s="24">
        <f t="shared" si="1"/>
        <v>94444.44444</v>
      </c>
      <c r="O306" s="24">
        <f t="shared" si="2"/>
        <v>0.05294117647</v>
      </c>
      <c r="P306" s="24">
        <f t="shared" si="3"/>
        <v>0.2117647059</v>
      </c>
      <c r="Q306" s="24">
        <f t="shared" si="4"/>
        <v>0.7352941176</v>
      </c>
    </row>
    <row r="307">
      <c r="A307" s="17">
        <v>305.0</v>
      </c>
      <c r="B307" s="24" t="s">
        <v>29</v>
      </c>
      <c r="C307" s="30"/>
      <c r="D307" s="22"/>
      <c r="E307" s="31"/>
      <c r="F307" s="22"/>
      <c r="G307" s="30"/>
      <c r="H307" s="24">
        <v>30.0</v>
      </c>
      <c r="I307" s="24">
        <v>35.0</v>
      </c>
      <c r="J307" s="24">
        <v>36.0</v>
      </c>
      <c r="K307" s="24">
        <f>IF(H307=0,0,CAPITAL!$C$5/H307)
</f>
        <v>5000</v>
      </c>
      <c r="L307" s="24">
        <f>IF(I307=0,0,CAPITAL!$C$6/I307)
</f>
        <v>20000</v>
      </c>
      <c r="M307" s="24">
        <f>IF(J307=0,0,CAPITAL!$C$7/J307)
</f>
        <v>69444.44444</v>
      </c>
      <c r="N307" s="24">
        <f t="shared" si="1"/>
        <v>94444.44444</v>
      </c>
      <c r="O307" s="24">
        <f t="shared" si="2"/>
        <v>0.05294117647</v>
      </c>
      <c r="P307" s="24">
        <f t="shared" si="3"/>
        <v>0.2117647059</v>
      </c>
      <c r="Q307" s="24">
        <f t="shared" si="4"/>
        <v>0.7352941176</v>
      </c>
    </row>
    <row r="308">
      <c r="A308" s="17">
        <v>306.0</v>
      </c>
      <c r="B308" s="24" t="s">
        <v>29</v>
      </c>
      <c r="C308" s="30"/>
      <c r="D308" s="22"/>
      <c r="E308" s="31"/>
      <c r="F308" s="22"/>
      <c r="G308" s="30"/>
      <c r="H308" s="24">
        <v>30.0</v>
      </c>
      <c r="I308" s="24">
        <v>35.0</v>
      </c>
      <c r="J308" s="24">
        <v>36.0</v>
      </c>
      <c r="K308" s="24">
        <f>IF(H308=0,0,CAPITAL!$C$5/H308)
</f>
        <v>5000</v>
      </c>
      <c r="L308" s="24">
        <f>IF(I308=0,0,CAPITAL!$C$6/I308)
</f>
        <v>20000</v>
      </c>
      <c r="M308" s="24">
        <f>IF(J308=0,0,CAPITAL!$C$7/J308)
</f>
        <v>69444.44444</v>
      </c>
      <c r="N308" s="24">
        <f t="shared" si="1"/>
        <v>94444.44444</v>
      </c>
      <c r="O308" s="24">
        <f t="shared" si="2"/>
        <v>0.05294117647</v>
      </c>
      <c r="P308" s="24">
        <f t="shared" si="3"/>
        <v>0.2117647059</v>
      </c>
      <c r="Q308" s="24">
        <f t="shared" si="4"/>
        <v>0.7352941176</v>
      </c>
    </row>
    <row r="309">
      <c r="A309" s="17">
        <v>307.0</v>
      </c>
      <c r="B309" s="24" t="s">
        <v>29</v>
      </c>
      <c r="C309" s="30"/>
      <c r="D309" s="22"/>
      <c r="E309" s="31"/>
      <c r="F309" s="22"/>
      <c r="G309" s="30"/>
      <c r="H309" s="24">
        <v>30.0</v>
      </c>
      <c r="I309" s="24">
        <v>35.0</v>
      </c>
      <c r="J309" s="24">
        <v>36.0</v>
      </c>
      <c r="K309" s="24">
        <f>IF(H309=0,0,CAPITAL!$C$5/H309)
</f>
        <v>5000</v>
      </c>
      <c r="L309" s="24">
        <f>IF(I309=0,0,CAPITAL!$C$6/I309)
</f>
        <v>20000</v>
      </c>
      <c r="M309" s="24">
        <f>IF(J309=0,0,CAPITAL!$C$7/J309)
</f>
        <v>69444.44444</v>
      </c>
      <c r="N309" s="24">
        <f t="shared" si="1"/>
        <v>94444.44444</v>
      </c>
      <c r="O309" s="24">
        <f t="shared" si="2"/>
        <v>0.05294117647</v>
      </c>
      <c r="P309" s="24">
        <f t="shared" si="3"/>
        <v>0.2117647059</v>
      </c>
      <c r="Q309" s="24">
        <f t="shared" si="4"/>
        <v>0.7352941176</v>
      </c>
    </row>
    <row r="310">
      <c r="A310" s="17">
        <v>308.0</v>
      </c>
      <c r="B310" s="24" t="s">
        <v>29</v>
      </c>
      <c r="C310" s="30"/>
      <c r="D310" s="22"/>
      <c r="E310" s="31"/>
      <c r="F310" s="22"/>
      <c r="G310" s="30"/>
      <c r="H310" s="24">
        <v>30.0</v>
      </c>
      <c r="I310" s="24">
        <v>35.0</v>
      </c>
      <c r="J310" s="24">
        <v>36.0</v>
      </c>
      <c r="K310" s="24">
        <f>IF(H310=0,0,CAPITAL!$C$5/H310)
</f>
        <v>5000</v>
      </c>
      <c r="L310" s="24">
        <f>IF(I310=0,0,CAPITAL!$C$6/I310)
</f>
        <v>20000</v>
      </c>
      <c r="M310" s="24">
        <f>IF(J310=0,0,CAPITAL!$C$7/J310)
</f>
        <v>69444.44444</v>
      </c>
      <c r="N310" s="24">
        <f t="shared" si="1"/>
        <v>94444.44444</v>
      </c>
      <c r="O310" s="24">
        <f t="shared" si="2"/>
        <v>0.05294117647</v>
      </c>
      <c r="P310" s="24">
        <f t="shared" si="3"/>
        <v>0.2117647059</v>
      </c>
      <c r="Q310" s="24">
        <f t="shared" si="4"/>
        <v>0.7352941176</v>
      </c>
    </row>
    <row r="311">
      <c r="A311" s="17">
        <v>309.0</v>
      </c>
      <c r="B311" s="24" t="s">
        <v>29</v>
      </c>
      <c r="C311" s="30"/>
      <c r="D311" s="22"/>
      <c r="E311" s="31"/>
      <c r="F311" s="22"/>
      <c r="G311" s="30"/>
      <c r="H311" s="24">
        <v>30.0</v>
      </c>
      <c r="I311" s="24">
        <v>35.0</v>
      </c>
      <c r="J311" s="24">
        <v>36.0</v>
      </c>
      <c r="K311" s="24">
        <f>IF(H311=0,0,CAPITAL!$C$5/H311)
</f>
        <v>5000</v>
      </c>
      <c r="L311" s="24">
        <f>IF(I311=0,0,CAPITAL!$C$6/I311)
</f>
        <v>20000</v>
      </c>
      <c r="M311" s="24">
        <f>IF(J311=0,0,CAPITAL!$C$7/J311)
</f>
        <v>69444.44444</v>
      </c>
      <c r="N311" s="24">
        <f t="shared" si="1"/>
        <v>94444.44444</v>
      </c>
      <c r="O311" s="24">
        <f t="shared" si="2"/>
        <v>0.05294117647</v>
      </c>
      <c r="P311" s="24">
        <f t="shared" si="3"/>
        <v>0.2117647059</v>
      </c>
      <c r="Q311" s="24">
        <f t="shared" si="4"/>
        <v>0.7352941176</v>
      </c>
    </row>
    <row r="312">
      <c r="A312" s="17">
        <v>310.0</v>
      </c>
      <c r="B312" s="24" t="s">
        <v>29</v>
      </c>
      <c r="C312" s="30"/>
      <c r="D312" s="22"/>
      <c r="E312" s="31"/>
      <c r="F312" s="22"/>
      <c r="G312" s="30"/>
      <c r="H312" s="24">
        <v>30.0</v>
      </c>
      <c r="I312" s="24">
        <v>35.0</v>
      </c>
      <c r="J312" s="24">
        <v>36.0</v>
      </c>
      <c r="K312" s="24">
        <f>IF(H312=0,0,CAPITAL!$C$5/H312)
</f>
        <v>5000</v>
      </c>
      <c r="L312" s="24">
        <f>IF(I312=0,0,CAPITAL!$C$6/I312)
</f>
        <v>20000</v>
      </c>
      <c r="M312" s="24">
        <f>IF(J312=0,0,CAPITAL!$C$7/J312)
</f>
        <v>69444.44444</v>
      </c>
      <c r="N312" s="24">
        <f t="shared" si="1"/>
        <v>94444.44444</v>
      </c>
      <c r="O312" s="24">
        <f t="shared" si="2"/>
        <v>0.05294117647</v>
      </c>
      <c r="P312" s="24">
        <f t="shared" si="3"/>
        <v>0.2117647059</v>
      </c>
      <c r="Q312" s="24">
        <f t="shared" si="4"/>
        <v>0.7352941176</v>
      </c>
    </row>
    <row r="313">
      <c r="A313" s="17">
        <v>311.0</v>
      </c>
      <c r="B313" s="24" t="s">
        <v>29</v>
      </c>
      <c r="C313" s="30"/>
      <c r="D313" s="22"/>
      <c r="E313" s="31"/>
      <c r="F313" s="22"/>
      <c r="G313" s="30"/>
      <c r="H313" s="24">
        <v>30.0</v>
      </c>
      <c r="I313" s="24">
        <v>35.0</v>
      </c>
      <c r="J313" s="24">
        <v>36.0</v>
      </c>
      <c r="K313" s="24">
        <f>IF(H313=0,0,CAPITAL!$C$5/H313)
</f>
        <v>5000</v>
      </c>
      <c r="L313" s="24">
        <f>IF(I313=0,0,CAPITAL!$C$6/I313)
</f>
        <v>20000</v>
      </c>
      <c r="M313" s="24">
        <f>IF(J313=0,0,CAPITAL!$C$7/J313)
</f>
        <v>69444.44444</v>
      </c>
      <c r="N313" s="24">
        <f t="shared" si="1"/>
        <v>94444.44444</v>
      </c>
      <c r="O313" s="24">
        <f t="shared" si="2"/>
        <v>0.05294117647</v>
      </c>
      <c r="P313" s="24">
        <f t="shared" si="3"/>
        <v>0.2117647059</v>
      </c>
      <c r="Q313" s="24">
        <f t="shared" si="4"/>
        <v>0.7352941176</v>
      </c>
    </row>
    <row r="314">
      <c r="A314" s="17">
        <v>312.0</v>
      </c>
      <c r="B314" s="24" t="s">
        <v>29</v>
      </c>
      <c r="C314" s="30"/>
      <c r="D314" s="22"/>
      <c r="E314" s="31"/>
      <c r="F314" s="22"/>
      <c r="G314" s="30"/>
      <c r="H314" s="24">
        <v>30.0</v>
      </c>
      <c r="I314" s="24">
        <v>35.0</v>
      </c>
      <c r="J314" s="24">
        <v>36.0</v>
      </c>
      <c r="K314" s="24">
        <f>IF(H314=0,0,CAPITAL!$C$5/H314)
</f>
        <v>5000</v>
      </c>
      <c r="L314" s="24">
        <f>IF(I314=0,0,CAPITAL!$C$6/I314)
</f>
        <v>20000</v>
      </c>
      <c r="M314" s="24">
        <f>IF(J314=0,0,CAPITAL!$C$7/J314)
</f>
        <v>69444.44444</v>
      </c>
      <c r="N314" s="24">
        <f t="shared" si="1"/>
        <v>94444.44444</v>
      </c>
      <c r="O314" s="24">
        <f t="shared" si="2"/>
        <v>0.05294117647</v>
      </c>
      <c r="P314" s="24">
        <f t="shared" si="3"/>
        <v>0.2117647059</v>
      </c>
      <c r="Q314" s="24">
        <f t="shared" si="4"/>
        <v>0.7352941176</v>
      </c>
    </row>
    <row r="315">
      <c r="A315" s="17">
        <v>313.0</v>
      </c>
      <c r="B315" s="24" t="s">
        <v>29</v>
      </c>
      <c r="C315" s="30"/>
      <c r="D315" s="22"/>
      <c r="E315" s="31"/>
      <c r="F315" s="22"/>
      <c r="G315" s="30"/>
      <c r="H315" s="24">
        <v>30.0</v>
      </c>
      <c r="I315" s="24">
        <v>35.0</v>
      </c>
      <c r="J315" s="24">
        <v>36.0</v>
      </c>
      <c r="K315" s="24">
        <f>IF(H315=0,0,CAPITAL!$C$5/H315)
</f>
        <v>5000</v>
      </c>
      <c r="L315" s="24">
        <f>IF(I315=0,0,CAPITAL!$C$6/I315)
</f>
        <v>20000</v>
      </c>
      <c r="M315" s="24">
        <f>IF(J315=0,0,CAPITAL!$C$7/J315)
</f>
        <v>69444.44444</v>
      </c>
      <c r="N315" s="24">
        <f t="shared" si="1"/>
        <v>94444.44444</v>
      </c>
      <c r="O315" s="24">
        <f t="shared" si="2"/>
        <v>0.05294117647</v>
      </c>
      <c r="P315" s="24">
        <f t="shared" si="3"/>
        <v>0.2117647059</v>
      </c>
      <c r="Q315" s="24">
        <f t="shared" si="4"/>
        <v>0.7352941176</v>
      </c>
    </row>
    <row r="316">
      <c r="A316" s="17">
        <v>314.0</v>
      </c>
      <c r="B316" s="24" t="s">
        <v>29</v>
      </c>
      <c r="C316" s="30"/>
      <c r="D316" s="22"/>
      <c r="E316" s="31"/>
      <c r="F316" s="22"/>
      <c r="G316" s="30"/>
      <c r="H316" s="24">
        <v>30.0</v>
      </c>
      <c r="I316" s="24">
        <v>35.0</v>
      </c>
      <c r="J316" s="24">
        <v>36.0</v>
      </c>
      <c r="K316" s="24">
        <f>IF(H316=0,0,CAPITAL!$C$5/H316)
</f>
        <v>5000</v>
      </c>
      <c r="L316" s="24">
        <f>IF(I316=0,0,CAPITAL!$C$6/I316)
</f>
        <v>20000</v>
      </c>
      <c r="M316" s="24">
        <f>IF(J316=0,0,CAPITAL!$C$7/J316)
</f>
        <v>69444.44444</v>
      </c>
      <c r="N316" s="24">
        <f t="shared" si="1"/>
        <v>94444.44444</v>
      </c>
      <c r="O316" s="24">
        <f t="shared" si="2"/>
        <v>0.05294117647</v>
      </c>
      <c r="P316" s="24">
        <f t="shared" si="3"/>
        <v>0.2117647059</v>
      </c>
      <c r="Q316" s="24">
        <f t="shared" si="4"/>
        <v>0.7352941176</v>
      </c>
    </row>
    <row r="317">
      <c r="A317" s="17">
        <v>315.0</v>
      </c>
      <c r="B317" s="24" t="s">
        <v>29</v>
      </c>
      <c r="C317" s="30"/>
      <c r="D317" s="22"/>
      <c r="E317" s="31"/>
      <c r="F317" s="22"/>
      <c r="G317" s="30"/>
      <c r="H317" s="24">
        <v>30.0</v>
      </c>
      <c r="I317" s="24">
        <v>35.0</v>
      </c>
      <c r="J317" s="24">
        <v>36.0</v>
      </c>
      <c r="K317" s="24">
        <f>IF(H317=0,0,CAPITAL!$C$5/H317)
</f>
        <v>5000</v>
      </c>
      <c r="L317" s="24">
        <f>IF(I317=0,0,CAPITAL!$C$6/I317)
</f>
        <v>20000</v>
      </c>
      <c r="M317" s="24">
        <f>IF(J317=0,0,CAPITAL!$C$7/J317)
</f>
        <v>69444.44444</v>
      </c>
      <c r="N317" s="24">
        <f t="shared" si="1"/>
        <v>94444.44444</v>
      </c>
      <c r="O317" s="24">
        <f t="shared" si="2"/>
        <v>0.05294117647</v>
      </c>
      <c r="P317" s="24">
        <f t="shared" si="3"/>
        <v>0.2117647059</v>
      </c>
      <c r="Q317" s="24">
        <f t="shared" si="4"/>
        <v>0.7352941176</v>
      </c>
    </row>
    <row r="318">
      <c r="A318" s="17">
        <v>316.0</v>
      </c>
      <c r="B318" s="24" t="s">
        <v>29</v>
      </c>
      <c r="C318" s="30"/>
      <c r="D318" s="22"/>
      <c r="E318" s="31"/>
      <c r="F318" s="22"/>
      <c r="G318" s="30"/>
      <c r="H318" s="24">
        <v>30.0</v>
      </c>
      <c r="I318" s="24">
        <v>35.0</v>
      </c>
      <c r="J318" s="24">
        <v>36.0</v>
      </c>
      <c r="K318" s="24">
        <f>IF(H318=0,0,CAPITAL!$C$5/H318)
</f>
        <v>5000</v>
      </c>
      <c r="L318" s="24">
        <f>IF(I318=0,0,CAPITAL!$C$6/I318)
</f>
        <v>20000</v>
      </c>
      <c r="M318" s="24">
        <f>IF(J318=0,0,CAPITAL!$C$7/J318)
</f>
        <v>69444.44444</v>
      </c>
      <c r="N318" s="24">
        <f t="shared" si="1"/>
        <v>94444.44444</v>
      </c>
      <c r="O318" s="24">
        <f t="shared" si="2"/>
        <v>0.05294117647</v>
      </c>
      <c r="P318" s="24">
        <f t="shared" si="3"/>
        <v>0.2117647059</v>
      </c>
      <c r="Q318" s="24">
        <f t="shared" si="4"/>
        <v>0.7352941176</v>
      </c>
    </row>
    <row r="319">
      <c r="A319" s="17">
        <v>317.0</v>
      </c>
      <c r="B319" s="24" t="s">
        <v>29</v>
      </c>
      <c r="C319" s="30"/>
      <c r="D319" s="22"/>
      <c r="E319" s="31"/>
      <c r="F319" s="22"/>
      <c r="G319" s="30"/>
      <c r="H319" s="24">
        <v>30.0</v>
      </c>
      <c r="I319" s="24">
        <v>35.0</v>
      </c>
      <c r="J319" s="24">
        <v>36.0</v>
      </c>
      <c r="K319" s="24">
        <f>IF(H319=0,0,CAPITAL!$C$5/H319)
</f>
        <v>5000</v>
      </c>
      <c r="L319" s="24">
        <f>IF(I319=0,0,CAPITAL!$C$6/I319)
</f>
        <v>20000</v>
      </c>
      <c r="M319" s="24">
        <f>IF(J319=0,0,CAPITAL!$C$7/J319)
</f>
        <v>69444.44444</v>
      </c>
      <c r="N319" s="24">
        <f t="shared" si="1"/>
        <v>94444.44444</v>
      </c>
      <c r="O319" s="24">
        <f t="shared" si="2"/>
        <v>0.05294117647</v>
      </c>
      <c r="P319" s="24">
        <f t="shared" si="3"/>
        <v>0.2117647059</v>
      </c>
      <c r="Q319" s="24">
        <f t="shared" si="4"/>
        <v>0.7352941176</v>
      </c>
    </row>
    <row r="320">
      <c r="A320" s="17">
        <v>318.0</v>
      </c>
      <c r="B320" s="24" t="s">
        <v>29</v>
      </c>
      <c r="C320" s="30"/>
      <c r="D320" s="22"/>
      <c r="E320" s="31"/>
      <c r="F320" s="22"/>
      <c r="G320" s="30"/>
      <c r="H320" s="24">
        <v>30.0</v>
      </c>
      <c r="I320" s="24">
        <v>35.0</v>
      </c>
      <c r="J320" s="24">
        <v>36.0</v>
      </c>
      <c r="K320" s="24">
        <f>IF(H320=0,0,CAPITAL!$C$5/H320)
</f>
        <v>5000</v>
      </c>
      <c r="L320" s="24">
        <f>IF(I320=0,0,CAPITAL!$C$6/I320)
</f>
        <v>20000</v>
      </c>
      <c r="M320" s="24">
        <f>IF(J320=0,0,CAPITAL!$C$7/J320)
</f>
        <v>69444.44444</v>
      </c>
      <c r="N320" s="24">
        <f t="shared" si="1"/>
        <v>94444.44444</v>
      </c>
      <c r="O320" s="24">
        <f t="shared" si="2"/>
        <v>0.05294117647</v>
      </c>
      <c r="P320" s="24">
        <f t="shared" si="3"/>
        <v>0.2117647059</v>
      </c>
      <c r="Q320" s="24">
        <f t="shared" si="4"/>
        <v>0.7352941176</v>
      </c>
    </row>
    <row r="321">
      <c r="A321" s="17">
        <v>319.0</v>
      </c>
      <c r="B321" s="24" t="s">
        <v>29</v>
      </c>
      <c r="C321" s="30"/>
      <c r="D321" s="22"/>
      <c r="E321" s="31"/>
      <c r="F321" s="22"/>
      <c r="G321" s="30"/>
      <c r="H321" s="24">
        <v>30.0</v>
      </c>
      <c r="I321" s="24">
        <v>35.0</v>
      </c>
      <c r="J321" s="24">
        <v>36.0</v>
      </c>
      <c r="K321" s="24">
        <f>IF(H321=0,0,CAPITAL!$C$5/H321)
</f>
        <v>5000</v>
      </c>
      <c r="L321" s="24">
        <f>IF(I321=0,0,CAPITAL!$C$6/I321)
</f>
        <v>20000</v>
      </c>
      <c r="M321" s="24">
        <f>IF(J321=0,0,CAPITAL!$C$7/J321)
</f>
        <v>69444.44444</v>
      </c>
      <c r="N321" s="24">
        <f t="shared" si="1"/>
        <v>94444.44444</v>
      </c>
      <c r="O321" s="24">
        <f t="shared" si="2"/>
        <v>0.05294117647</v>
      </c>
      <c r="P321" s="24">
        <f t="shared" si="3"/>
        <v>0.2117647059</v>
      </c>
      <c r="Q321" s="24">
        <f t="shared" si="4"/>
        <v>0.7352941176</v>
      </c>
    </row>
    <row r="322">
      <c r="A322" s="17">
        <v>320.0</v>
      </c>
      <c r="B322" s="24" t="s">
        <v>29</v>
      </c>
      <c r="C322" s="30"/>
      <c r="D322" s="22"/>
      <c r="E322" s="31"/>
      <c r="F322" s="22"/>
      <c r="G322" s="30"/>
      <c r="H322" s="24">
        <v>30.0</v>
      </c>
      <c r="I322" s="24">
        <v>35.0</v>
      </c>
      <c r="J322" s="24">
        <v>36.0</v>
      </c>
      <c r="K322" s="24">
        <f>IF(H322=0,0,CAPITAL!$C$5/H322)
</f>
        <v>5000</v>
      </c>
      <c r="L322" s="24">
        <f>IF(I322=0,0,CAPITAL!$C$6/I322)
</f>
        <v>20000</v>
      </c>
      <c r="M322" s="24">
        <f>IF(J322=0,0,CAPITAL!$C$7/J322)
</f>
        <v>69444.44444</v>
      </c>
      <c r="N322" s="24">
        <f t="shared" si="1"/>
        <v>94444.44444</v>
      </c>
      <c r="O322" s="24">
        <f t="shared" si="2"/>
        <v>0.05294117647</v>
      </c>
      <c r="P322" s="24">
        <f t="shared" si="3"/>
        <v>0.2117647059</v>
      </c>
      <c r="Q322" s="24">
        <f t="shared" si="4"/>
        <v>0.7352941176</v>
      </c>
    </row>
    <row r="323">
      <c r="A323" s="17">
        <v>321.0</v>
      </c>
      <c r="B323" s="24" t="s">
        <v>29</v>
      </c>
      <c r="C323" s="30"/>
      <c r="D323" s="22"/>
      <c r="E323" s="31"/>
      <c r="F323" s="22"/>
      <c r="G323" s="30"/>
      <c r="H323" s="24">
        <v>30.0</v>
      </c>
      <c r="I323" s="24">
        <v>35.0</v>
      </c>
      <c r="J323" s="24">
        <v>36.0</v>
      </c>
      <c r="K323" s="24">
        <f>IF(H323=0,0,CAPITAL!$C$5/H323)
</f>
        <v>5000</v>
      </c>
      <c r="L323" s="24">
        <f>IF(I323=0,0,CAPITAL!$C$6/I323)
</f>
        <v>20000</v>
      </c>
      <c r="M323" s="24">
        <f>IF(J323=0,0,CAPITAL!$C$7/J323)
</f>
        <v>69444.44444</v>
      </c>
      <c r="N323" s="24">
        <f t="shared" si="1"/>
        <v>94444.44444</v>
      </c>
      <c r="O323" s="24">
        <f t="shared" si="2"/>
        <v>0.05294117647</v>
      </c>
      <c r="P323" s="24">
        <f t="shared" si="3"/>
        <v>0.2117647059</v>
      </c>
      <c r="Q323" s="24">
        <f t="shared" si="4"/>
        <v>0.7352941176</v>
      </c>
    </row>
    <row r="324">
      <c r="A324" s="17">
        <v>322.0</v>
      </c>
      <c r="B324" s="24" t="s">
        <v>29</v>
      </c>
      <c r="C324" s="30"/>
      <c r="D324" s="22"/>
      <c r="E324" s="31"/>
      <c r="F324" s="22"/>
      <c r="G324" s="30"/>
      <c r="H324" s="24">
        <v>30.0</v>
      </c>
      <c r="I324" s="24">
        <v>35.0</v>
      </c>
      <c r="J324" s="24">
        <v>36.0</v>
      </c>
      <c r="K324" s="24">
        <f>IF(H324=0,0,CAPITAL!$C$5/H324)
</f>
        <v>5000</v>
      </c>
      <c r="L324" s="24">
        <f>IF(I324=0,0,CAPITAL!$C$6/I324)
</f>
        <v>20000</v>
      </c>
      <c r="M324" s="24">
        <f>IF(J324=0,0,CAPITAL!$C$7/J324)
</f>
        <v>69444.44444</v>
      </c>
      <c r="N324" s="24">
        <f t="shared" si="1"/>
        <v>94444.44444</v>
      </c>
      <c r="O324" s="24">
        <f t="shared" si="2"/>
        <v>0.05294117647</v>
      </c>
      <c r="P324" s="24">
        <f t="shared" si="3"/>
        <v>0.2117647059</v>
      </c>
      <c r="Q324" s="24">
        <f t="shared" si="4"/>
        <v>0.7352941176</v>
      </c>
    </row>
    <row r="325">
      <c r="A325" s="17">
        <v>323.0</v>
      </c>
      <c r="B325" s="24" t="s">
        <v>29</v>
      </c>
      <c r="C325" s="30"/>
      <c r="D325" s="22"/>
      <c r="E325" s="31"/>
      <c r="F325" s="22"/>
      <c r="G325" s="30"/>
      <c r="H325" s="24">
        <v>30.0</v>
      </c>
      <c r="I325" s="24">
        <v>35.0</v>
      </c>
      <c r="J325" s="24">
        <v>36.0</v>
      </c>
      <c r="K325" s="24">
        <f>IF(H325=0,0,CAPITAL!$C$5/H325)
</f>
        <v>5000</v>
      </c>
      <c r="L325" s="24">
        <f>IF(I325=0,0,CAPITAL!$C$6/I325)
</f>
        <v>20000</v>
      </c>
      <c r="M325" s="24">
        <f>IF(J325=0,0,CAPITAL!$C$7/J325)
</f>
        <v>69444.44444</v>
      </c>
      <c r="N325" s="24">
        <f t="shared" si="1"/>
        <v>94444.44444</v>
      </c>
      <c r="O325" s="24">
        <f t="shared" si="2"/>
        <v>0.05294117647</v>
      </c>
      <c r="P325" s="24">
        <f t="shared" si="3"/>
        <v>0.2117647059</v>
      </c>
      <c r="Q325" s="24">
        <f t="shared" si="4"/>
        <v>0.7352941176</v>
      </c>
    </row>
    <row r="326">
      <c r="A326" s="17">
        <v>324.0</v>
      </c>
      <c r="B326" s="24" t="s">
        <v>29</v>
      </c>
      <c r="C326" s="30"/>
      <c r="D326" s="22"/>
      <c r="E326" s="31"/>
      <c r="F326" s="22"/>
      <c r="G326" s="30"/>
      <c r="H326" s="24">
        <v>30.0</v>
      </c>
      <c r="I326" s="24">
        <v>35.0</v>
      </c>
      <c r="J326" s="24">
        <v>36.0</v>
      </c>
      <c r="K326" s="24">
        <f>IF(H326=0,0,CAPITAL!$C$5/H326)
</f>
        <v>5000</v>
      </c>
      <c r="L326" s="24">
        <f>IF(I326=0,0,CAPITAL!$C$6/I326)
</f>
        <v>20000</v>
      </c>
      <c r="M326" s="24">
        <f>IF(J326=0,0,CAPITAL!$C$7/J326)
</f>
        <v>69444.44444</v>
      </c>
      <c r="N326" s="24">
        <f t="shared" si="1"/>
        <v>94444.44444</v>
      </c>
      <c r="O326" s="24">
        <f t="shared" si="2"/>
        <v>0.05294117647</v>
      </c>
      <c r="P326" s="24">
        <f t="shared" si="3"/>
        <v>0.2117647059</v>
      </c>
      <c r="Q326" s="24">
        <f t="shared" si="4"/>
        <v>0.7352941176</v>
      </c>
    </row>
    <row r="327">
      <c r="A327" s="17">
        <v>325.0</v>
      </c>
      <c r="B327" s="24" t="s">
        <v>29</v>
      </c>
      <c r="C327" s="30"/>
      <c r="D327" s="22"/>
      <c r="E327" s="31"/>
      <c r="F327" s="22"/>
      <c r="G327" s="30"/>
      <c r="H327" s="24">
        <v>30.0</v>
      </c>
      <c r="I327" s="24">
        <v>35.0</v>
      </c>
      <c r="J327" s="24">
        <v>36.0</v>
      </c>
      <c r="K327" s="24">
        <f>IF(H327=0,0,CAPITAL!$C$5/H327)
</f>
        <v>5000</v>
      </c>
      <c r="L327" s="24">
        <f>IF(I327=0,0,CAPITAL!$C$6/I327)
</f>
        <v>20000</v>
      </c>
      <c r="M327" s="24">
        <f>IF(J327=0,0,CAPITAL!$C$7/J327)
</f>
        <v>69444.44444</v>
      </c>
      <c r="N327" s="24">
        <f t="shared" si="1"/>
        <v>94444.44444</v>
      </c>
      <c r="O327" s="24">
        <f t="shared" si="2"/>
        <v>0.05294117647</v>
      </c>
      <c r="P327" s="24">
        <f t="shared" si="3"/>
        <v>0.2117647059</v>
      </c>
      <c r="Q327" s="24">
        <f t="shared" si="4"/>
        <v>0.7352941176</v>
      </c>
    </row>
    <row r="328">
      <c r="A328" s="17">
        <v>326.0</v>
      </c>
      <c r="B328" s="24" t="s">
        <v>29</v>
      </c>
      <c r="C328" s="30"/>
      <c r="D328" s="22"/>
      <c r="E328" s="31"/>
      <c r="F328" s="22"/>
      <c r="G328" s="30"/>
      <c r="H328" s="24">
        <v>30.0</v>
      </c>
      <c r="I328" s="24">
        <v>35.0</v>
      </c>
      <c r="J328" s="24">
        <v>36.0</v>
      </c>
      <c r="K328" s="24">
        <f>IF(H328=0,0,CAPITAL!$C$5/H328)
</f>
        <v>5000</v>
      </c>
      <c r="L328" s="24">
        <f>IF(I328=0,0,CAPITAL!$C$6/I328)
</f>
        <v>20000</v>
      </c>
      <c r="M328" s="24">
        <f>IF(J328=0,0,CAPITAL!$C$7/J328)
</f>
        <v>69444.44444</v>
      </c>
      <c r="N328" s="24">
        <f t="shared" si="1"/>
        <v>94444.44444</v>
      </c>
      <c r="O328" s="24">
        <f t="shared" si="2"/>
        <v>0.05294117647</v>
      </c>
      <c r="P328" s="24">
        <f t="shared" si="3"/>
        <v>0.2117647059</v>
      </c>
      <c r="Q328" s="24">
        <f t="shared" si="4"/>
        <v>0.7352941176</v>
      </c>
    </row>
    <row r="329">
      <c r="A329" s="17">
        <v>327.0</v>
      </c>
      <c r="B329" s="24" t="s">
        <v>29</v>
      </c>
      <c r="C329" s="30"/>
      <c r="D329" s="22"/>
      <c r="E329" s="31"/>
      <c r="F329" s="22"/>
      <c r="G329" s="30"/>
      <c r="H329" s="24">
        <v>30.0</v>
      </c>
      <c r="I329" s="24">
        <v>35.0</v>
      </c>
      <c r="J329" s="24">
        <v>36.0</v>
      </c>
      <c r="K329" s="24">
        <f>IF(H329=0,0,CAPITAL!$C$5/H329)
</f>
        <v>5000</v>
      </c>
      <c r="L329" s="24">
        <f>IF(I329=0,0,CAPITAL!$C$6/I329)
</f>
        <v>20000</v>
      </c>
      <c r="M329" s="24">
        <f>IF(J329=0,0,CAPITAL!$C$7/J329)
</f>
        <v>69444.44444</v>
      </c>
      <c r="N329" s="24">
        <f t="shared" si="1"/>
        <v>94444.44444</v>
      </c>
      <c r="O329" s="24">
        <f t="shared" si="2"/>
        <v>0.05294117647</v>
      </c>
      <c r="P329" s="24">
        <f t="shared" si="3"/>
        <v>0.2117647059</v>
      </c>
      <c r="Q329" s="24">
        <f t="shared" si="4"/>
        <v>0.7352941176</v>
      </c>
    </row>
    <row r="330">
      <c r="A330" s="17">
        <v>328.0</v>
      </c>
      <c r="B330" s="24" t="s">
        <v>29</v>
      </c>
      <c r="C330" s="30"/>
      <c r="D330" s="22"/>
      <c r="E330" s="31"/>
      <c r="F330" s="22"/>
      <c r="G330" s="30"/>
      <c r="H330" s="24">
        <v>30.0</v>
      </c>
      <c r="I330" s="24">
        <v>35.0</v>
      </c>
      <c r="J330" s="24">
        <v>36.0</v>
      </c>
      <c r="K330" s="24">
        <f>IF(H330=0,0,CAPITAL!$C$5/H330)
</f>
        <v>5000</v>
      </c>
      <c r="L330" s="24">
        <f>IF(I330=0,0,CAPITAL!$C$6/I330)
</f>
        <v>20000</v>
      </c>
      <c r="M330" s="24">
        <f>IF(J330=0,0,CAPITAL!$C$7/J330)
</f>
        <v>69444.44444</v>
      </c>
      <c r="N330" s="24">
        <f t="shared" si="1"/>
        <v>94444.44444</v>
      </c>
      <c r="O330" s="24">
        <f t="shared" si="2"/>
        <v>0.05294117647</v>
      </c>
      <c r="P330" s="24">
        <f t="shared" si="3"/>
        <v>0.2117647059</v>
      </c>
      <c r="Q330" s="24">
        <f t="shared" si="4"/>
        <v>0.7352941176</v>
      </c>
    </row>
    <row r="331">
      <c r="A331" s="17">
        <v>329.0</v>
      </c>
      <c r="B331" s="24" t="s">
        <v>29</v>
      </c>
      <c r="C331" s="30"/>
      <c r="D331" s="22"/>
      <c r="E331" s="31"/>
      <c r="F331" s="22"/>
      <c r="G331" s="30"/>
      <c r="H331" s="24">
        <v>30.0</v>
      </c>
      <c r="I331" s="24">
        <v>35.0</v>
      </c>
      <c r="J331" s="24">
        <v>36.0</v>
      </c>
      <c r="K331" s="24">
        <f>IF(H331=0,0,CAPITAL!$C$5/H331)
</f>
        <v>5000</v>
      </c>
      <c r="L331" s="24">
        <f>IF(I331=0,0,CAPITAL!$C$6/I331)
</f>
        <v>20000</v>
      </c>
      <c r="M331" s="24">
        <f>IF(J331=0,0,CAPITAL!$C$7/J331)
</f>
        <v>69444.44444</v>
      </c>
      <c r="N331" s="24">
        <f t="shared" si="1"/>
        <v>94444.44444</v>
      </c>
      <c r="O331" s="24">
        <f t="shared" si="2"/>
        <v>0.05294117647</v>
      </c>
      <c r="P331" s="24">
        <f t="shared" si="3"/>
        <v>0.2117647059</v>
      </c>
      <c r="Q331" s="24">
        <f t="shared" si="4"/>
        <v>0.7352941176</v>
      </c>
    </row>
    <row r="332">
      <c r="A332" s="17">
        <v>330.0</v>
      </c>
      <c r="B332" s="24" t="s">
        <v>29</v>
      </c>
      <c r="C332" s="30"/>
      <c r="D332" s="22"/>
      <c r="E332" s="31"/>
      <c r="F332" s="22"/>
      <c r="G332" s="30"/>
      <c r="H332" s="24">
        <v>30.0</v>
      </c>
      <c r="I332" s="24">
        <v>35.0</v>
      </c>
      <c r="J332" s="24">
        <v>36.0</v>
      </c>
      <c r="K332" s="24">
        <f>IF(H332=0,0,CAPITAL!$C$5/H332)
</f>
        <v>5000</v>
      </c>
      <c r="L332" s="24">
        <f>IF(I332=0,0,CAPITAL!$C$6/I332)
</f>
        <v>20000</v>
      </c>
      <c r="M332" s="24">
        <f>IF(J332=0,0,CAPITAL!$C$7/J332)
</f>
        <v>69444.44444</v>
      </c>
      <c r="N332" s="24">
        <f t="shared" si="1"/>
        <v>94444.44444</v>
      </c>
      <c r="O332" s="24">
        <f t="shared" si="2"/>
        <v>0.05294117647</v>
      </c>
      <c r="P332" s="24">
        <f t="shared" si="3"/>
        <v>0.2117647059</v>
      </c>
      <c r="Q332" s="24">
        <f t="shared" si="4"/>
        <v>0.7352941176</v>
      </c>
    </row>
    <row r="333">
      <c r="A333" s="17">
        <v>331.0</v>
      </c>
      <c r="B333" s="24" t="s">
        <v>29</v>
      </c>
      <c r="C333" s="30"/>
      <c r="D333" s="22"/>
      <c r="E333" s="31"/>
      <c r="F333" s="22"/>
      <c r="G333" s="30"/>
      <c r="H333" s="24">
        <v>30.0</v>
      </c>
      <c r="I333" s="24">
        <v>35.0</v>
      </c>
      <c r="J333" s="24">
        <v>36.0</v>
      </c>
      <c r="K333" s="24">
        <f>IF(H333=0,0,CAPITAL!$C$5/H333)
</f>
        <v>5000</v>
      </c>
      <c r="L333" s="24">
        <f>IF(I333=0,0,CAPITAL!$C$6/I333)
</f>
        <v>20000</v>
      </c>
      <c r="M333" s="24">
        <f>IF(J333=0,0,CAPITAL!$C$7/J333)
</f>
        <v>69444.44444</v>
      </c>
      <c r="N333" s="24">
        <f t="shared" si="1"/>
        <v>94444.44444</v>
      </c>
      <c r="O333" s="24">
        <f t="shared" si="2"/>
        <v>0.05294117647</v>
      </c>
      <c r="P333" s="24">
        <f t="shared" si="3"/>
        <v>0.2117647059</v>
      </c>
      <c r="Q333" s="24">
        <f t="shared" si="4"/>
        <v>0.7352941176</v>
      </c>
    </row>
    <row r="334">
      <c r="A334" s="17">
        <v>332.0</v>
      </c>
      <c r="B334" s="24" t="s">
        <v>29</v>
      </c>
      <c r="C334" s="30"/>
      <c r="D334" s="22"/>
      <c r="E334" s="31"/>
      <c r="F334" s="22"/>
      <c r="G334" s="30"/>
      <c r="H334" s="24">
        <v>30.0</v>
      </c>
      <c r="I334" s="24">
        <v>35.0</v>
      </c>
      <c r="J334" s="24">
        <v>36.0</v>
      </c>
      <c r="K334" s="24">
        <f>IF(H334=0,0,CAPITAL!$C$5/H334)
</f>
        <v>5000</v>
      </c>
      <c r="L334" s="24">
        <f>IF(I334=0,0,CAPITAL!$C$6/I334)
</f>
        <v>20000</v>
      </c>
      <c r="M334" s="24">
        <f>IF(J334=0,0,CAPITAL!$C$7/J334)
</f>
        <v>69444.44444</v>
      </c>
      <c r="N334" s="24">
        <f t="shared" si="1"/>
        <v>94444.44444</v>
      </c>
      <c r="O334" s="24">
        <f t="shared" si="2"/>
        <v>0.05294117647</v>
      </c>
      <c r="P334" s="24">
        <f t="shared" si="3"/>
        <v>0.2117647059</v>
      </c>
      <c r="Q334" s="24">
        <f t="shared" si="4"/>
        <v>0.7352941176</v>
      </c>
    </row>
    <row r="335">
      <c r="A335" s="17">
        <v>333.0</v>
      </c>
      <c r="B335" s="24" t="s">
        <v>29</v>
      </c>
      <c r="C335" s="30"/>
      <c r="D335" s="22"/>
      <c r="E335" s="31"/>
      <c r="F335" s="22"/>
      <c r="G335" s="30"/>
      <c r="H335" s="24">
        <v>30.0</v>
      </c>
      <c r="I335" s="24">
        <v>35.0</v>
      </c>
      <c r="J335" s="24">
        <v>36.0</v>
      </c>
      <c r="K335" s="24">
        <f>IF(H335=0,0,CAPITAL!$C$5/H335)
</f>
        <v>5000</v>
      </c>
      <c r="L335" s="24">
        <f>IF(I335=0,0,CAPITAL!$C$6/I335)
</f>
        <v>20000</v>
      </c>
      <c r="M335" s="24">
        <f>IF(J335=0,0,CAPITAL!$C$7/J335)
</f>
        <v>69444.44444</v>
      </c>
      <c r="N335" s="24">
        <f t="shared" si="1"/>
        <v>94444.44444</v>
      </c>
      <c r="O335" s="24">
        <f t="shared" si="2"/>
        <v>0.05294117647</v>
      </c>
      <c r="P335" s="24">
        <f t="shared" si="3"/>
        <v>0.2117647059</v>
      </c>
      <c r="Q335" s="24">
        <f t="shared" si="4"/>
        <v>0.7352941176</v>
      </c>
    </row>
    <row r="336">
      <c r="A336" s="17">
        <v>334.0</v>
      </c>
      <c r="B336" s="24" t="s">
        <v>29</v>
      </c>
      <c r="C336" s="30"/>
      <c r="D336" s="22"/>
      <c r="E336" s="31"/>
      <c r="F336" s="22"/>
      <c r="G336" s="30"/>
      <c r="H336" s="24">
        <v>30.0</v>
      </c>
      <c r="I336" s="24">
        <v>35.0</v>
      </c>
      <c r="J336" s="24">
        <v>36.0</v>
      </c>
      <c r="K336" s="24">
        <f>IF(H336=0,0,CAPITAL!$C$5/H336)
</f>
        <v>5000</v>
      </c>
      <c r="L336" s="24">
        <f>IF(I336=0,0,CAPITAL!$C$6/I336)
</f>
        <v>20000</v>
      </c>
      <c r="M336" s="24">
        <f>IF(J336=0,0,CAPITAL!$C$7/J336)
</f>
        <v>69444.44444</v>
      </c>
      <c r="N336" s="24">
        <f t="shared" si="1"/>
        <v>94444.44444</v>
      </c>
      <c r="O336" s="24">
        <f t="shared" si="2"/>
        <v>0.05294117647</v>
      </c>
      <c r="P336" s="24">
        <f t="shared" si="3"/>
        <v>0.2117647059</v>
      </c>
      <c r="Q336" s="24">
        <f t="shared" si="4"/>
        <v>0.7352941176</v>
      </c>
    </row>
    <row r="337">
      <c r="A337" s="17">
        <v>335.0</v>
      </c>
      <c r="B337" s="24" t="s">
        <v>29</v>
      </c>
      <c r="C337" s="30"/>
      <c r="D337" s="22"/>
      <c r="E337" s="31"/>
      <c r="F337" s="22"/>
      <c r="G337" s="30"/>
      <c r="H337" s="24">
        <v>30.0</v>
      </c>
      <c r="I337" s="24">
        <v>35.0</v>
      </c>
      <c r="J337" s="24">
        <v>36.0</v>
      </c>
      <c r="K337" s="24">
        <f>IF(H337=0,0,CAPITAL!$C$5/H337)
</f>
        <v>5000</v>
      </c>
      <c r="L337" s="24">
        <f>IF(I337=0,0,CAPITAL!$C$6/I337)
</f>
        <v>20000</v>
      </c>
      <c r="M337" s="24">
        <f>IF(J337=0,0,CAPITAL!$C$7/J337)
</f>
        <v>69444.44444</v>
      </c>
      <c r="N337" s="24">
        <f t="shared" si="1"/>
        <v>94444.44444</v>
      </c>
      <c r="O337" s="24">
        <f t="shared" si="2"/>
        <v>0.05294117647</v>
      </c>
      <c r="P337" s="24">
        <f t="shared" si="3"/>
        <v>0.2117647059</v>
      </c>
      <c r="Q337" s="24">
        <f t="shared" si="4"/>
        <v>0.7352941176</v>
      </c>
    </row>
    <row r="338">
      <c r="A338" s="17">
        <v>336.0</v>
      </c>
      <c r="B338" s="24" t="s">
        <v>29</v>
      </c>
      <c r="C338" s="30"/>
      <c r="D338" s="22"/>
      <c r="E338" s="31"/>
      <c r="F338" s="22"/>
      <c r="G338" s="30"/>
      <c r="H338" s="24">
        <v>30.0</v>
      </c>
      <c r="I338" s="24">
        <v>35.0</v>
      </c>
      <c r="J338" s="24">
        <v>36.0</v>
      </c>
      <c r="K338" s="24">
        <f>IF(H338=0,0,CAPITAL!$C$5/H338)
</f>
        <v>5000</v>
      </c>
      <c r="L338" s="24">
        <f>IF(I338=0,0,CAPITAL!$C$6/I338)
</f>
        <v>20000</v>
      </c>
      <c r="M338" s="24">
        <f>IF(J338=0,0,CAPITAL!$C$7/J338)
</f>
        <v>69444.44444</v>
      </c>
      <c r="N338" s="24">
        <f t="shared" si="1"/>
        <v>94444.44444</v>
      </c>
      <c r="O338" s="24">
        <f t="shared" si="2"/>
        <v>0.05294117647</v>
      </c>
      <c r="P338" s="24">
        <f t="shared" si="3"/>
        <v>0.2117647059</v>
      </c>
      <c r="Q338" s="24">
        <f t="shared" si="4"/>
        <v>0.7352941176</v>
      </c>
    </row>
    <row r="339">
      <c r="A339" s="17">
        <v>337.0</v>
      </c>
      <c r="B339" s="24" t="s">
        <v>29</v>
      </c>
      <c r="C339" s="30"/>
      <c r="D339" s="22"/>
      <c r="E339" s="31"/>
      <c r="F339" s="22"/>
      <c r="G339" s="30"/>
      <c r="H339" s="24">
        <v>30.0</v>
      </c>
      <c r="I339" s="24">
        <v>35.0</v>
      </c>
      <c r="J339" s="24">
        <v>36.0</v>
      </c>
      <c r="K339" s="24">
        <f>IF(H339=0,0,CAPITAL!$C$5/H339)
</f>
        <v>5000</v>
      </c>
      <c r="L339" s="24">
        <f>IF(I339=0,0,CAPITAL!$C$6/I339)
</f>
        <v>20000</v>
      </c>
      <c r="M339" s="24">
        <f>IF(J339=0,0,CAPITAL!$C$7/J339)
</f>
        <v>69444.44444</v>
      </c>
      <c r="N339" s="24">
        <f t="shared" si="1"/>
        <v>94444.44444</v>
      </c>
      <c r="O339" s="24">
        <f t="shared" si="2"/>
        <v>0.05294117647</v>
      </c>
      <c r="P339" s="24">
        <f t="shared" si="3"/>
        <v>0.2117647059</v>
      </c>
      <c r="Q339" s="24">
        <f t="shared" si="4"/>
        <v>0.7352941176</v>
      </c>
    </row>
    <row r="340">
      <c r="A340" s="17">
        <v>338.0</v>
      </c>
      <c r="B340" s="24" t="s">
        <v>29</v>
      </c>
      <c r="C340" s="30"/>
      <c r="D340" s="22"/>
      <c r="E340" s="31"/>
      <c r="F340" s="22"/>
      <c r="G340" s="30"/>
      <c r="H340" s="24">
        <v>30.0</v>
      </c>
      <c r="I340" s="24">
        <v>35.0</v>
      </c>
      <c r="J340" s="24">
        <v>36.0</v>
      </c>
      <c r="K340" s="24">
        <f>IF(H340=0,0,CAPITAL!$C$5/H340)
</f>
        <v>5000</v>
      </c>
      <c r="L340" s="24">
        <f>IF(I340=0,0,CAPITAL!$C$6/I340)
</f>
        <v>20000</v>
      </c>
      <c r="M340" s="24">
        <f>IF(J340=0,0,CAPITAL!$C$7/J340)
</f>
        <v>69444.44444</v>
      </c>
      <c r="N340" s="24">
        <f t="shared" si="1"/>
        <v>94444.44444</v>
      </c>
      <c r="O340" s="24">
        <f t="shared" si="2"/>
        <v>0.05294117647</v>
      </c>
      <c r="P340" s="24">
        <f t="shared" si="3"/>
        <v>0.2117647059</v>
      </c>
      <c r="Q340" s="24">
        <f t="shared" si="4"/>
        <v>0.7352941176</v>
      </c>
    </row>
    <row r="341">
      <c r="A341" s="17">
        <v>339.0</v>
      </c>
      <c r="B341" s="24" t="s">
        <v>29</v>
      </c>
      <c r="C341" s="30"/>
      <c r="D341" s="22"/>
      <c r="E341" s="31"/>
      <c r="F341" s="22"/>
      <c r="G341" s="30"/>
      <c r="H341" s="24">
        <v>30.0</v>
      </c>
      <c r="I341" s="24">
        <v>35.0</v>
      </c>
      <c r="J341" s="24">
        <v>36.0</v>
      </c>
      <c r="K341" s="24">
        <f>IF(H341=0,0,CAPITAL!$C$5/H341)
</f>
        <v>5000</v>
      </c>
      <c r="L341" s="24">
        <f>IF(I341=0,0,CAPITAL!$C$6/I341)
</f>
        <v>20000</v>
      </c>
      <c r="M341" s="24">
        <f>IF(J341=0,0,CAPITAL!$C$7/J341)
</f>
        <v>69444.44444</v>
      </c>
      <c r="N341" s="24">
        <f t="shared" si="1"/>
        <v>94444.44444</v>
      </c>
      <c r="O341" s="24">
        <f t="shared" si="2"/>
        <v>0.05294117647</v>
      </c>
      <c r="P341" s="24">
        <f t="shared" si="3"/>
        <v>0.2117647059</v>
      </c>
      <c r="Q341" s="24">
        <f t="shared" si="4"/>
        <v>0.7352941176</v>
      </c>
    </row>
    <row r="342">
      <c r="A342" s="17">
        <v>340.0</v>
      </c>
      <c r="B342" s="24" t="s">
        <v>29</v>
      </c>
      <c r="C342" s="30"/>
      <c r="D342" s="22"/>
      <c r="E342" s="31"/>
      <c r="F342" s="22"/>
      <c r="G342" s="30"/>
      <c r="H342" s="24">
        <v>30.0</v>
      </c>
      <c r="I342" s="24">
        <v>35.0</v>
      </c>
      <c r="J342" s="24">
        <v>36.0</v>
      </c>
      <c r="K342" s="24">
        <f>IF(H342=0,0,CAPITAL!$C$5/H342)
</f>
        <v>5000</v>
      </c>
      <c r="L342" s="24">
        <f>IF(I342=0,0,CAPITAL!$C$6/I342)
</f>
        <v>20000</v>
      </c>
      <c r="M342" s="24">
        <f>IF(J342=0,0,CAPITAL!$C$7/J342)
</f>
        <v>69444.44444</v>
      </c>
      <c r="N342" s="24">
        <f t="shared" si="1"/>
        <v>94444.44444</v>
      </c>
      <c r="O342" s="24">
        <f t="shared" si="2"/>
        <v>0.05294117647</v>
      </c>
      <c r="P342" s="24">
        <f t="shared" si="3"/>
        <v>0.2117647059</v>
      </c>
      <c r="Q342" s="24">
        <f t="shared" si="4"/>
        <v>0.7352941176</v>
      </c>
    </row>
    <row r="343">
      <c r="A343" s="17">
        <v>341.0</v>
      </c>
      <c r="B343" s="24" t="s">
        <v>29</v>
      </c>
      <c r="C343" s="30"/>
      <c r="D343" s="22"/>
      <c r="E343" s="31"/>
      <c r="F343" s="22"/>
      <c r="G343" s="30"/>
      <c r="H343" s="24">
        <v>30.0</v>
      </c>
      <c r="I343" s="24">
        <v>35.0</v>
      </c>
      <c r="J343" s="24">
        <v>36.0</v>
      </c>
      <c r="K343" s="24">
        <f>IF(H343=0,0,CAPITAL!$C$5/H343)
</f>
        <v>5000</v>
      </c>
      <c r="L343" s="24">
        <f>IF(I343=0,0,CAPITAL!$C$6/I343)
</f>
        <v>20000</v>
      </c>
      <c r="M343" s="24">
        <f>IF(J343=0,0,CAPITAL!$C$7/J343)
</f>
        <v>69444.44444</v>
      </c>
      <c r="N343" s="24">
        <f t="shared" si="1"/>
        <v>94444.44444</v>
      </c>
      <c r="O343" s="24">
        <f t="shared" si="2"/>
        <v>0.05294117647</v>
      </c>
      <c r="P343" s="24">
        <f t="shared" si="3"/>
        <v>0.2117647059</v>
      </c>
      <c r="Q343" s="24">
        <f t="shared" si="4"/>
        <v>0.7352941176</v>
      </c>
    </row>
    <row r="344">
      <c r="A344" s="17">
        <v>342.0</v>
      </c>
      <c r="B344" s="24" t="s">
        <v>29</v>
      </c>
      <c r="C344" s="30"/>
      <c r="D344" s="22"/>
      <c r="E344" s="31"/>
      <c r="F344" s="22"/>
      <c r="G344" s="30"/>
      <c r="H344" s="24">
        <v>30.0</v>
      </c>
      <c r="I344" s="24">
        <v>35.0</v>
      </c>
      <c r="J344" s="24">
        <v>36.0</v>
      </c>
      <c r="K344" s="24">
        <f>IF(H344=0,0,CAPITAL!$C$5/H344)
</f>
        <v>5000</v>
      </c>
      <c r="L344" s="24">
        <f>IF(I344=0,0,CAPITAL!$C$6/I344)
</f>
        <v>20000</v>
      </c>
      <c r="M344" s="24">
        <f>IF(J344=0,0,CAPITAL!$C$7/J344)
</f>
        <v>69444.44444</v>
      </c>
      <c r="N344" s="24">
        <f t="shared" si="1"/>
        <v>94444.44444</v>
      </c>
      <c r="O344" s="24">
        <f t="shared" si="2"/>
        <v>0.05294117647</v>
      </c>
      <c r="P344" s="24">
        <f t="shared" si="3"/>
        <v>0.2117647059</v>
      </c>
      <c r="Q344" s="24">
        <f t="shared" si="4"/>
        <v>0.7352941176</v>
      </c>
    </row>
    <row r="345">
      <c r="A345" s="17">
        <v>343.0</v>
      </c>
      <c r="B345" s="24" t="s">
        <v>29</v>
      </c>
      <c r="C345" s="30"/>
      <c r="D345" s="22"/>
      <c r="E345" s="31"/>
      <c r="F345" s="22"/>
      <c r="G345" s="30"/>
      <c r="H345" s="24">
        <v>30.0</v>
      </c>
      <c r="I345" s="24">
        <v>35.0</v>
      </c>
      <c r="J345" s="24">
        <v>36.0</v>
      </c>
      <c r="K345" s="24">
        <f>IF(H345=0,0,CAPITAL!$C$5/H345)
</f>
        <v>5000</v>
      </c>
      <c r="L345" s="24">
        <f>IF(I345=0,0,CAPITAL!$C$6/I345)
</f>
        <v>20000</v>
      </c>
      <c r="M345" s="24">
        <f>IF(J345=0,0,CAPITAL!$C$7/J345)
</f>
        <v>69444.44444</v>
      </c>
      <c r="N345" s="24">
        <f t="shared" si="1"/>
        <v>94444.44444</v>
      </c>
      <c r="O345" s="24">
        <f t="shared" si="2"/>
        <v>0.05294117647</v>
      </c>
      <c r="P345" s="24">
        <f t="shared" si="3"/>
        <v>0.2117647059</v>
      </c>
      <c r="Q345" s="24">
        <f t="shared" si="4"/>
        <v>0.7352941176</v>
      </c>
    </row>
    <row r="346">
      <c r="A346" s="17">
        <v>344.0</v>
      </c>
      <c r="B346" s="24" t="s">
        <v>29</v>
      </c>
      <c r="C346" s="30"/>
      <c r="D346" s="22"/>
      <c r="E346" s="31"/>
      <c r="F346" s="22"/>
      <c r="G346" s="30"/>
      <c r="H346" s="24">
        <v>30.0</v>
      </c>
      <c r="I346" s="24">
        <v>35.0</v>
      </c>
      <c r="J346" s="24">
        <v>36.0</v>
      </c>
      <c r="K346" s="24">
        <f>IF(H346=0,0,CAPITAL!$C$5/H346)
</f>
        <v>5000</v>
      </c>
      <c r="L346" s="24">
        <f>IF(I346=0,0,CAPITAL!$C$6/I346)
</f>
        <v>20000</v>
      </c>
      <c r="M346" s="24">
        <f>IF(J346=0,0,CAPITAL!$C$7/J346)
</f>
        <v>69444.44444</v>
      </c>
      <c r="N346" s="24">
        <f t="shared" si="1"/>
        <v>94444.44444</v>
      </c>
      <c r="O346" s="24">
        <f t="shared" si="2"/>
        <v>0.05294117647</v>
      </c>
      <c r="P346" s="24">
        <f t="shared" si="3"/>
        <v>0.2117647059</v>
      </c>
      <c r="Q346" s="24">
        <f t="shared" si="4"/>
        <v>0.7352941176</v>
      </c>
    </row>
    <row r="347">
      <c r="A347" s="17">
        <v>345.0</v>
      </c>
      <c r="B347" s="24" t="s">
        <v>29</v>
      </c>
      <c r="C347" s="30"/>
      <c r="D347" s="22"/>
      <c r="E347" s="31"/>
      <c r="F347" s="22"/>
      <c r="G347" s="30"/>
      <c r="H347" s="24">
        <v>30.0</v>
      </c>
      <c r="I347" s="24">
        <v>35.0</v>
      </c>
      <c r="J347" s="24">
        <v>36.0</v>
      </c>
      <c r="K347" s="24">
        <f>IF(H347=0,0,CAPITAL!$C$5/H347)
</f>
        <v>5000</v>
      </c>
      <c r="L347" s="24">
        <f>IF(I347=0,0,CAPITAL!$C$6/I347)
</f>
        <v>20000</v>
      </c>
      <c r="M347" s="24">
        <f>IF(J347=0,0,CAPITAL!$C$7/J347)
</f>
        <v>69444.44444</v>
      </c>
      <c r="N347" s="24">
        <f t="shared" si="1"/>
        <v>94444.44444</v>
      </c>
      <c r="O347" s="24">
        <f t="shared" si="2"/>
        <v>0.05294117647</v>
      </c>
      <c r="P347" s="24">
        <f t="shared" si="3"/>
        <v>0.2117647059</v>
      </c>
      <c r="Q347" s="24">
        <f t="shared" si="4"/>
        <v>0.7352941176</v>
      </c>
    </row>
    <row r="348">
      <c r="A348" s="17">
        <v>346.0</v>
      </c>
      <c r="B348" s="24" t="s">
        <v>29</v>
      </c>
      <c r="C348" s="30"/>
      <c r="D348" s="22"/>
      <c r="E348" s="31"/>
      <c r="F348" s="22"/>
      <c r="G348" s="30"/>
      <c r="H348" s="24">
        <v>30.0</v>
      </c>
      <c r="I348" s="24">
        <v>35.0</v>
      </c>
      <c r="J348" s="24">
        <v>36.0</v>
      </c>
      <c r="K348" s="24">
        <f>IF(H348=0,0,CAPITAL!$C$5/H348)
</f>
        <v>5000</v>
      </c>
      <c r="L348" s="24">
        <f>IF(I348=0,0,CAPITAL!$C$6/I348)
</f>
        <v>20000</v>
      </c>
      <c r="M348" s="24">
        <f>IF(J348=0,0,CAPITAL!$C$7/J348)
</f>
        <v>69444.44444</v>
      </c>
      <c r="N348" s="24">
        <f t="shared" si="1"/>
        <v>94444.44444</v>
      </c>
      <c r="O348" s="24">
        <f t="shared" si="2"/>
        <v>0.05294117647</v>
      </c>
      <c r="P348" s="24">
        <f t="shared" si="3"/>
        <v>0.2117647059</v>
      </c>
      <c r="Q348" s="24">
        <f t="shared" si="4"/>
        <v>0.7352941176</v>
      </c>
    </row>
    <row r="349">
      <c r="A349" s="17">
        <v>347.0</v>
      </c>
      <c r="B349" s="24" t="s">
        <v>29</v>
      </c>
      <c r="C349" s="30"/>
      <c r="D349" s="22"/>
      <c r="E349" s="31"/>
      <c r="F349" s="22"/>
      <c r="G349" s="30"/>
      <c r="H349" s="24">
        <v>30.0</v>
      </c>
      <c r="I349" s="24">
        <v>35.0</v>
      </c>
      <c r="J349" s="24">
        <v>36.0</v>
      </c>
      <c r="K349" s="24">
        <f>IF(H349=0,0,CAPITAL!$C$5/H349)
</f>
        <v>5000</v>
      </c>
      <c r="L349" s="24">
        <f>IF(I349=0,0,CAPITAL!$C$6/I349)
</f>
        <v>20000</v>
      </c>
      <c r="M349" s="24">
        <f>IF(J349=0,0,CAPITAL!$C$7/J349)
</f>
        <v>69444.44444</v>
      </c>
      <c r="N349" s="24">
        <f t="shared" si="1"/>
        <v>94444.44444</v>
      </c>
      <c r="O349" s="24">
        <f t="shared" si="2"/>
        <v>0.05294117647</v>
      </c>
      <c r="P349" s="24">
        <f t="shared" si="3"/>
        <v>0.2117647059</v>
      </c>
      <c r="Q349" s="24">
        <f t="shared" si="4"/>
        <v>0.7352941176</v>
      </c>
    </row>
    <row r="350">
      <c r="A350" s="17">
        <v>348.0</v>
      </c>
      <c r="B350" s="24" t="s">
        <v>29</v>
      </c>
      <c r="C350" s="30"/>
      <c r="D350" s="22"/>
      <c r="E350" s="31"/>
      <c r="F350" s="22"/>
      <c r="G350" s="30"/>
      <c r="H350" s="24">
        <v>30.0</v>
      </c>
      <c r="I350" s="24">
        <v>35.0</v>
      </c>
      <c r="J350" s="24">
        <v>36.0</v>
      </c>
      <c r="K350" s="24">
        <f>IF(H350=0,0,CAPITAL!$C$5/H350)
</f>
        <v>5000</v>
      </c>
      <c r="L350" s="24">
        <f>IF(I350=0,0,CAPITAL!$C$6/I350)
</f>
        <v>20000</v>
      </c>
      <c r="M350" s="24">
        <f>IF(J350=0,0,CAPITAL!$C$7/J350)
</f>
        <v>69444.44444</v>
      </c>
      <c r="N350" s="24">
        <f t="shared" si="1"/>
        <v>94444.44444</v>
      </c>
      <c r="O350" s="24">
        <f t="shared" si="2"/>
        <v>0.05294117647</v>
      </c>
      <c r="P350" s="24">
        <f t="shared" si="3"/>
        <v>0.2117647059</v>
      </c>
      <c r="Q350" s="24">
        <f t="shared" si="4"/>
        <v>0.7352941176</v>
      </c>
    </row>
    <row r="351">
      <c r="A351" s="17">
        <v>349.0</v>
      </c>
      <c r="B351" s="24" t="s">
        <v>29</v>
      </c>
      <c r="C351" s="30"/>
      <c r="D351" s="22"/>
      <c r="E351" s="31"/>
      <c r="F351" s="22"/>
      <c r="G351" s="30"/>
      <c r="H351" s="24">
        <v>30.0</v>
      </c>
      <c r="I351" s="24">
        <v>35.0</v>
      </c>
      <c r="J351" s="24">
        <v>36.0</v>
      </c>
      <c r="K351" s="24">
        <f>IF(H351=0,0,CAPITAL!$C$5/H351)
</f>
        <v>5000</v>
      </c>
      <c r="L351" s="24">
        <f>IF(I351=0,0,CAPITAL!$C$6/I351)
</f>
        <v>20000</v>
      </c>
      <c r="M351" s="24">
        <f>IF(J351=0,0,CAPITAL!$C$7/J351)
</f>
        <v>69444.44444</v>
      </c>
      <c r="N351" s="24">
        <f t="shared" si="1"/>
        <v>94444.44444</v>
      </c>
      <c r="O351" s="24">
        <f t="shared" si="2"/>
        <v>0.05294117647</v>
      </c>
      <c r="P351" s="24">
        <f t="shared" si="3"/>
        <v>0.2117647059</v>
      </c>
      <c r="Q351" s="24">
        <f t="shared" si="4"/>
        <v>0.7352941176</v>
      </c>
    </row>
    <row r="352">
      <c r="A352" s="17">
        <v>350.0</v>
      </c>
      <c r="B352" s="24" t="s">
        <v>29</v>
      </c>
      <c r="C352" s="30"/>
      <c r="D352" s="22"/>
      <c r="E352" s="31"/>
      <c r="F352" s="22"/>
      <c r="G352" s="30"/>
      <c r="H352" s="24">
        <v>30.0</v>
      </c>
      <c r="I352" s="24">
        <v>35.0</v>
      </c>
      <c r="J352" s="24">
        <v>36.0</v>
      </c>
      <c r="K352" s="24">
        <f>IF(H352=0,0,CAPITAL!$C$5/H352)
</f>
        <v>5000</v>
      </c>
      <c r="L352" s="24">
        <f>IF(I352=0,0,CAPITAL!$C$6/I352)
</f>
        <v>20000</v>
      </c>
      <c r="M352" s="24">
        <f>IF(J352=0,0,CAPITAL!$C$7/J352)
</f>
        <v>69444.44444</v>
      </c>
      <c r="N352" s="24">
        <f t="shared" si="1"/>
        <v>94444.44444</v>
      </c>
      <c r="O352" s="24">
        <f t="shared" si="2"/>
        <v>0.05294117647</v>
      </c>
      <c r="P352" s="24">
        <f t="shared" si="3"/>
        <v>0.2117647059</v>
      </c>
      <c r="Q352" s="24">
        <f t="shared" si="4"/>
        <v>0.7352941176</v>
      </c>
    </row>
    <row r="353">
      <c r="A353" s="17">
        <v>351.0</v>
      </c>
      <c r="B353" s="24" t="s">
        <v>29</v>
      </c>
      <c r="C353" s="30"/>
      <c r="D353" s="22"/>
      <c r="E353" s="31"/>
      <c r="F353" s="22"/>
      <c r="G353" s="30"/>
      <c r="H353" s="24">
        <v>30.0</v>
      </c>
      <c r="I353" s="24">
        <v>35.0</v>
      </c>
      <c r="J353" s="24">
        <v>36.0</v>
      </c>
      <c r="K353" s="24">
        <f>IF(H353=0,0,CAPITAL!$C$5/H353)
</f>
        <v>5000</v>
      </c>
      <c r="L353" s="24">
        <f>IF(I353=0,0,CAPITAL!$C$6/I353)
</f>
        <v>20000</v>
      </c>
      <c r="M353" s="24">
        <f>IF(J353=0,0,CAPITAL!$C$7/J353)
</f>
        <v>69444.44444</v>
      </c>
      <c r="N353" s="24">
        <f t="shared" si="1"/>
        <v>94444.44444</v>
      </c>
      <c r="O353" s="24">
        <f t="shared" si="2"/>
        <v>0.05294117647</v>
      </c>
      <c r="P353" s="24">
        <f t="shared" si="3"/>
        <v>0.2117647059</v>
      </c>
      <c r="Q353" s="24">
        <f t="shared" si="4"/>
        <v>0.7352941176</v>
      </c>
    </row>
    <row r="354">
      <c r="A354" s="17">
        <v>352.0</v>
      </c>
      <c r="B354" s="24" t="s">
        <v>29</v>
      </c>
      <c r="C354" s="30"/>
      <c r="D354" s="22"/>
      <c r="E354" s="31"/>
      <c r="F354" s="22"/>
      <c r="G354" s="30"/>
      <c r="H354" s="24">
        <v>30.0</v>
      </c>
      <c r="I354" s="24">
        <v>35.0</v>
      </c>
      <c r="J354" s="24">
        <v>36.0</v>
      </c>
      <c r="K354" s="24">
        <f>IF(H354=0,0,CAPITAL!$C$5/H354)
</f>
        <v>5000</v>
      </c>
      <c r="L354" s="24">
        <f>IF(I354=0,0,CAPITAL!$C$6/I354)
</f>
        <v>20000</v>
      </c>
      <c r="M354" s="24">
        <f>IF(J354=0,0,CAPITAL!$C$7/J354)
</f>
        <v>69444.44444</v>
      </c>
      <c r="N354" s="24">
        <f t="shared" si="1"/>
        <v>94444.44444</v>
      </c>
      <c r="O354" s="24">
        <f t="shared" si="2"/>
        <v>0.05294117647</v>
      </c>
      <c r="P354" s="24">
        <f t="shared" si="3"/>
        <v>0.2117647059</v>
      </c>
      <c r="Q354" s="24">
        <f t="shared" si="4"/>
        <v>0.7352941176</v>
      </c>
    </row>
    <row r="355">
      <c r="A355" s="17">
        <v>353.0</v>
      </c>
      <c r="B355" s="24" t="s">
        <v>29</v>
      </c>
      <c r="C355" s="30"/>
      <c r="D355" s="22"/>
      <c r="E355" s="31"/>
      <c r="F355" s="22"/>
      <c r="G355" s="30"/>
      <c r="H355" s="24">
        <v>30.0</v>
      </c>
      <c r="I355" s="24">
        <v>35.0</v>
      </c>
      <c r="J355" s="24">
        <v>36.0</v>
      </c>
      <c r="K355" s="24">
        <f>IF(H355=0,0,CAPITAL!$C$5/H355)
</f>
        <v>5000</v>
      </c>
      <c r="L355" s="24">
        <f>IF(I355=0,0,CAPITAL!$C$6/I355)
</f>
        <v>20000</v>
      </c>
      <c r="M355" s="24">
        <f>IF(J355=0,0,CAPITAL!$C$7/J355)
</f>
        <v>69444.44444</v>
      </c>
      <c r="N355" s="24">
        <f t="shared" si="1"/>
        <v>94444.44444</v>
      </c>
      <c r="O355" s="24">
        <f t="shared" si="2"/>
        <v>0.05294117647</v>
      </c>
      <c r="P355" s="24">
        <f t="shared" si="3"/>
        <v>0.2117647059</v>
      </c>
      <c r="Q355" s="24">
        <f t="shared" si="4"/>
        <v>0.7352941176</v>
      </c>
    </row>
    <row r="356">
      <c r="A356" s="17">
        <v>354.0</v>
      </c>
      <c r="B356" s="24" t="s">
        <v>29</v>
      </c>
      <c r="C356" s="30"/>
      <c r="D356" s="22"/>
      <c r="E356" s="31"/>
      <c r="F356" s="22"/>
      <c r="G356" s="30"/>
      <c r="H356" s="24">
        <v>30.0</v>
      </c>
      <c r="I356" s="24">
        <v>35.0</v>
      </c>
      <c r="J356" s="24">
        <v>36.0</v>
      </c>
      <c r="K356" s="24">
        <f>IF(H356=0,0,CAPITAL!$C$5/H356)
</f>
        <v>5000</v>
      </c>
      <c r="L356" s="24">
        <f>IF(I356=0,0,CAPITAL!$C$6/I356)
</f>
        <v>20000</v>
      </c>
      <c r="M356" s="24">
        <f>IF(J356=0,0,CAPITAL!$C$7/J356)
</f>
        <v>69444.44444</v>
      </c>
      <c r="N356" s="24">
        <f t="shared" si="1"/>
        <v>94444.44444</v>
      </c>
      <c r="O356" s="24">
        <f t="shared" si="2"/>
        <v>0.05294117647</v>
      </c>
      <c r="P356" s="24">
        <f t="shared" si="3"/>
        <v>0.2117647059</v>
      </c>
      <c r="Q356" s="24">
        <f t="shared" si="4"/>
        <v>0.7352941176</v>
      </c>
    </row>
    <row r="357">
      <c r="A357" s="17">
        <v>355.0</v>
      </c>
      <c r="B357" s="24" t="s">
        <v>29</v>
      </c>
      <c r="C357" s="30"/>
      <c r="D357" s="22"/>
      <c r="E357" s="31"/>
      <c r="F357" s="22"/>
      <c r="G357" s="30"/>
      <c r="H357" s="24">
        <v>30.0</v>
      </c>
      <c r="I357" s="24">
        <v>35.0</v>
      </c>
      <c r="J357" s="24">
        <v>36.0</v>
      </c>
      <c r="K357" s="24">
        <f>IF(H357=0,0,CAPITAL!$C$5/H357)
</f>
        <v>5000</v>
      </c>
      <c r="L357" s="24">
        <f>IF(I357=0,0,CAPITAL!$C$6/I357)
</f>
        <v>20000</v>
      </c>
      <c r="M357" s="24">
        <f>IF(J357=0,0,CAPITAL!$C$7/J357)
</f>
        <v>69444.44444</v>
      </c>
      <c r="N357" s="24">
        <f t="shared" si="1"/>
        <v>94444.44444</v>
      </c>
      <c r="O357" s="24">
        <f t="shared" si="2"/>
        <v>0.05294117647</v>
      </c>
      <c r="P357" s="24">
        <f t="shared" si="3"/>
        <v>0.2117647059</v>
      </c>
      <c r="Q357" s="24">
        <f t="shared" si="4"/>
        <v>0.7352941176</v>
      </c>
    </row>
    <row r="358">
      <c r="A358" s="17">
        <v>356.0</v>
      </c>
      <c r="B358" s="24" t="s">
        <v>29</v>
      </c>
      <c r="C358" s="30"/>
      <c r="D358" s="22"/>
      <c r="E358" s="31"/>
      <c r="F358" s="22"/>
      <c r="G358" s="30"/>
      <c r="H358" s="24">
        <v>30.0</v>
      </c>
      <c r="I358" s="24">
        <v>35.0</v>
      </c>
      <c r="J358" s="24">
        <v>36.0</v>
      </c>
      <c r="K358" s="24">
        <f>IF(H358=0,0,CAPITAL!$C$5/H358)
</f>
        <v>5000</v>
      </c>
      <c r="L358" s="24">
        <f>IF(I358=0,0,CAPITAL!$C$6/I358)
</f>
        <v>20000</v>
      </c>
      <c r="M358" s="24">
        <f>IF(J358=0,0,CAPITAL!$C$7/J358)
</f>
        <v>69444.44444</v>
      </c>
      <c r="N358" s="24">
        <f t="shared" si="1"/>
        <v>94444.44444</v>
      </c>
      <c r="O358" s="24">
        <f t="shared" si="2"/>
        <v>0.05294117647</v>
      </c>
      <c r="P358" s="24">
        <f t="shared" si="3"/>
        <v>0.2117647059</v>
      </c>
      <c r="Q358" s="24">
        <f t="shared" si="4"/>
        <v>0.7352941176</v>
      </c>
    </row>
    <row r="359">
      <c r="A359" s="17">
        <v>357.0</v>
      </c>
      <c r="B359" s="24" t="s">
        <v>29</v>
      </c>
      <c r="C359" s="30"/>
      <c r="D359" s="22"/>
      <c r="E359" s="31"/>
      <c r="F359" s="22"/>
      <c r="G359" s="30"/>
      <c r="H359" s="24">
        <v>30.0</v>
      </c>
      <c r="I359" s="24">
        <v>35.0</v>
      </c>
      <c r="J359" s="24">
        <v>36.0</v>
      </c>
      <c r="K359" s="24">
        <f>IF(H359=0,0,CAPITAL!$C$5/H359)
</f>
        <v>5000</v>
      </c>
      <c r="L359" s="24">
        <f>IF(I359=0,0,CAPITAL!$C$6/I359)
</f>
        <v>20000</v>
      </c>
      <c r="M359" s="24">
        <f>IF(J359=0,0,CAPITAL!$C$7/J359)
</f>
        <v>69444.44444</v>
      </c>
      <c r="N359" s="24">
        <f t="shared" si="1"/>
        <v>94444.44444</v>
      </c>
      <c r="O359" s="24">
        <f t="shared" si="2"/>
        <v>0.05294117647</v>
      </c>
      <c r="P359" s="24">
        <f t="shared" si="3"/>
        <v>0.2117647059</v>
      </c>
      <c r="Q359" s="24">
        <f t="shared" si="4"/>
        <v>0.7352941176</v>
      </c>
    </row>
    <row r="360">
      <c r="A360" s="17">
        <v>358.0</v>
      </c>
      <c r="B360" s="24" t="s">
        <v>29</v>
      </c>
      <c r="C360" s="30"/>
      <c r="D360" s="22"/>
      <c r="E360" s="31"/>
      <c r="F360" s="22"/>
      <c r="G360" s="30"/>
      <c r="H360" s="24">
        <v>30.0</v>
      </c>
      <c r="I360" s="24">
        <v>35.0</v>
      </c>
      <c r="J360" s="24">
        <v>36.0</v>
      </c>
      <c r="K360" s="24">
        <f>IF(H360=0,0,CAPITAL!$C$5/H360)
</f>
        <v>5000</v>
      </c>
      <c r="L360" s="24">
        <f>IF(I360=0,0,CAPITAL!$C$6/I360)
</f>
        <v>20000</v>
      </c>
      <c r="M360" s="24">
        <f>IF(J360=0,0,CAPITAL!$C$7/J360)
</f>
        <v>69444.44444</v>
      </c>
      <c r="N360" s="24">
        <f t="shared" si="1"/>
        <v>94444.44444</v>
      </c>
      <c r="O360" s="24">
        <f t="shared" si="2"/>
        <v>0.05294117647</v>
      </c>
      <c r="P360" s="24">
        <f t="shared" si="3"/>
        <v>0.2117647059</v>
      </c>
      <c r="Q360" s="24">
        <f t="shared" si="4"/>
        <v>0.7352941176</v>
      </c>
    </row>
    <row r="361">
      <c r="A361" s="17">
        <v>359.0</v>
      </c>
      <c r="B361" s="24" t="s">
        <v>29</v>
      </c>
      <c r="C361" s="30"/>
      <c r="D361" s="22"/>
      <c r="E361" s="31"/>
      <c r="F361" s="22"/>
      <c r="G361" s="30"/>
      <c r="H361" s="24">
        <v>30.0</v>
      </c>
      <c r="I361" s="24">
        <v>35.0</v>
      </c>
      <c r="J361" s="24">
        <v>36.0</v>
      </c>
      <c r="K361" s="24">
        <f>IF(H361=0,0,CAPITAL!$C$5/H361)
</f>
        <v>5000</v>
      </c>
      <c r="L361" s="24">
        <f>IF(I361=0,0,CAPITAL!$C$6/I361)
</f>
        <v>20000</v>
      </c>
      <c r="M361" s="24">
        <f>IF(J361=0,0,CAPITAL!$C$7/J361)
</f>
        <v>69444.44444</v>
      </c>
      <c r="N361" s="24">
        <f t="shared" si="1"/>
        <v>94444.44444</v>
      </c>
      <c r="O361" s="24">
        <f t="shared" si="2"/>
        <v>0.05294117647</v>
      </c>
      <c r="P361" s="24">
        <f t="shared" si="3"/>
        <v>0.2117647059</v>
      </c>
      <c r="Q361" s="24">
        <f t="shared" si="4"/>
        <v>0.7352941176</v>
      </c>
    </row>
    <row r="362">
      <c r="A362" s="17">
        <v>360.0</v>
      </c>
      <c r="B362" s="24" t="s">
        <v>29</v>
      </c>
      <c r="C362" s="30"/>
      <c r="D362" s="22"/>
      <c r="E362" s="31"/>
      <c r="F362" s="22"/>
      <c r="G362" s="30"/>
      <c r="H362" s="24">
        <v>30.0</v>
      </c>
      <c r="I362" s="24">
        <v>35.0</v>
      </c>
      <c r="J362" s="24">
        <v>36.0</v>
      </c>
      <c r="K362" s="24">
        <f>IF(H362=0,0,CAPITAL!$C$5/H362)
</f>
        <v>5000</v>
      </c>
      <c r="L362" s="24">
        <f>IF(I362=0,0,CAPITAL!$C$6/I362)
</f>
        <v>20000</v>
      </c>
      <c r="M362" s="24">
        <f>IF(J362=0,0,CAPITAL!$C$7/J362)
</f>
        <v>69444.44444</v>
      </c>
      <c r="N362" s="24">
        <f t="shared" si="1"/>
        <v>94444.44444</v>
      </c>
      <c r="O362" s="24">
        <f t="shared" si="2"/>
        <v>0.05294117647</v>
      </c>
      <c r="P362" s="24">
        <f t="shared" si="3"/>
        <v>0.2117647059</v>
      </c>
      <c r="Q362" s="24">
        <f t="shared" si="4"/>
        <v>0.7352941176</v>
      </c>
    </row>
    <row r="363">
      <c r="A363" s="17">
        <v>361.0</v>
      </c>
      <c r="B363" s="24" t="s">
        <v>29</v>
      </c>
      <c r="C363" s="30"/>
      <c r="D363" s="22"/>
      <c r="E363" s="31"/>
      <c r="F363" s="22"/>
      <c r="G363" s="30"/>
      <c r="H363" s="24">
        <v>30.0</v>
      </c>
      <c r="I363" s="24">
        <v>35.0</v>
      </c>
      <c r="J363" s="24">
        <v>36.0</v>
      </c>
      <c r="K363" s="24">
        <f>IF(H363=0,0,CAPITAL!$C$5/H363)
</f>
        <v>5000</v>
      </c>
      <c r="L363" s="24">
        <f>IF(I363=0,0,CAPITAL!$C$6/I363)
</f>
        <v>20000</v>
      </c>
      <c r="M363" s="24">
        <f>IF(J363=0,0,CAPITAL!$C$7/J363)
</f>
        <v>69444.44444</v>
      </c>
      <c r="N363" s="24">
        <f t="shared" si="1"/>
        <v>94444.44444</v>
      </c>
      <c r="O363" s="24">
        <f t="shared" si="2"/>
        <v>0.05294117647</v>
      </c>
      <c r="P363" s="24">
        <f t="shared" si="3"/>
        <v>0.2117647059</v>
      </c>
      <c r="Q363" s="24">
        <f t="shared" si="4"/>
        <v>0.7352941176</v>
      </c>
    </row>
    <row r="364">
      <c r="A364" s="17">
        <v>362.0</v>
      </c>
      <c r="B364" s="24" t="s">
        <v>29</v>
      </c>
      <c r="C364" s="30"/>
      <c r="D364" s="22"/>
      <c r="E364" s="31"/>
      <c r="F364" s="22"/>
      <c r="G364" s="30"/>
      <c r="H364" s="24">
        <v>30.0</v>
      </c>
      <c r="I364" s="24">
        <v>35.0</v>
      </c>
      <c r="J364" s="24">
        <v>36.0</v>
      </c>
      <c r="K364" s="24">
        <f>IF(H364=0,0,CAPITAL!$C$5/H364)
</f>
        <v>5000</v>
      </c>
      <c r="L364" s="24">
        <f>IF(I364=0,0,CAPITAL!$C$6/I364)
</f>
        <v>20000</v>
      </c>
      <c r="M364" s="24">
        <f>IF(J364=0,0,CAPITAL!$C$7/J364)
</f>
        <v>69444.44444</v>
      </c>
      <c r="N364" s="24">
        <f t="shared" si="1"/>
        <v>94444.44444</v>
      </c>
      <c r="O364" s="24">
        <f t="shared" si="2"/>
        <v>0.05294117647</v>
      </c>
      <c r="P364" s="24">
        <f t="shared" si="3"/>
        <v>0.2117647059</v>
      </c>
      <c r="Q364" s="24">
        <f t="shared" si="4"/>
        <v>0.7352941176</v>
      </c>
    </row>
    <row r="365">
      <c r="A365" s="17">
        <v>363.0</v>
      </c>
      <c r="B365" s="24" t="s">
        <v>29</v>
      </c>
      <c r="C365" s="30"/>
      <c r="D365" s="22"/>
      <c r="E365" s="31"/>
      <c r="F365" s="22"/>
      <c r="G365" s="30"/>
      <c r="H365" s="24">
        <v>30.0</v>
      </c>
      <c r="I365" s="24">
        <v>35.0</v>
      </c>
      <c r="J365" s="24">
        <v>36.0</v>
      </c>
      <c r="K365" s="24">
        <f>IF(H365=0,0,CAPITAL!$C$5/H365)
</f>
        <v>5000</v>
      </c>
      <c r="L365" s="24">
        <f>IF(I365=0,0,CAPITAL!$C$6/I365)
</f>
        <v>20000</v>
      </c>
      <c r="M365" s="24">
        <f>IF(J365=0,0,CAPITAL!$C$7/J365)
</f>
        <v>69444.44444</v>
      </c>
      <c r="N365" s="24">
        <f t="shared" si="1"/>
        <v>94444.44444</v>
      </c>
      <c r="O365" s="24">
        <f t="shared" si="2"/>
        <v>0.05294117647</v>
      </c>
      <c r="P365" s="24">
        <f t="shared" si="3"/>
        <v>0.2117647059</v>
      </c>
      <c r="Q365" s="24">
        <f t="shared" si="4"/>
        <v>0.7352941176</v>
      </c>
    </row>
    <row r="366">
      <c r="A366" s="17">
        <v>364.0</v>
      </c>
      <c r="B366" s="24" t="s">
        <v>29</v>
      </c>
      <c r="C366" s="30"/>
      <c r="D366" s="22"/>
      <c r="E366" s="31"/>
      <c r="F366" s="22"/>
      <c r="G366" s="30"/>
      <c r="H366" s="24">
        <v>30.0</v>
      </c>
      <c r="I366" s="24">
        <v>35.0</v>
      </c>
      <c r="J366" s="24">
        <v>36.0</v>
      </c>
      <c r="K366" s="24">
        <f>IF(H366=0,0,CAPITAL!$C$5/H366)
</f>
        <v>5000</v>
      </c>
      <c r="L366" s="24">
        <f>IF(I366=0,0,CAPITAL!$C$6/I366)
</f>
        <v>20000</v>
      </c>
      <c r="M366" s="24">
        <f>IF(J366=0,0,CAPITAL!$C$7/J366)
</f>
        <v>69444.44444</v>
      </c>
      <c r="N366" s="24">
        <f t="shared" si="1"/>
        <v>94444.44444</v>
      </c>
      <c r="O366" s="24">
        <f t="shared" si="2"/>
        <v>0.05294117647</v>
      </c>
      <c r="P366" s="24">
        <f t="shared" si="3"/>
        <v>0.2117647059</v>
      </c>
      <c r="Q366" s="24">
        <f t="shared" si="4"/>
        <v>0.7352941176</v>
      </c>
    </row>
    <row r="367">
      <c r="A367" s="17">
        <v>365.0</v>
      </c>
      <c r="B367" s="24" t="s">
        <v>29</v>
      </c>
      <c r="C367" s="30"/>
      <c r="D367" s="22"/>
      <c r="E367" s="31"/>
      <c r="F367" s="22"/>
      <c r="G367" s="30"/>
      <c r="H367" s="24">
        <v>30.0</v>
      </c>
      <c r="I367" s="24">
        <v>35.0</v>
      </c>
      <c r="J367" s="24">
        <v>36.0</v>
      </c>
      <c r="K367" s="24">
        <f>IF(H367=0,0,CAPITAL!$C$5/H367)
</f>
        <v>5000</v>
      </c>
      <c r="L367" s="24">
        <f>IF(I367=0,0,CAPITAL!$C$6/I367)
</f>
        <v>20000</v>
      </c>
      <c r="M367" s="24">
        <f>IF(J367=0,0,CAPITAL!$C$7/J367)
</f>
        <v>69444.44444</v>
      </c>
      <c r="N367" s="24">
        <f t="shared" si="1"/>
        <v>94444.44444</v>
      </c>
      <c r="O367" s="24">
        <f t="shared" si="2"/>
        <v>0.05294117647</v>
      </c>
      <c r="P367" s="24">
        <f t="shared" si="3"/>
        <v>0.2117647059</v>
      </c>
      <c r="Q367" s="24">
        <f t="shared" si="4"/>
        <v>0.7352941176</v>
      </c>
    </row>
    <row r="368">
      <c r="A368" s="17">
        <v>366.0</v>
      </c>
      <c r="B368" s="24" t="s">
        <v>29</v>
      </c>
      <c r="C368" s="30"/>
      <c r="D368" s="22"/>
      <c r="E368" s="31"/>
      <c r="F368" s="22"/>
      <c r="G368" s="30"/>
      <c r="H368" s="24">
        <v>30.0</v>
      </c>
      <c r="I368" s="24">
        <v>35.0</v>
      </c>
      <c r="J368" s="24">
        <v>36.0</v>
      </c>
      <c r="K368" s="24">
        <f>IF(H368=0,0,CAPITAL!$C$5/H368)
</f>
        <v>5000</v>
      </c>
      <c r="L368" s="24">
        <f>IF(I368=0,0,CAPITAL!$C$6/I368)
</f>
        <v>20000</v>
      </c>
      <c r="M368" s="24">
        <f>IF(J368=0,0,CAPITAL!$C$7/J368)
</f>
        <v>69444.44444</v>
      </c>
      <c r="N368" s="24">
        <f t="shared" si="1"/>
        <v>94444.44444</v>
      </c>
      <c r="O368" s="24">
        <f t="shared" si="2"/>
        <v>0.05294117647</v>
      </c>
      <c r="P368" s="24">
        <f t="shared" si="3"/>
        <v>0.2117647059</v>
      </c>
      <c r="Q368" s="24">
        <f t="shared" si="4"/>
        <v>0.7352941176</v>
      </c>
    </row>
    <row r="369">
      <c r="A369" s="17">
        <v>367.0</v>
      </c>
      <c r="B369" s="24" t="s">
        <v>29</v>
      </c>
      <c r="C369" s="30"/>
      <c r="D369" s="22"/>
      <c r="E369" s="31"/>
      <c r="F369" s="22"/>
      <c r="G369" s="30"/>
      <c r="H369" s="24">
        <v>30.0</v>
      </c>
      <c r="I369" s="24">
        <v>35.0</v>
      </c>
      <c r="J369" s="24">
        <v>36.0</v>
      </c>
      <c r="K369" s="24">
        <f>IF(H369=0,0,CAPITAL!$C$5/H369)
</f>
        <v>5000</v>
      </c>
      <c r="L369" s="24">
        <f>IF(I369=0,0,CAPITAL!$C$6/I369)
</f>
        <v>20000</v>
      </c>
      <c r="M369" s="24">
        <f>IF(J369=0,0,CAPITAL!$C$7/J369)
</f>
        <v>69444.44444</v>
      </c>
      <c r="N369" s="24">
        <f t="shared" si="1"/>
        <v>94444.44444</v>
      </c>
      <c r="O369" s="24">
        <f t="shared" si="2"/>
        <v>0.05294117647</v>
      </c>
      <c r="P369" s="24">
        <f t="shared" si="3"/>
        <v>0.2117647059</v>
      </c>
      <c r="Q369" s="24">
        <f t="shared" si="4"/>
        <v>0.7352941176</v>
      </c>
    </row>
    <row r="370">
      <c r="A370" s="17">
        <v>368.0</v>
      </c>
      <c r="B370" s="24" t="s">
        <v>29</v>
      </c>
      <c r="C370" s="30"/>
      <c r="D370" s="22"/>
      <c r="E370" s="31"/>
      <c r="F370" s="22"/>
      <c r="G370" s="30"/>
      <c r="H370" s="24">
        <v>30.0</v>
      </c>
      <c r="I370" s="24">
        <v>35.0</v>
      </c>
      <c r="J370" s="24">
        <v>36.0</v>
      </c>
      <c r="K370" s="24">
        <f>IF(H370=0,0,CAPITAL!$C$5/H370)
</f>
        <v>5000</v>
      </c>
      <c r="L370" s="24">
        <f>IF(I370=0,0,CAPITAL!$C$6/I370)
</f>
        <v>20000</v>
      </c>
      <c r="M370" s="24">
        <f>IF(J370=0,0,CAPITAL!$C$7/J370)
</f>
        <v>69444.44444</v>
      </c>
      <c r="N370" s="24">
        <f t="shared" si="1"/>
        <v>94444.44444</v>
      </c>
      <c r="O370" s="24">
        <f t="shared" si="2"/>
        <v>0.05294117647</v>
      </c>
      <c r="P370" s="24">
        <f t="shared" si="3"/>
        <v>0.2117647059</v>
      </c>
      <c r="Q370" s="24">
        <f t="shared" si="4"/>
        <v>0.7352941176</v>
      </c>
    </row>
    <row r="371">
      <c r="A371" s="17">
        <v>369.0</v>
      </c>
      <c r="B371" s="24" t="s">
        <v>29</v>
      </c>
      <c r="C371" s="30"/>
      <c r="D371" s="22"/>
      <c r="E371" s="31"/>
      <c r="F371" s="22"/>
      <c r="G371" s="30"/>
      <c r="H371" s="24">
        <v>30.0</v>
      </c>
      <c r="I371" s="24">
        <v>35.0</v>
      </c>
      <c r="J371" s="24">
        <v>36.0</v>
      </c>
      <c r="K371" s="24">
        <f>IF(H371=0,0,CAPITAL!$C$5/H371)
</f>
        <v>5000</v>
      </c>
      <c r="L371" s="24">
        <f>IF(I371=0,0,CAPITAL!$C$6/I371)
</f>
        <v>20000</v>
      </c>
      <c r="M371" s="24">
        <f>IF(J371=0,0,CAPITAL!$C$7/J371)
</f>
        <v>69444.44444</v>
      </c>
      <c r="N371" s="24">
        <f t="shared" si="1"/>
        <v>94444.44444</v>
      </c>
      <c r="O371" s="24">
        <f t="shared" si="2"/>
        <v>0.05294117647</v>
      </c>
      <c r="P371" s="24">
        <f t="shared" si="3"/>
        <v>0.2117647059</v>
      </c>
      <c r="Q371" s="24">
        <f t="shared" si="4"/>
        <v>0.7352941176</v>
      </c>
    </row>
    <row r="372">
      <c r="A372" s="17">
        <v>370.0</v>
      </c>
      <c r="B372" s="24" t="s">
        <v>29</v>
      </c>
      <c r="C372" s="30"/>
      <c r="D372" s="22"/>
      <c r="E372" s="31"/>
      <c r="F372" s="22"/>
      <c r="G372" s="30"/>
      <c r="H372" s="24">
        <v>30.0</v>
      </c>
      <c r="I372" s="24">
        <v>35.0</v>
      </c>
      <c r="J372" s="24">
        <v>36.0</v>
      </c>
      <c r="K372" s="24">
        <f>IF(H372=0,0,CAPITAL!$C$5/H372)
</f>
        <v>5000</v>
      </c>
      <c r="L372" s="24">
        <f>IF(I372=0,0,CAPITAL!$C$6/I372)
</f>
        <v>20000</v>
      </c>
      <c r="M372" s="24">
        <f>IF(J372=0,0,CAPITAL!$C$7/J372)
</f>
        <v>69444.44444</v>
      </c>
      <c r="N372" s="24">
        <f t="shared" si="1"/>
        <v>94444.44444</v>
      </c>
      <c r="O372" s="24">
        <f t="shared" si="2"/>
        <v>0.05294117647</v>
      </c>
      <c r="P372" s="24">
        <f t="shared" si="3"/>
        <v>0.2117647059</v>
      </c>
      <c r="Q372" s="24">
        <f t="shared" si="4"/>
        <v>0.7352941176</v>
      </c>
    </row>
    <row r="373">
      <c r="A373" s="17">
        <v>371.0</v>
      </c>
      <c r="B373" s="24" t="s">
        <v>29</v>
      </c>
      <c r="C373" s="30"/>
      <c r="D373" s="22"/>
      <c r="E373" s="31"/>
      <c r="F373" s="22"/>
      <c r="G373" s="30"/>
      <c r="H373" s="24">
        <v>30.0</v>
      </c>
      <c r="I373" s="24">
        <v>35.0</v>
      </c>
      <c r="J373" s="24">
        <v>36.0</v>
      </c>
      <c r="K373" s="24">
        <f>IF(H373=0,0,CAPITAL!$C$5/H373)
</f>
        <v>5000</v>
      </c>
      <c r="L373" s="24">
        <f>IF(I373=0,0,CAPITAL!$C$6/I373)
</f>
        <v>20000</v>
      </c>
      <c r="M373" s="24">
        <f>IF(J373=0,0,CAPITAL!$C$7/J373)
</f>
        <v>69444.44444</v>
      </c>
      <c r="N373" s="24">
        <f t="shared" si="1"/>
        <v>94444.44444</v>
      </c>
      <c r="O373" s="24">
        <f t="shared" si="2"/>
        <v>0.05294117647</v>
      </c>
      <c r="P373" s="24">
        <f t="shared" si="3"/>
        <v>0.2117647059</v>
      </c>
      <c r="Q373" s="24">
        <f t="shared" si="4"/>
        <v>0.7352941176</v>
      </c>
    </row>
    <row r="374">
      <c r="A374" s="17">
        <v>372.0</v>
      </c>
      <c r="B374" s="24" t="s">
        <v>29</v>
      </c>
      <c r="C374" s="30"/>
      <c r="D374" s="22"/>
      <c r="E374" s="31"/>
      <c r="F374" s="22"/>
      <c r="G374" s="30"/>
      <c r="H374" s="24">
        <v>30.0</v>
      </c>
      <c r="I374" s="24">
        <v>35.0</v>
      </c>
      <c r="J374" s="24">
        <v>36.0</v>
      </c>
      <c r="K374" s="24">
        <f>IF(H374=0,0,CAPITAL!$C$5/H374)
</f>
        <v>5000</v>
      </c>
      <c r="L374" s="24">
        <f>IF(I374=0,0,CAPITAL!$C$6/I374)
</f>
        <v>20000</v>
      </c>
      <c r="M374" s="24">
        <f>IF(J374=0,0,CAPITAL!$C$7/J374)
</f>
        <v>69444.44444</v>
      </c>
      <c r="N374" s="24">
        <f t="shared" si="1"/>
        <v>94444.44444</v>
      </c>
      <c r="O374" s="24">
        <f t="shared" si="2"/>
        <v>0.05294117647</v>
      </c>
      <c r="P374" s="24">
        <f t="shared" si="3"/>
        <v>0.2117647059</v>
      </c>
      <c r="Q374" s="24">
        <f t="shared" si="4"/>
        <v>0.7352941176</v>
      </c>
    </row>
    <row r="375">
      <c r="A375" s="17">
        <v>373.0</v>
      </c>
      <c r="B375" s="24" t="s">
        <v>29</v>
      </c>
      <c r="C375" s="30"/>
      <c r="D375" s="22"/>
      <c r="E375" s="31"/>
      <c r="F375" s="22"/>
      <c r="G375" s="30"/>
      <c r="H375" s="24">
        <v>30.0</v>
      </c>
      <c r="I375" s="24">
        <v>35.0</v>
      </c>
      <c r="J375" s="24">
        <v>36.0</v>
      </c>
      <c r="K375" s="24">
        <f>IF(H375=0,0,CAPITAL!$C$5/H375)
</f>
        <v>5000</v>
      </c>
      <c r="L375" s="24">
        <f>IF(I375=0,0,CAPITAL!$C$6/I375)
</f>
        <v>20000</v>
      </c>
      <c r="M375" s="24">
        <f>IF(J375=0,0,CAPITAL!$C$7/J375)
</f>
        <v>69444.44444</v>
      </c>
      <c r="N375" s="24">
        <f t="shared" si="1"/>
        <v>94444.44444</v>
      </c>
      <c r="O375" s="24">
        <f t="shared" si="2"/>
        <v>0.05294117647</v>
      </c>
      <c r="P375" s="24">
        <f t="shared" si="3"/>
        <v>0.2117647059</v>
      </c>
      <c r="Q375" s="24">
        <f t="shared" si="4"/>
        <v>0.7352941176</v>
      </c>
    </row>
    <row r="376">
      <c r="A376" s="17">
        <v>374.0</v>
      </c>
      <c r="B376" s="24" t="s">
        <v>29</v>
      </c>
      <c r="C376" s="30"/>
      <c r="D376" s="22"/>
      <c r="E376" s="31"/>
      <c r="F376" s="22"/>
      <c r="G376" s="30"/>
      <c r="H376" s="24">
        <v>30.0</v>
      </c>
      <c r="I376" s="24">
        <v>35.0</v>
      </c>
      <c r="J376" s="24">
        <v>36.0</v>
      </c>
      <c r="K376" s="24">
        <f>IF(H376=0,0,CAPITAL!$C$5/H376)
</f>
        <v>5000</v>
      </c>
      <c r="L376" s="24">
        <f>IF(I376=0,0,CAPITAL!$C$6/I376)
</f>
        <v>20000</v>
      </c>
      <c r="M376" s="24">
        <f>IF(J376=0,0,CAPITAL!$C$7/J376)
</f>
        <v>69444.44444</v>
      </c>
      <c r="N376" s="24">
        <f t="shared" si="1"/>
        <v>94444.44444</v>
      </c>
      <c r="O376" s="24">
        <f t="shared" si="2"/>
        <v>0.05294117647</v>
      </c>
      <c r="P376" s="24">
        <f t="shared" si="3"/>
        <v>0.2117647059</v>
      </c>
      <c r="Q376" s="24">
        <f t="shared" si="4"/>
        <v>0.7352941176</v>
      </c>
    </row>
    <row r="377">
      <c r="A377" s="17">
        <v>375.0</v>
      </c>
      <c r="B377" s="24" t="s">
        <v>29</v>
      </c>
      <c r="C377" s="30"/>
      <c r="D377" s="22"/>
      <c r="E377" s="31"/>
      <c r="F377" s="22"/>
      <c r="G377" s="30"/>
      <c r="H377" s="24">
        <v>30.0</v>
      </c>
      <c r="I377" s="24">
        <v>35.0</v>
      </c>
      <c r="J377" s="24">
        <v>36.0</v>
      </c>
      <c r="K377" s="24">
        <f>IF(H377=0,0,CAPITAL!$C$5/H377)
</f>
        <v>5000</v>
      </c>
      <c r="L377" s="24">
        <f>IF(I377=0,0,CAPITAL!$C$6/I377)
</f>
        <v>20000</v>
      </c>
      <c r="M377" s="24">
        <f>IF(J377=0,0,CAPITAL!$C$7/J377)
</f>
        <v>69444.44444</v>
      </c>
      <c r="N377" s="24">
        <f t="shared" si="1"/>
        <v>94444.44444</v>
      </c>
      <c r="O377" s="24">
        <f t="shared" si="2"/>
        <v>0.05294117647</v>
      </c>
      <c r="P377" s="24">
        <f t="shared" si="3"/>
        <v>0.2117647059</v>
      </c>
      <c r="Q377" s="24">
        <f t="shared" si="4"/>
        <v>0.7352941176</v>
      </c>
    </row>
    <row r="378">
      <c r="A378" s="17">
        <v>376.0</v>
      </c>
      <c r="B378" s="24" t="s">
        <v>29</v>
      </c>
      <c r="C378" s="30"/>
      <c r="D378" s="22"/>
      <c r="E378" s="31"/>
      <c r="F378" s="22"/>
      <c r="G378" s="30"/>
      <c r="H378" s="24">
        <v>30.0</v>
      </c>
      <c r="I378" s="24">
        <v>35.0</v>
      </c>
      <c r="J378" s="24">
        <v>36.0</v>
      </c>
      <c r="K378" s="24">
        <f>IF(H378=0,0,CAPITAL!$C$5/H378)
</f>
        <v>5000</v>
      </c>
      <c r="L378" s="24">
        <f>IF(I378=0,0,CAPITAL!$C$6/I378)
</f>
        <v>20000</v>
      </c>
      <c r="M378" s="24">
        <f>IF(J378=0,0,CAPITAL!$C$7/J378)
</f>
        <v>69444.44444</v>
      </c>
      <c r="N378" s="24">
        <f t="shared" si="1"/>
        <v>94444.44444</v>
      </c>
      <c r="O378" s="24">
        <f t="shared" si="2"/>
        <v>0.05294117647</v>
      </c>
      <c r="P378" s="24">
        <f t="shared" si="3"/>
        <v>0.2117647059</v>
      </c>
      <c r="Q378" s="24">
        <f t="shared" si="4"/>
        <v>0.7352941176</v>
      </c>
    </row>
    <row r="379">
      <c r="A379" s="17">
        <v>377.0</v>
      </c>
      <c r="B379" s="24" t="s">
        <v>29</v>
      </c>
      <c r="C379" s="30"/>
      <c r="D379" s="22"/>
      <c r="E379" s="31"/>
      <c r="F379" s="22"/>
      <c r="G379" s="30"/>
      <c r="H379" s="24">
        <v>30.0</v>
      </c>
      <c r="I379" s="24">
        <v>35.0</v>
      </c>
      <c r="J379" s="24">
        <v>36.0</v>
      </c>
      <c r="K379" s="24">
        <f>IF(H379=0,0,CAPITAL!$C$5/H379)
</f>
        <v>5000</v>
      </c>
      <c r="L379" s="24">
        <f>IF(I379=0,0,CAPITAL!$C$6/I379)
</f>
        <v>20000</v>
      </c>
      <c r="M379" s="24">
        <f>IF(J379=0,0,CAPITAL!$C$7/J379)
</f>
        <v>69444.44444</v>
      </c>
      <c r="N379" s="24">
        <f t="shared" si="1"/>
        <v>94444.44444</v>
      </c>
      <c r="O379" s="24">
        <f t="shared" si="2"/>
        <v>0.05294117647</v>
      </c>
      <c r="P379" s="24">
        <f t="shared" si="3"/>
        <v>0.2117647059</v>
      </c>
      <c r="Q379" s="24">
        <f t="shared" si="4"/>
        <v>0.7352941176</v>
      </c>
    </row>
    <row r="380">
      <c r="A380" s="17">
        <v>378.0</v>
      </c>
      <c r="B380" s="24" t="s">
        <v>29</v>
      </c>
      <c r="C380" s="30"/>
      <c r="D380" s="22"/>
      <c r="E380" s="31"/>
      <c r="F380" s="22"/>
      <c r="G380" s="30"/>
      <c r="H380" s="24">
        <v>30.0</v>
      </c>
      <c r="I380" s="24">
        <v>35.0</v>
      </c>
      <c r="J380" s="24">
        <v>36.0</v>
      </c>
      <c r="K380" s="24">
        <f>IF(H380=0,0,CAPITAL!$C$5/H380)
</f>
        <v>5000</v>
      </c>
      <c r="L380" s="24">
        <f>IF(I380=0,0,CAPITAL!$C$6/I380)
</f>
        <v>20000</v>
      </c>
      <c r="M380" s="24">
        <f>IF(J380=0,0,CAPITAL!$C$7/J380)
</f>
        <v>69444.44444</v>
      </c>
      <c r="N380" s="24">
        <f t="shared" si="1"/>
        <v>94444.44444</v>
      </c>
      <c r="O380" s="24">
        <f t="shared" si="2"/>
        <v>0.05294117647</v>
      </c>
      <c r="P380" s="24">
        <f t="shared" si="3"/>
        <v>0.2117647059</v>
      </c>
      <c r="Q380" s="24">
        <f t="shared" si="4"/>
        <v>0.7352941176</v>
      </c>
    </row>
    <row r="381">
      <c r="A381" s="17">
        <v>379.0</v>
      </c>
      <c r="B381" s="24" t="s">
        <v>29</v>
      </c>
      <c r="C381" s="30"/>
      <c r="D381" s="22"/>
      <c r="E381" s="31"/>
      <c r="F381" s="22"/>
      <c r="G381" s="30"/>
      <c r="H381" s="24">
        <v>30.0</v>
      </c>
      <c r="I381" s="24">
        <v>35.0</v>
      </c>
      <c r="J381" s="24">
        <v>36.0</v>
      </c>
      <c r="K381" s="24">
        <f>IF(H381=0,0,CAPITAL!$C$5/H381)
</f>
        <v>5000</v>
      </c>
      <c r="L381" s="24">
        <f>IF(I381=0,0,CAPITAL!$C$6/I381)
</f>
        <v>20000</v>
      </c>
      <c r="M381" s="24">
        <f>IF(J381=0,0,CAPITAL!$C$7/J381)
</f>
        <v>69444.44444</v>
      </c>
      <c r="N381" s="24">
        <f t="shared" si="1"/>
        <v>94444.44444</v>
      </c>
      <c r="O381" s="24">
        <f t="shared" si="2"/>
        <v>0.05294117647</v>
      </c>
      <c r="P381" s="24">
        <f t="shared" si="3"/>
        <v>0.2117647059</v>
      </c>
      <c r="Q381" s="24">
        <f t="shared" si="4"/>
        <v>0.7352941176</v>
      </c>
    </row>
    <row r="382">
      <c r="A382" s="17">
        <v>380.0</v>
      </c>
      <c r="B382" s="24" t="s">
        <v>29</v>
      </c>
      <c r="C382" s="30"/>
      <c r="D382" s="22"/>
      <c r="E382" s="31"/>
      <c r="F382" s="22"/>
      <c r="G382" s="30"/>
      <c r="H382" s="24">
        <v>30.0</v>
      </c>
      <c r="I382" s="24">
        <v>35.0</v>
      </c>
      <c r="J382" s="24">
        <v>36.0</v>
      </c>
      <c r="K382" s="24">
        <f>IF(H382=0,0,CAPITAL!$C$5/H382)
</f>
        <v>5000</v>
      </c>
      <c r="L382" s="24">
        <f>IF(I382=0,0,CAPITAL!$C$6/I382)
</f>
        <v>20000</v>
      </c>
      <c r="M382" s="24">
        <f>IF(J382=0,0,CAPITAL!$C$7/J382)
</f>
        <v>69444.44444</v>
      </c>
      <c r="N382" s="24">
        <f t="shared" si="1"/>
        <v>94444.44444</v>
      </c>
      <c r="O382" s="24">
        <f t="shared" si="2"/>
        <v>0.05294117647</v>
      </c>
      <c r="P382" s="24">
        <f t="shared" si="3"/>
        <v>0.2117647059</v>
      </c>
      <c r="Q382" s="24">
        <f t="shared" si="4"/>
        <v>0.7352941176</v>
      </c>
    </row>
    <row r="383">
      <c r="A383" s="17">
        <v>381.0</v>
      </c>
      <c r="B383" s="24" t="s">
        <v>29</v>
      </c>
      <c r="C383" s="30"/>
      <c r="D383" s="22"/>
      <c r="E383" s="31"/>
      <c r="F383" s="22"/>
      <c r="G383" s="30"/>
      <c r="H383" s="24">
        <v>30.0</v>
      </c>
      <c r="I383" s="24">
        <v>35.0</v>
      </c>
      <c r="J383" s="24">
        <v>36.0</v>
      </c>
      <c r="K383" s="24">
        <f>IF(H383=0,0,CAPITAL!$C$5/H383)
</f>
        <v>5000</v>
      </c>
      <c r="L383" s="24">
        <f>IF(I383=0,0,CAPITAL!$C$6/I383)
</f>
        <v>20000</v>
      </c>
      <c r="M383" s="24">
        <f>IF(J383=0,0,CAPITAL!$C$7/J383)
</f>
        <v>69444.44444</v>
      </c>
      <c r="N383" s="24">
        <f t="shared" si="1"/>
        <v>94444.44444</v>
      </c>
      <c r="O383" s="24">
        <f t="shared" si="2"/>
        <v>0.05294117647</v>
      </c>
      <c r="P383" s="24">
        <f t="shared" si="3"/>
        <v>0.2117647059</v>
      </c>
      <c r="Q383" s="24">
        <f t="shared" si="4"/>
        <v>0.7352941176</v>
      </c>
    </row>
    <row r="384">
      <c r="A384" s="17">
        <v>382.0</v>
      </c>
      <c r="B384" s="24" t="s">
        <v>29</v>
      </c>
      <c r="C384" s="30"/>
      <c r="D384" s="22"/>
      <c r="E384" s="31"/>
      <c r="F384" s="22"/>
      <c r="G384" s="30"/>
      <c r="H384" s="24">
        <v>30.0</v>
      </c>
      <c r="I384" s="24">
        <v>35.0</v>
      </c>
      <c r="J384" s="24">
        <v>36.0</v>
      </c>
      <c r="K384" s="24">
        <f>IF(H384=0,0,CAPITAL!$C$5/H384)
</f>
        <v>5000</v>
      </c>
      <c r="L384" s="24">
        <f>IF(I384=0,0,CAPITAL!$C$6/I384)
</f>
        <v>20000</v>
      </c>
      <c r="M384" s="24">
        <f>IF(J384=0,0,CAPITAL!$C$7/J384)
</f>
        <v>69444.44444</v>
      </c>
      <c r="N384" s="24">
        <f t="shared" si="1"/>
        <v>94444.44444</v>
      </c>
      <c r="O384" s="24">
        <f t="shared" si="2"/>
        <v>0.05294117647</v>
      </c>
      <c r="P384" s="24">
        <f t="shared" si="3"/>
        <v>0.2117647059</v>
      </c>
      <c r="Q384" s="24">
        <f t="shared" si="4"/>
        <v>0.7352941176</v>
      </c>
    </row>
    <row r="385">
      <c r="A385" s="17">
        <v>383.0</v>
      </c>
      <c r="B385" s="24" t="s">
        <v>29</v>
      </c>
      <c r="C385" s="30"/>
      <c r="D385" s="22"/>
      <c r="E385" s="31"/>
      <c r="F385" s="22"/>
      <c r="G385" s="30"/>
      <c r="H385" s="24">
        <v>30.0</v>
      </c>
      <c r="I385" s="24">
        <v>35.0</v>
      </c>
      <c r="J385" s="24">
        <v>36.0</v>
      </c>
      <c r="K385" s="24">
        <f>IF(H385=0,0,CAPITAL!$C$5/H385)
</f>
        <v>5000</v>
      </c>
      <c r="L385" s="24">
        <f>IF(I385=0,0,CAPITAL!$C$6/I385)
</f>
        <v>20000</v>
      </c>
      <c r="M385" s="24">
        <f>IF(J385=0,0,CAPITAL!$C$7/J385)
</f>
        <v>69444.44444</v>
      </c>
      <c r="N385" s="24">
        <f t="shared" si="1"/>
        <v>94444.44444</v>
      </c>
      <c r="O385" s="24">
        <f t="shared" si="2"/>
        <v>0.05294117647</v>
      </c>
      <c r="P385" s="24">
        <f t="shared" si="3"/>
        <v>0.2117647059</v>
      </c>
      <c r="Q385" s="24">
        <f t="shared" si="4"/>
        <v>0.7352941176</v>
      </c>
    </row>
    <row r="386">
      <c r="A386" s="17">
        <v>384.0</v>
      </c>
      <c r="B386" s="24" t="s">
        <v>29</v>
      </c>
      <c r="C386" s="30"/>
      <c r="D386" s="22"/>
      <c r="E386" s="31"/>
      <c r="F386" s="22"/>
      <c r="G386" s="30"/>
      <c r="H386" s="24">
        <v>30.0</v>
      </c>
      <c r="I386" s="24">
        <v>35.0</v>
      </c>
      <c r="J386" s="24">
        <v>36.0</v>
      </c>
      <c r="K386" s="24">
        <f>IF(H386=0,0,CAPITAL!$C$5/H386)
</f>
        <v>5000</v>
      </c>
      <c r="L386" s="24">
        <f>IF(I386=0,0,CAPITAL!$C$6/I386)
</f>
        <v>20000</v>
      </c>
      <c r="M386" s="24">
        <f>IF(J386=0,0,CAPITAL!$C$7/J386)
</f>
        <v>69444.44444</v>
      </c>
      <c r="N386" s="24">
        <f t="shared" si="1"/>
        <v>94444.44444</v>
      </c>
      <c r="O386" s="24">
        <f t="shared" si="2"/>
        <v>0.05294117647</v>
      </c>
      <c r="P386" s="24">
        <f t="shared" si="3"/>
        <v>0.2117647059</v>
      </c>
      <c r="Q386" s="24">
        <f t="shared" si="4"/>
        <v>0.7352941176</v>
      </c>
    </row>
    <row r="387">
      <c r="A387" s="17">
        <v>385.0</v>
      </c>
      <c r="B387" s="24" t="s">
        <v>29</v>
      </c>
      <c r="C387" s="30"/>
      <c r="D387" s="22"/>
      <c r="E387" s="31"/>
      <c r="F387" s="22"/>
      <c r="G387" s="30"/>
      <c r="H387" s="24">
        <v>30.0</v>
      </c>
      <c r="I387" s="24">
        <v>35.0</v>
      </c>
      <c r="J387" s="24">
        <v>36.0</v>
      </c>
      <c r="K387" s="24">
        <f>IF(H387=0,0,CAPITAL!$C$5/H387)
</f>
        <v>5000</v>
      </c>
      <c r="L387" s="24">
        <f>IF(I387=0,0,CAPITAL!$C$6/I387)
</f>
        <v>20000</v>
      </c>
      <c r="M387" s="24">
        <f>IF(J387=0,0,CAPITAL!$C$7/J387)
</f>
        <v>69444.44444</v>
      </c>
      <c r="N387" s="24">
        <f t="shared" si="1"/>
        <v>94444.44444</v>
      </c>
      <c r="O387" s="24">
        <f t="shared" si="2"/>
        <v>0.05294117647</v>
      </c>
      <c r="P387" s="24">
        <f t="shared" si="3"/>
        <v>0.2117647059</v>
      </c>
      <c r="Q387" s="24">
        <f t="shared" si="4"/>
        <v>0.7352941176</v>
      </c>
    </row>
    <row r="388">
      <c r="A388" s="17">
        <v>386.0</v>
      </c>
      <c r="B388" s="24" t="s">
        <v>29</v>
      </c>
      <c r="C388" s="30"/>
      <c r="D388" s="22"/>
      <c r="E388" s="31"/>
      <c r="F388" s="22"/>
      <c r="G388" s="30"/>
      <c r="H388" s="24">
        <v>30.0</v>
      </c>
      <c r="I388" s="24">
        <v>35.0</v>
      </c>
      <c r="J388" s="24">
        <v>36.0</v>
      </c>
      <c r="K388" s="24">
        <f>IF(H388=0,0,CAPITAL!$C$5/H388)
</f>
        <v>5000</v>
      </c>
      <c r="L388" s="24">
        <f>IF(I388=0,0,CAPITAL!$C$6/I388)
</f>
        <v>20000</v>
      </c>
      <c r="M388" s="24">
        <f>IF(J388=0,0,CAPITAL!$C$7/J388)
</f>
        <v>69444.44444</v>
      </c>
      <c r="N388" s="24">
        <f t="shared" si="1"/>
        <v>94444.44444</v>
      </c>
      <c r="O388" s="24">
        <f t="shared" si="2"/>
        <v>0.05294117647</v>
      </c>
      <c r="P388" s="24">
        <f t="shared" si="3"/>
        <v>0.2117647059</v>
      </c>
      <c r="Q388" s="24">
        <f t="shared" si="4"/>
        <v>0.7352941176</v>
      </c>
    </row>
    <row r="389">
      <c r="A389" s="17">
        <v>387.0</v>
      </c>
      <c r="B389" s="24" t="s">
        <v>29</v>
      </c>
      <c r="C389" s="30"/>
      <c r="D389" s="22"/>
      <c r="E389" s="31"/>
      <c r="F389" s="22"/>
      <c r="G389" s="30"/>
      <c r="H389" s="24">
        <v>30.0</v>
      </c>
      <c r="I389" s="24">
        <v>35.0</v>
      </c>
      <c r="J389" s="24">
        <v>36.0</v>
      </c>
      <c r="K389" s="24">
        <f>IF(H389=0,0,CAPITAL!$C$5/H389)
</f>
        <v>5000</v>
      </c>
      <c r="L389" s="24">
        <f>IF(I389=0,0,CAPITAL!$C$6/I389)
</f>
        <v>20000</v>
      </c>
      <c r="M389" s="24">
        <f>IF(J389=0,0,CAPITAL!$C$7/J389)
</f>
        <v>69444.44444</v>
      </c>
      <c r="N389" s="24">
        <f t="shared" si="1"/>
        <v>94444.44444</v>
      </c>
      <c r="O389" s="24">
        <f t="shared" si="2"/>
        <v>0.05294117647</v>
      </c>
      <c r="P389" s="24">
        <f t="shared" si="3"/>
        <v>0.2117647059</v>
      </c>
      <c r="Q389" s="24">
        <f t="shared" si="4"/>
        <v>0.7352941176</v>
      </c>
    </row>
    <row r="390">
      <c r="A390" s="17">
        <v>388.0</v>
      </c>
      <c r="B390" s="24" t="s">
        <v>29</v>
      </c>
      <c r="C390" s="30"/>
      <c r="D390" s="22"/>
      <c r="E390" s="31"/>
      <c r="F390" s="22"/>
      <c r="G390" s="30"/>
      <c r="H390" s="24">
        <v>30.0</v>
      </c>
      <c r="I390" s="24">
        <v>35.0</v>
      </c>
      <c r="J390" s="24">
        <v>36.0</v>
      </c>
      <c r="K390" s="24">
        <f>IF(H390=0,0,CAPITAL!$C$5/H390)
</f>
        <v>5000</v>
      </c>
      <c r="L390" s="24">
        <f>IF(I390=0,0,CAPITAL!$C$6/I390)
</f>
        <v>20000</v>
      </c>
      <c r="M390" s="24">
        <f>IF(J390=0,0,CAPITAL!$C$7/J390)
</f>
        <v>69444.44444</v>
      </c>
      <c r="N390" s="24">
        <f t="shared" si="1"/>
        <v>94444.44444</v>
      </c>
      <c r="O390" s="24">
        <f t="shared" si="2"/>
        <v>0.05294117647</v>
      </c>
      <c r="P390" s="24">
        <f t="shared" si="3"/>
        <v>0.2117647059</v>
      </c>
      <c r="Q390" s="24">
        <f t="shared" si="4"/>
        <v>0.7352941176</v>
      </c>
    </row>
    <row r="391">
      <c r="A391" s="17">
        <v>389.0</v>
      </c>
      <c r="B391" s="24" t="s">
        <v>29</v>
      </c>
      <c r="C391" s="30"/>
      <c r="D391" s="22"/>
      <c r="E391" s="31"/>
      <c r="F391" s="22"/>
      <c r="G391" s="30"/>
      <c r="H391" s="24">
        <v>30.0</v>
      </c>
      <c r="I391" s="24">
        <v>35.0</v>
      </c>
      <c r="J391" s="24">
        <v>36.0</v>
      </c>
      <c r="K391" s="24">
        <f>IF(H391=0,0,CAPITAL!$C$5/H391)
</f>
        <v>5000</v>
      </c>
      <c r="L391" s="24">
        <f>IF(I391=0,0,CAPITAL!$C$6/I391)
</f>
        <v>20000</v>
      </c>
      <c r="M391" s="24">
        <f>IF(J391=0,0,CAPITAL!$C$7/J391)
</f>
        <v>69444.44444</v>
      </c>
      <c r="N391" s="24">
        <f t="shared" si="1"/>
        <v>94444.44444</v>
      </c>
      <c r="O391" s="24">
        <f t="shared" si="2"/>
        <v>0.05294117647</v>
      </c>
      <c r="P391" s="24">
        <f t="shared" si="3"/>
        <v>0.2117647059</v>
      </c>
      <c r="Q391" s="24">
        <f t="shared" si="4"/>
        <v>0.7352941176</v>
      </c>
    </row>
    <row r="392">
      <c r="A392" s="17">
        <v>390.0</v>
      </c>
      <c r="B392" s="24" t="s">
        <v>29</v>
      </c>
      <c r="C392" s="30"/>
      <c r="D392" s="22"/>
      <c r="E392" s="31"/>
      <c r="F392" s="22"/>
      <c r="G392" s="30"/>
      <c r="H392" s="24">
        <v>30.0</v>
      </c>
      <c r="I392" s="24">
        <v>35.0</v>
      </c>
      <c r="J392" s="24">
        <v>36.0</v>
      </c>
      <c r="K392" s="24">
        <f>IF(H392=0,0,CAPITAL!$C$5/H392)
</f>
        <v>5000</v>
      </c>
      <c r="L392" s="24">
        <f>IF(I392=0,0,CAPITAL!$C$6/I392)
</f>
        <v>20000</v>
      </c>
      <c r="M392" s="24">
        <f>IF(J392=0,0,CAPITAL!$C$7/J392)
</f>
        <v>69444.44444</v>
      </c>
      <c r="N392" s="24">
        <f t="shared" si="1"/>
        <v>94444.44444</v>
      </c>
      <c r="O392" s="24">
        <f t="shared" si="2"/>
        <v>0.05294117647</v>
      </c>
      <c r="P392" s="24">
        <f t="shared" si="3"/>
        <v>0.2117647059</v>
      </c>
      <c r="Q392" s="24">
        <f t="shared" si="4"/>
        <v>0.7352941176</v>
      </c>
    </row>
    <row r="393">
      <c r="A393" s="17">
        <v>391.0</v>
      </c>
      <c r="B393" s="24" t="s">
        <v>29</v>
      </c>
      <c r="C393" s="30"/>
      <c r="D393" s="22"/>
      <c r="E393" s="31"/>
      <c r="F393" s="22"/>
      <c r="G393" s="30"/>
      <c r="H393" s="24">
        <v>30.0</v>
      </c>
      <c r="I393" s="24">
        <v>35.0</v>
      </c>
      <c r="J393" s="24">
        <v>36.0</v>
      </c>
      <c r="K393" s="24">
        <f>IF(H393=0,0,CAPITAL!$C$5/H393)
</f>
        <v>5000</v>
      </c>
      <c r="L393" s="24">
        <f>IF(I393=0,0,CAPITAL!$C$6/I393)
</f>
        <v>20000</v>
      </c>
      <c r="M393" s="24">
        <f>IF(J393=0,0,CAPITAL!$C$7/J393)
</f>
        <v>69444.44444</v>
      </c>
      <c r="N393" s="24">
        <f t="shared" si="1"/>
        <v>94444.44444</v>
      </c>
      <c r="O393" s="24">
        <f t="shared" si="2"/>
        <v>0.05294117647</v>
      </c>
      <c r="P393" s="24">
        <f t="shared" si="3"/>
        <v>0.2117647059</v>
      </c>
      <c r="Q393" s="24">
        <f t="shared" si="4"/>
        <v>0.7352941176</v>
      </c>
    </row>
    <row r="394">
      <c r="A394" s="17">
        <v>392.0</v>
      </c>
      <c r="B394" s="24" t="s">
        <v>29</v>
      </c>
      <c r="C394" s="30"/>
      <c r="D394" s="22"/>
      <c r="E394" s="31"/>
      <c r="F394" s="22"/>
      <c r="G394" s="30"/>
      <c r="H394" s="24">
        <v>30.0</v>
      </c>
      <c r="I394" s="24">
        <v>35.0</v>
      </c>
      <c r="J394" s="24">
        <v>36.0</v>
      </c>
      <c r="K394" s="24">
        <f>IF(H394=0,0,CAPITAL!$C$5/H394)
</f>
        <v>5000</v>
      </c>
      <c r="L394" s="24">
        <f>IF(I394=0,0,CAPITAL!$C$6/I394)
</f>
        <v>20000</v>
      </c>
      <c r="M394" s="24">
        <f>IF(J394=0,0,CAPITAL!$C$7/J394)
</f>
        <v>69444.44444</v>
      </c>
      <c r="N394" s="24">
        <f t="shared" si="1"/>
        <v>94444.44444</v>
      </c>
      <c r="O394" s="24">
        <f t="shared" si="2"/>
        <v>0.05294117647</v>
      </c>
      <c r="P394" s="24">
        <f t="shared" si="3"/>
        <v>0.2117647059</v>
      </c>
      <c r="Q394" s="24">
        <f t="shared" si="4"/>
        <v>0.7352941176</v>
      </c>
    </row>
    <row r="395">
      <c r="A395" s="17">
        <v>393.0</v>
      </c>
      <c r="B395" s="24" t="s">
        <v>29</v>
      </c>
      <c r="C395" s="30"/>
      <c r="D395" s="22"/>
      <c r="E395" s="31"/>
      <c r="F395" s="22"/>
      <c r="G395" s="30"/>
      <c r="H395" s="24">
        <v>30.0</v>
      </c>
      <c r="I395" s="24">
        <v>35.0</v>
      </c>
      <c r="J395" s="24">
        <v>36.0</v>
      </c>
      <c r="K395" s="24">
        <f>IF(H395=0,0,CAPITAL!$C$5/H395)
</f>
        <v>5000</v>
      </c>
      <c r="L395" s="24">
        <f>IF(I395=0,0,CAPITAL!$C$6/I395)
</f>
        <v>20000</v>
      </c>
      <c r="M395" s="24">
        <f>IF(J395=0,0,CAPITAL!$C$7/J395)
</f>
        <v>69444.44444</v>
      </c>
      <c r="N395" s="24">
        <f t="shared" si="1"/>
        <v>94444.44444</v>
      </c>
      <c r="O395" s="24">
        <f t="shared" si="2"/>
        <v>0.05294117647</v>
      </c>
      <c r="P395" s="24">
        <f t="shared" si="3"/>
        <v>0.2117647059</v>
      </c>
      <c r="Q395" s="24">
        <f t="shared" si="4"/>
        <v>0.7352941176</v>
      </c>
    </row>
    <row r="396">
      <c r="A396" s="17">
        <v>394.0</v>
      </c>
      <c r="B396" s="24" t="s">
        <v>29</v>
      </c>
      <c r="C396" s="30"/>
      <c r="D396" s="22"/>
      <c r="E396" s="31"/>
      <c r="F396" s="22"/>
      <c r="G396" s="30"/>
      <c r="H396" s="24">
        <v>30.0</v>
      </c>
      <c r="I396" s="24">
        <v>35.0</v>
      </c>
      <c r="J396" s="24">
        <v>36.0</v>
      </c>
      <c r="K396" s="24">
        <f>IF(H396=0,0,CAPITAL!$C$5/H396)
</f>
        <v>5000</v>
      </c>
      <c r="L396" s="24">
        <f>IF(I396=0,0,CAPITAL!$C$6/I396)
</f>
        <v>20000</v>
      </c>
      <c r="M396" s="24">
        <f>IF(J396=0,0,CAPITAL!$C$7/J396)
</f>
        <v>69444.44444</v>
      </c>
      <c r="N396" s="24">
        <f t="shared" si="1"/>
        <v>94444.44444</v>
      </c>
      <c r="O396" s="24">
        <f t="shared" si="2"/>
        <v>0.05294117647</v>
      </c>
      <c r="P396" s="24">
        <f t="shared" si="3"/>
        <v>0.2117647059</v>
      </c>
      <c r="Q396" s="24">
        <f t="shared" si="4"/>
        <v>0.7352941176</v>
      </c>
    </row>
    <row r="397">
      <c r="A397" s="17">
        <v>395.0</v>
      </c>
      <c r="B397" s="24" t="s">
        <v>29</v>
      </c>
      <c r="C397" s="30"/>
      <c r="D397" s="22"/>
      <c r="E397" s="31"/>
      <c r="F397" s="22"/>
      <c r="G397" s="30"/>
      <c r="H397" s="24">
        <v>30.0</v>
      </c>
      <c r="I397" s="24">
        <v>35.0</v>
      </c>
      <c r="J397" s="24">
        <v>36.0</v>
      </c>
      <c r="K397" s="24">
        <f>IF(H397=0,0,CAPITAL!$C$5/H397)
</f>
        <v>5000</v>
      </c>
      <c r="L397" s="24">
        <f>IF(I397=0,0,CAPITAL!$C$6/I397)
</f>
        <v>20000</v>
      </c>
      <c r="M397" s="24">
        <f>IF(J397=0,0,CAPITAL!$C$7/J397)
</f>
        <v>69444.44444</v>
      </c>
      <c r="N397" s="24">
        <f t="shared" si="1"/>
        <v>94444.44444</v>
      </c>
      <c r="O397" s="24">
        <f t="shared" si="2"/>
        <v>0.05294117647</v>
      </c>
      <c r="P397" s="24">
        <f t="shared" si="3"/>
        <v>0.2117647059</v>
      </c>
      <c r="Q397" s="24">
        <f t="shared" si="4"/>
        <v>0.7352941176</v>
      </c>
    </row>
    <row r="398">
      <c r="A398" s="17">
        <v>396.0</v>
      </c>
      <c r="B398" s="24" t="s">
        <v>29</v>
      </c>
      <c r="C398" s="30"/>
      <c r="D398" s="22"/>
      <c r="E398" s="31"/>
      <c r="F398" s="22"/>
      <c r="G398" s="30"/>
      <c r="H398" s="24">
        <v>30.0</v>
      </c>
      <c r="I398" s="24">
        <v>35.0</v>
      </c>
      <c r="J398" s="24">
        <v>36.0</v>
      </c>
      <c r="K398" s="24">
        <f>IF(H398=0,0,CAPITAL!$C$5/H398)
</f>
        <v>5000</v>
      </c>
      <c r="L398" s="24">
        <f>IF(I398=0,0,CAPITAL!$C$6/I398)
</f>
        <v>20000</v>
      </c>
      <c r="M398" s="24">
        <f>IF(J398=0,0,CAPITAL!$C$7/J398)
</f>
        <v>69444.44444</v>
      </c>
      <c r="N398" s="24">
        <f t="shared" si="1"/>
        <v>94444.44444</v>
      </c>
      <c r="O398" s="24">
        <f t="shared" si="2"/>
        <v>0.05294117647</v>
      </c>
      <c r="P398" s="24">
        <f t="shared" si="3"/>
        <v>0.2117647059</v>
      </c>
      <c r="Q398" s="24">
        <f t="shared" si="4"/>
        <v>0.7352941176</v>
      </c>
    </row>
    <row r="399">
      <c r="A399" s="17">
        <v>397.0</v>
      </c>
      <c r="B399" s="24" t="s">
        <v>29</v>
      </c>
      <c r="C399" s="30"/>
      <c r="D399" s="22"/>
      <c r="E399" s="31"/>
      <c r="F399" s="22"/>
      <c r="G399" s="30"/>
      <c r="H399" s="24">
        <v>30.0</v>
      </c>
      <c r="I399" s="24">
        <v>35.0</v>
      </c>
      <c r="J399" s="24">
        <v>36.0</v>
      </c>
      <c r="K399" s="24">
        <f>IF(H399=0,0,CAPITAL!$C$5/H399)
</f>
        <v>5000</v>
      </c>
      <c r="L399" s="24">
        <f>IF(I399=0,0,CAPITAL!$C$6/I399)
</f>
        <v>20000</v>
      </c>
      <c r="M399" s="24">
        <f>IF(J399=0,0,CAPITAL!$C$7/J399)
</f>
        <v>69444.44444</v>
      </c>
      <c r="N399" s="24">
        <f t="shared" si="1"/>
        <v>94444.44444</v>
      </c>
      <c r="O399" s="24">
        <f t="shared" si="2"/>
        <v>0.05294117647</v>
      </c>
      <c r="P399" s="24">
        <f t="shared" si="3"/>
        <v>0.2117647059</v>
      </c>
      <c r="Q399" s="24">
        <f t="shared" si="4"/>
        <v>0.7352941176</v>
      </c>
    </row>
    <row r="400">
      <c r="A400" s="17">
        <v>398.0</v>
      </c>
      <c r="B400" s="24" t="s">
        <v>29</v>
      </c>
      <c r="C400" s="30"/>
      <c r="D400" s="22"/>
      <c r="E400" s="31"/>
      <c r="F400" s="22"/>
      <c r="G400" s="30"/>
      <c r="H400" s="24">
        <v>30.0</v>
      </c>
      <c r="I400" s="24">
        <v>35.0</v>
      </c>
      <c r="J400" s="24">
        <v>36.0</v>
      </c>
      <c r="K400" s="24">
        <f>IF(H400=0,0,CAPITAL!$C$5/H400)
</f>
        <v>5000</v>
      </c>
      <c r="L400" s="24">
        <f>IF(I400=0,0,CAPITAL!$C$6/I400)
</f>
        <v>20000</v>
      </c>
      <c r="M400" s="24">
        <f>IF(J400=0,0,CAPITAL!$C$7/J400)
</f>
        <v>69444.44444</v>
      </c>
      <c r="N400" s="24">
        <f t="shared" si="1"/>
        <v>94444.44444</v>
      </c>
      <c r="O400" s="24">
        <f t="shared" si="2"/>
        <v>0.05294117647</v>
      </c>
      <c r="P400" s="24">
        <f t="shared" si="3"/>
        <v>0.2117647059</v>
      </c>
      <c r="Q400" s="24">
        <f t="shared" si="4"/>
        <v>0.7352941176</v>
      </c>
    </row>
    <row r="401">
      <c r="A401" s="17">
        <v>399.0</v>
      </c>
      <c r="B401" s="24" t="s">
        <v>29</v>
      </c>
      <c r="C401" s="30"/>
      <c r="D401" s="22"/>
      <c r="E401" s="31"/>
      <c r="F401" s="22"/>
      <c r="G401" s="30"/>
      <c r="H401" s="24">
        <v>30.0</v>
      </c>
      <c r="I401" s="24">
        <v>35.0</v>
      </c>
      <c r="J401" s="24">
        <v>36.0</v>
      </c>
      <c r="K401" s="24">
        <f>IF(H401=0,0,CAPITAL!$C$5/H401)
</f>
        <v>5000</v>
      </c>
      <c r="L401" s="24">
        <f>IF(I401=0,0,CAPITAL!$C$6/I401)
</f>
        <v>20000</v>
      </c>
      <c r="M401" s="24">
        <f>IF(J401=0,0,CAPITAL!$C$7/J401)
</f>
        <v>69444.44444</v>
      </c>
      <c r="N401" s="24">
        <f t="shared" si="1"/>
        <v>94444.44444</v>
      </c>
      <c r="O401" s="24">
        <f t="shared" si="2"/>
        <v>0.05294117647</v>
      </c>
      <c r="P401" s="24">
        <f t="shared" si="3"/>
        <v>0.2117647059</v>
      </c>
      <c r="Q401" s="24">
        <f t="shared" si="4"/>
        <v>0.7352941176</v>
      </c>
    </row>
    <row r="402">
      <c r="A402" s="17">
        <v>400.0</v>
      </c>
      <c r="B402" s="24" t="s">
        <v>29</v>
      </c>
      <c r="C402" s="30"/>
      <c r="D402" s="22"/>
      <c r="E402" s="31"/>
      <c r="F402" s="22"/>
      <c r="G402" s="30"/>
      <c r="H402" s="24">
        <v>30.0</v>
      </c>
      <c r="I402" s="24">
        <v>35.0</v>
      </c>
      <c r="J402" s="24">
        <v>36.0</v>
      </c>
      <c r="K402" s="24">
        <f>IF(H402=0,0,CAPITAL!$C$5/H402)
</f>
        <v>5000</v>
      </c>
      <c r="L402" s="24">
        <f>IF(I402=0,0,CAPITAL!$C$6/I402)
</f>
        <v>20000</v>
      </c>
      <c r="M402" s="24">
        <f>IF(J402=0,0,CAPITAL!$C$7/J402)
</f>
        <v>69444.44444</v>
      </c>
      <c r="N402" s="24">
        <f t="shared" si="1"/>
        <v>94444.44444</v>
      </c>
      <c r="O402" s="24">
        <f t="shared" si="2"/>
        <v>0.05294117647</v>
      </c>
      <c r="P402" s="24">
        <f t="shared" si="3"/>
        <v>0.2117647059</v>
      </c>
      <c r="Q402" s="24">
        <f t="shared" si="4"/>
        <v>0.7352941176</v>
      </c>
    </row>
    <row r="403">
      <c r="A403" s="17">
        <v>401.0</v>
      </c>
      <c r="B403" s="24" t="s">
        <v>29</v>
      </c>
      <c r="C403" s="30"/>
      <c r="D403" s="22"/>
      <c r="E403" s="31"/>
      <c r="F403" s="22"/>
      <c r="G403" s="30"/>
      <c r="H403" s="24">
        <v>30.0</v>
      </c>
      <c r="I403" s="24">
        <v>35.0</v>
      </c>
      <c r="J403" s="24">
        <v>36.0</v>
      </c>
      <c r="K403" s="24">
        <f>IF(H403=0,0,CAPITAL!$C$5/H403)
</f>
        <v>5000</v>
      </c>
      <c r="L403" s="24">
        <f>IF(I403=0,0,CAPITAL!$C$6/I403)
</f>
        <v>20000</v>
      </c>
      <c r="M403" s="24">
        <f>IF(J403=0,0,CAPITAL!$C$7/J403)
</f>
        <v>69444.44444</v>
      </c>
      <c r="N403" s="24">
        <f t="shared" si="1"/>
        <v>94444.44444</v>
      </c>
      <c r="O403" s="24">
        <f t="shared" si="2"/>
        <v>0.05294117647</v>
      </c>
      <c r="P403" s="24">
        <f t="shared" si="3"/>
        <v>0.2117647059</v>
      </c>
      <c r="Q403" s="24">
        <f t="shared" si="4"/>
        <v>0.7352941176</v>
      </c>
    </row>
    <row r="404">
      <c r="A404" s="17">
        <v>402.0</v>
      </c>
      <c r="B404" s="24" t="s">
        <v>29</v>
      </c>
      <c r="C404" s="30"/>
      <c r="D404" s="22"/>
      <c r="E404" s="31"/>
      <c r="F404" s="22"/>
      <c r="G404" s="30"/>
      <c r="H404" s="24">
        <v>30.0</v>
      </c>
      <c r="I404" s="24">
        <v>35.0</v>
      </c>
      <c r="J404" s="24">
        <v>36.0</v>
      </c>
      <c r="K404" s="24">
        <f>IF(H404=0,0,CAPITAL!$C$5/H404)
</f>
        <v>5000</v>
      </c>
      <c r="L404" s="24">
        <f>IF(I404=0,0,CAPITAL!$C$6/I404)
</f>
        <v>20000</v>
      </c>
      <c r="M404" s="24">
        <f>IF(J404=0,0,CAPITAL!$C$7/J404)
</f>
        <v>69444.44444</v>
      </c>
      <c r="N404" s="24">
        <f t="shared" si="1"/>
        <v>94444.44444</v>
      </c>
      <c r="O404" s="24">
        <f t="shared" si="2"/>
        <v>0.05294117647</v>
      </c>
      <c r="P404" s="24">
        <f t="shared" si="3"/>
        <v>0.2117647059</v>
      </c>
      <c r="Q404" s="24">
        <f t="shared" si="4"/>
        <v>0.7352941176</v>
      </c>
    </row>
    <row r="405">
      <c r="A405" s="17">
        <v>403.0</v>
      </c>
      <c r="B405" s="24" t="s">
        <v>29</v>
      </c>
      <c r="C405" s="30"/>
      <c r="D405" s="22"/>
      <c r="E405" s="31"/>
      <c r="F405" s="22"/>
      <c r="G405" s="30"/>
      <c r="H405" s="24">
        <v>30.0</v>
      </c>
      <c r="I405" s="24">
        <v>35.0</v>
      </c>
      <c r="J405" s="24">
        <v>36.0</v>
      </c>
      <c r="K405" s="24">
        <f>IF(H405=0,0,CAPITAL!$C$5/H405)
</f>
        <v>5000</v>
      </c>
      <c r="L405" s="24">
        <f>IF(I405=0,0,CAPITAL!$C$6/I405)
</f>
        <v>20000</v>
      </c>
      <c r="M405" s="24">
        <f>IF(J405=0,0,CAPITAL!$C$7/J405)
</f>
        <v>69444.44444</v>
      </c>
      <c r="N405" s="24">
        <f t="shared" si="1"/>
        <v>94444.44444</v>
      </c>
      <c r="O405" s="24">
        <f t="shared" si="2"/>
        <v>0.05294117647</v>
      </c>
      <c r="P405" s="24">
        <f t="shared" si="3"/>
        <v>0.2117647059</v>
      </c>
      <c r="Q405" s="24">
        <f t="shared" si="4"/>
        <v>0.7352941176</v>
      </c>
    </row>
    <row r="406">
      <c r="A406" s="17">
        <v>404.0</v>
      </c>
      <c r="B406" s="24" t="s">
        <v>29</v>
      </c>
      <c r="C406" s="30"/>
      <c r="D406" s="22"/>
      <c r="E406" s="31"/>
      <c r="F406" s="22"/>
      <c r="G406" s="30"/>
      <c r="H406" s="24">
        <v>30.0</v>
      </c>
      <c r="I406" s="24">
        <v>35.0</v>
      </c>
      <c r="J406" s="24">
        <v>36.0</v>
      </c>
      <c r="K406" s="24">
        <f>IF(H406=0,0,CAPITAL!$C$5/H406)
</f>
        <v>5000</v>
      </c>
      <c r="L406" s="24">
        <f>IF(I406=0,0,CAPITAL!$C$6/I406)
</f>
        <v>20000</v>
      </c>
      <c r="M406" s="24">
        <f>IF(J406=0,0,CAPITAL!$C$7/J406)
</f>
        <v>69444.44444</v>
      </c>
      <c r="N406" s="24">
        <f t="shared" si="1"/>
        <v>94444.44444</v>
      </c>
      <c r="O406" s="24">
        <f t="shared" si="2"/>
        <v>0.05294117647</v>
      </c>
      <c r="P406" s="24">
        <f t="shared" si="3"/>
        <v>0.2117647059</v>
      </c>
      <c r="Q406" s="24">
        <f t="shared" si="4"/>
        <v>0.7352941176</v>
      </c>
    </row>
    <row r="407">
      <c r="A407" s="17">
        <v>405.0</v>
      </c>
      <c r="B407" s="24" t="s">
        <v>29</v>
      </c>
      <c r="C407" s="30"/>
      <c r="D407" s="22"/>
      <c r="E407" s="31"/>
      <c r="F407" s="22"/>
      <c r="G407" s="30"/>
      <c r="H407" s="24">
        <v>30.0</v>
      </c>
      <c r="I407" s="24">
        <v>35.0</v>
      </c>
      <c r="J407" s="24">
        <v>36.0</v>
      </c>
      <c r="K407" s="24">
        <f>IF(H407=0,0,CAPITAL!$C$5/H407)
</f>
        <v>5000</v>
      </c>
      <c r="L407" s="24">
        <f>IF(I407=0,0,CAPITAL!$C$6/I407)
</f>
        <v>20000</v>
      </c>
      <c r="M407" s="24">
        <f>IF(J407=0,0,CAPITAL!$C$7/J407)
</f>
        <v>69444.44444</v>
      </c>
      <c r="N407" s="24">
        <f t="shared" si="1"/>
        <v>94444.44444</v>
      </c>
      <c r="O407" s="24">
        <f t="shared" si="2"/>
        <v>0.05294117647</v>
      </c>
      <c r="P407" s="24">
        <f t="shared" si="3"/>
        <v>0.2117647059</v>
      </c>
      <c r="Q407" s="24">
        <f t="shared" si="4"/>
        <v>0.7352941176</v>
      </c>
    </row>
    <row r="408">
      <c r="A408" s="17">
        <v>406.0</v>
      </c>
      <c r="B408" s="24" t="s">
        <v>29</v>
      </c>
      <c r="C408" s="30"/>
      <c r="D408" s="22"/>
      <c r="E408" s="31"/>
      <c r="F408" s="22"/>
      <c r="G408" s="30"/>
      <c r="H408" s="24">
        <v>30.0</v>
      </c>
      <c r="I408" s="24">
        <v>35.0</v>
      </c>
      <c r="J408" s="24">
        <v>36.0</v>
      </c>
      <c r="K408" s="24">
        <f>IF(H408=0,0,CAPITAL!$C$5/H408)
</f>
        <v>5000</v>
      </c>
      <c r="L408" s="24">
        <f>IF(I408=0,0,CAPITAL!$C$6/I408)
</f>
        <v>20000</v>
      </c>
      <c r="M408" s="24">
        <f>IF(J408=0,0,CAPITAL!$C$7/J408)
</f>
        <v>69444.44444</v>
      </c>
      <c r="N408" s="24">
        <f t="shared" si="1"/>
        <v>94444.44444</v>
      </c>
      <c r="O408" s="24">
        <f t="shared" si="2"/>
        <v>0.05294117647</v>
      </c>
      <c r="P408" s="24">
        <f t="shared" si="3"/>
        <v>0.2117647059</v>
      </c>
      <c r="Q408" s="24">
        <f t="shared" si="4"/>
        <v>0.7352941176</v>
      </c>
    </row>
    <row r="409">
      <c r="A409" s="17">
        <v>407.0</v>
      </c>
      <c r="B409" s="24" t="s">
        <v>29</v>
      </c>
      <c r="C409" s="30"/>
      <c r="D409" s="22"/>
      <c r="E409" s="31"/>
      <c r="F409" s="22"/>
      <c r="G409" s="30"/>
      <c r="H409" s="24">
        <v>30.0</v>
      </c>
      <c r="I409" s="24">
        <v>35.0</v>
      </c>
      <c r="J409" s="24">
        <v>36.0</v>
      </c>
      <c r="K409" s="24">
        <f>IF(H409=0,0,CAPITAL!$C$5/H409)
</f>
        <v>5000</v>
      </c>
      <c r="L409" s="24">
        <f>IF(I409=0,0,CAPITAL!$C$6/I409)
</f>
        <v>20000</v>
      </c>
      <c r="M409" s="24">
        <f>IF(J409=0,0,CAPITAL!$C$7/J409)
</f>
        <v>69444.44444</v>
      </c>
      <c r="N409" s="24">
        <f t="shared" si="1"/>
        <v>94444.44444</v>
      </c>
      <c r="O409" s="24">
        <f t="shared" si="2"/>
        <v>0.05294117647</v>
      </c>
      <c r="P409" s="24">
        <f t="shared" si="3"/>
        <v>0.2117647059</v>
      </c>
      <c r="Q409" s="24">
        <f t="shared" si="4"/>
        <v>0.7352941176</v>
      </c>
    </row>
    <row r="410">
      <c r="A410" s="17">
        <v>408.0</v>
      </c>
      <c r="B410" s="24" t="s">
        <v>29</v>
      </c>
      <c r="C410" s="30"/>
      <c r="D410" s="22"/>
      <c r="E410" s="31"/>
      <c r="F410" s="22"/>
      <c r="G410" s="30"/>
      <c r="H410" s="24">
        <v>30.0</v>
      </c>
      <c r="I410" s="24">
        <v>35.0</v>
      </c>
      <c r="J410" s="24">
        <v>36.0</v>
      </c>
      <c r="K410" s="24">
        <f>IF(H410=0,0,CAPITAL!$C$5/H410)
</f>
        <v>5000</v>
      </c>
      <c r="L410" s="24">
        <f>IF(I410=0,0,CAPITAL!$C$6/I410)
</f>
        <v>20000</v>
      </c>
      <c r="M410" s="24">
        <f>IF(J410=0,0,CAPITAL!$C$7/J410)
</f>
        <v>69444.44444</v>
      </c>
      <c r="N410" s="24">
        <f t="shared" si="1"/>
        <v>94444.44444</v>
      </c>
      <c r="O410" s="24">
        <f t="shared" si="2"/>
        <v>0.05294117647</v>
      </c>
      <c r="P410" s="24">
        <f t="shared" si="3"/>
        <v>0.2117647059</v>
      </c>
      <c r="Q410" s="24">
        <f t="shared" si="4"/>
        <v>0.7352941176</v>
      </c>
    </row>
    <row r="411">
      <c r="A411" s="17">
        <v>409.0</v>
      </c>
      <c r="B411" s="24" t="s">
        <v>29</v>
      </c>
      <c r="C411" s="30"/>
      <c r="D411" s="22"/>
      <c r="E411" s="31"/>
      <c r="F411" s="22"/>
      <c r="G411" s="30"/>
      <c r="H411" s="24">
        <v>30.0</v>
      </c>
      <c r="I411" s="24">
        <v>35.0</v>
      </c>
      <c r="J411" s="24">
        <v>36.0</v>
      </c>
      <c r="K411" s="24">
        <f>IF(H411=0,0,CAPITAL!$C$5/H411)
</f>
        <v>5000</v>
      </c>
      <c r="L411" s="24">
        <f>IF(I411=0,0,CAPITAL!$C$6/I411)
</f>
        <v>20000</v>
      </c>
      <c r="M411" s="24">
        <f>IF(J411=0,0,CAPITAL!$C$7/J411)
</f>
        <v>69444.44444</v>
      </c>
      <c r="N411" s="24">
        <f t="shared" si="1"/>
        <v>94444.44444</v>
      </c>
      <c r="O411" s="24">
        <f t="shared" si="2"/>
        <v>0.05294117647</v>
      </c>
      <c r="P411" s="24">
        <f t="shared" si="3"/>
        <v>0.2117647059</v>
      </c>
      <c r="Q411" s="24">
        <f t="shared" si="4"/>
        <v>0.7352941176</v>
      </c>
    </row>
    <row r="412">
      <c r="A412" s="17">
        <v>410.0</v>
      </c>
      <c r="B412" s="24" t="s">
        <v>29</v>
      </c>
      <c r="C412" s="30"/>
      <c r="D412" s="22"/>
      <c r="E412" s="31"/>
      <c r="F412" s="22"/>
      <c r="G412" s="30"/>
      <c r="H412" s="24">
        <v>30.0</v>
      </c>
      <c r="I412" s="24">
        <v>35.0</v>
      </c>
      <c r="J412" s="24">
        <v>36.0</v>
      </c>
      <c r="K412" s="24">
        <f>IF(H412=0,0,CAPITAL!$C$5/H412)
</f>
        <v>5000</v>
      </c>
      <c r="L412" s="24">
        <f>IF(I412=0,0,CAPITAL!$C$6/I412)
</f>
        <v>20000</v>
      </c>
      <c r="M412" s="24">
        <f>IF(J412=0,0,CAPITAL!$C$7/J412)
</f>
        <v>69444.44444</v>
      </c>
      <c r="N412" s="24">
        <f t="shared" si="1"/>
        <v>94444.44444</v>
      </c>
      <c r="O412" s="24">
        <f t="shared" si="2"/>
        <v>0.05294117647</v>
      </c>
      <c r="P412" s="24">
        <f t="shared" si="3"/>
        <v>0.2117647059</v>
      </c>
      <c r="Q412" s="24">
        <f t="shared" si="4"/>
        <v>0.7352941176</v>
      </c>
    </row>
    <row r="413">
      <c r="A413" s="17">
        <v>411.0</v>
      </c>
      <c r="B413" s="24" t="s">
        <v>29</v>
      </c>
      <c r="C413" s="30"/>
      <c r="D413" s="22"/>
      <c r="E413" s="31"/>
      <c r="F413" s="22"/>
      <c r="G413" s="30"/>
      <c r="H413" s="24">
        <v>30.0</v>
      </c>
      <c r="I413" s="24">
        <v>35.0</v>
      </c>
      <c r="J413" s="24">
        <v>36.0</v>
      </c>
      <c r="K413" s="24">
        <f>IF(H413=0,0,CAPITAL!$C$5/H413)
</f>
        <v>5000</v>
      </c>
      <c r="L413" s="24">
        <f>IF(I413=0,0,CAPITAL!$C$6/I413)
</f>
        <v>20000</v>
      </c>
      <c r="M413" s="24">
        <f>IF(J413=0,0,CAPITAL!$C$7/J413)
</f>
        <v>69444.44444</v>
      </c>
      <c r="N413" s="24">
        <f t="shared" si="1"/>
        <v>94444.44444</v>
      </c>
      <c r="O413" s="24">
        <f t="shared" si="2"/>
        <v>0.05294117647</v>
      </c>
      <c r="P413" s="24">
        <f t="shared" si="3"/>
        <v>0.2117647059</v>
      </c>
      <c r="Q413" s="24">
        <f t="shared" si="4"/>
        <v>0.7352941176</v>
      </c>
    </row>
    <row r="414">
      <c r="A414" s="17">
        <v>412.0</v>
      </c>
      <c r="B414" s="24" t="s">
        <v>29</v>
      </c>
      <c r="C414" s="30"/>
      <c r="D414" s="22"/>
      <c r="E414" s="31"/>
      <c r="F414" s="22"/>
      <c r="G414" s="30"/>
      <c r="H414" s="24">
        <v>30.0</v>
      </c>
      <c r="I414" s="24">
        <v>35.0</v>
      </c>
      <c r="J414" s="24">
        <v>36.0</v>
      </c>
      <c r="K414" s="24">
        <f>IF(H414=0,0,CAPITAL!$C$5/H414)
</f>
        <v>5000</v>
      </c>
      <c r="L414" s="24">
        <f>IF(I414=0,0,CAPITAL!$C$6/I414)
</f>
        <v>20000</v>
      </c>
      <c r="M414" s="24">
        <f>IF(J414=0,0,CAPITAL!$C$7/J414)
</f>
        <v>69444.44444</v>
      </c>
      <c r="N414" s="24">
        <f t="shared" si="1"/>
        <v>94444.44444</v>
      </c>
      <c r="O414" s="24">
        <f t="shared" si="2"/>
        <v>0.05294117647</v>
      </c>
      <c r="P414" s="24">
        <f t="shared" si="3"/>
        <v>0.2117647059</v>
      </c>
      <c r="Q414" s="24">
        <f t="shared" si="4"/>
        <v>0.7352941176</v>
      </c>
    </row>
    <row r="415">
      <c r="A415" s="17">
        <v>413.0</v>
      </c>
      <c r="B415" s="24" t="s">
        <v>29</v>
      </c>
      <c r="C415" s="30"/>
      <c r="D415" s="22"/>
      <c r="E415" s="31"/>
      <c r="F415" s="22"/>
      <c r="G415" s="30"/>
      <c r="H415" s="24">
        <v>30.0</v>
      </c>
      <c r="I415" s="24">
        <v>35.0</v>
      </c>
      <c r="J415" s="24">
        <v>36.0</v>
      </c>
      <c r="K415" s="24">
        <f>IF(H415=0,0,CAPITAL!$C$5/H415)
</f>
        <v>5000</v>
      </c>
      <c r="L415" s="24">
        <f>IF(I415=0,0,CAPITAL!$C$6/I415)
</f>
        <v>20000</v>
      </c>
      <c r="M415" s="24">
        <f>IF(J415=0,0,CAPITAL!$C$7/J415)
</f>
        <v>69444.44444</v>
      </c>
      <c r="N415" s="24">
        <f t="shared" si="1"/>
        <v>94444.44444</v>
      </c>
      <c r="O415" s="24">
        <f t="shared" si="2"/>
        <v>0.05294117647</v>
      </c>
      <c r="P415" s="24">
        <f t="shared" si="3"/>
        <v>0.2117647059</v>
      </c>
      <c r="Q415" s="24">
        <f t="shared" si="4"/>
        <v>0.7352941176</v>
      </c>
    </row>
    <row r="416">
      <c r="A416" s="17">
        <v>414.0</v>
      </c>
      <c r="B416" s="24" t="s">
        <v>29</v>
      </c>
      <c r="C416" s="30"/>
      <c r="D416" s="22"/>
      <c r="E416" s="31"/>
      <c r="F416" s="22"/>
      <c r="G416" s="30"/>
      <c r="H416" s="24">
        <v>30.0</v>
      </c>
      <c r="I416" s="24">
        <v>35.0</v>
      </c>
      <c r="J416" s="24">
        <v>36.0</v>
      </c>
      <c r="K416" s="24">
        <f>IF(H416=0,0,CAPITAL!$C$5/H416)
</f>
        <v>5000</v>
      </c>
      <c r="L416" s="24">
        <f>IF(I416=0,0,CAPITAL!$C$6/I416)
</f>
        <v>20000</v>
      </c>
      <c r="M416" s="24">
        <f>IF(J416=0,0,CAPITAL!$C$7/J416)
</f>
        <v>69444.44444</v>
      </c>
      <c r="N416" s="24">
        <f t="shared" si="1"/>
        <v>94444.44444</v>
      </c>
      <c r="O416" s="24">
        <f t="shared" si="2"/>
        <v>0.05294117647</v>
      </c>
      <c r="P416" s="24">
        <f t="shared" si="3"/>
        <v>0.2117647059</v>
      </c>
      <c r="Q416" s="24">
        <f t="shared" si="4"/>
        <v>0.7352941176</v>
      </c>
    </row>
    <row r="417">
      <c r="A417" s="17">
        <v>415.0</v>
      </c>
      <c r="B417" s="24" t="s">
        <v>29</v>
      </c>
      <c r="C417" s="30"/>
      <c r="D417" s="22"/>
      <c r="E417" s="31"/>
      <c r="F417" s="22"/>
      <c r="G417" s="30"/>
      <c r="H417" s="24">
        <v>30.0</v>
      </c>
      <c r="I417" s="24">
        <v>35.0</v>
      </c>
      <c r="J417" s="24">
        <v>36.0</v>
      </c>
      <c r="K417" s="24">
        <f>IF(H417=0,0,CAPITAL!$C$5/H417)
</f>
        <v>5000</v>
      </c>
      <c r="L417" s="24">
        <f>IF(I417=0,0,CAPITAL!$C$6/I417)
</f>
        <v>20000</v>
      </c>
      <c r="M417" s="24">
        <f>IF(J417=0,0,CAPITAL!$C$7/J417)
</f>
        <v>69444.44444</v>
      </c>
      <c r="N417" s="24">
        <f t="shared" si="1"/>
        <v>94444.44444</v>
      </c>
      <c r="O417" s="24">
        <f t="shared" si="2"/>
        <v>0.05294117647</v>
      </c>
      <c r="P417" s="24">
        <f t="shared" si="3"/>
        <v>0.2117647059</v>
      </c>
      <c r="Q417" s="24">
        <f t="shared" si="4"/>
        <v>0.7352941176</v>
      </c>
    </row>
    <row r="418">
      <c r="A418" s="17">
        <v>416.0</v>
      </c>
      <c r="B418" s="24" t="s">
        <v>29</v>
      </c>
      <c r="C418" s="30"/>
      <c r="D418" s="22"/>
      <c r="E418" s="31"/>
      <c r="F418" s="22"/>
      <c r="G418" s="30"/>
      <c r="H418" s="24">
        <v>30.0</v>
      </c>
      <c r="I418" s="24">
        <v>35.0</v>
      </c>
      <c r="J418" s="24">
        <v>36.0</v>
      </c>
      <c r="K418" s="24">
        <f>IF(H418=0,0,CAPITAL!$C$5/H418)
</f>
        <v>5000</v>
      </c>
      <c r="L418" s="24">
        <f>IF(I418=0,0,CAPITAL!$C$6/I418)
</f>
        <v>20000</v>
      </c>
      <c r="M418" s="24">
        <f>IF(J418=0,0,CAPITAL!$C$7/J418)
</f>
        <v>69444.44444</v>
      </c>
      <c r="N418" s="24">
        <f t="shared" si="1"/>
        <v>94444.44444</v>
      </c>
      <c r="O418" s="24">
        <f t="shared" si="2"/>
        <v>0.05294117647</v>
      </c>
      <c r="P418" s="24">
        <f t="shared" si="3"/>
        <v>0.2117647059</v>
      </c>
      <c r="Q418" s="24">
        <f t="shared" si="4"/>
        <v>0.7352941176</v>
      </c>
    </row>
    <row r="419">
      <c r="A419" s="17">
        <v>417.0</v>
      </c>
      <c r="B419" s="24" t="s">
        <v>29</v>
      </c>
      <c r="C419" s="30"/>
      <c r="D419" s="22"/>
      <c r="E419" s="31"/>
      <c r="F419" s="22"/>
      <c r="G419" s="30"/>
      <c r="H419" s="24">
        <v>30.0</v>
      </c>
      <c r="I419" s="24">
        <v>35.0</v>
      </c>
      <c r="J419" s="24">
        <v>36.0</v>
      </c>
      <c r="K419" s="24">
        <f>IF(H419=0,0,CAPITAL!$C$5/H419)
</f>
        <v>5000</v>
      </c>
      <c r="L419" s="24">
        <f>IF(I419=0,0,CAPITAL!$C$6/I419)
</f>
        <v>20000</v>
      </c>
      <c r="M419" s="24">
        <f>IF(J419=0,0,CAPITAL!$C$7/J419)
</f>
        <v>69444.44444</v>
      </c>
      <c r="N419" s="24">
        <f t="shared" si="1"/>
        <v>94444.44444</v>
      </c>
      <c r="O419" s="24">
        <f t="shared" si="2"/>
        <v>0.05294117647</v>
      </c>
      <c r="P419" s="24">
        <f t="shared" si="3"/>
        <v>0.2117647059</v>
      </c>
      <c r="Q419" s="24">
        <f t="shared" si="4"/>
        <v>0.7352941176</v>
      </c>
    </row>
    <row r="420">
      <c r="A420" s="17">
        <v>418.0</v>
      </c>
      <c r="B420" s="24" t="s">
        <v>29</v>
      </c>
      <c r="C420" s="30"/>
      <c r="D420" s="22"/>
      <c r="E420" s="31"/>
      <c r="F420" s="22"/>
      <c r="G420" s="30"/>
      <c r="H420" s="24">
        <v>30.0</v>
      </c>
      <c r="I420" s="24">
        <v>35.0</v>
      </c>
      <c r="J420" s="24">
        <v>36.0</v>
      </c>
      <c r="K420" s="24">
        <f>IF(H420=0,0,CAPITAL!$C$5/H420)
</f>
        <v>5000</v>
      </c>
      <c r="L420" s="24">
        <f>IF(I420=0,0,CAPITAL!$C$6/I420)
</f>
        <v>20000</v>
      </c>
      <c r="M420" s="24">
        <f>IF(J420=0,0,CAPITAL!$C$7/J420)
</f>
        <v>69444.44444</v>
      </c>
      <c r="N420" s="24">
        <f t="shared" si="1"/>
        <v>94444.44444</v>
      </c>
      <c r="O420" s="24">
        <f t="shared" si="2"/>
        <v>0.05294117647</v>
      </c>
      <c r="P420" s="24">
        <f t="shared" si="3"/>
        <v>0.2117647059</v>
      </c>
      <c r="Q420" s="24">
        <f t="shared" si="4"/>
        <v>0.7352941176</v>
      </c>
    </row>
    <row r="421">
      <c r="A421" s="17">
        <v>419.0</v>
      </c>
      <c r="B421" s="24" t="s">
        <v>29</v>
      </c>
      <c r="C421" s="30"/>
      <c r="D421" s="22"/>
      <c r="E421" s="31"/>
      <c r="F421" s="22"/>
      <c r="G421" s="30"/>
      <c r="H421" s="24">
        <v>30.0</v>
      </c>
      <c r="I421" s="24">
        <v>35.0</v>
      </c>
      <c r="J421" s="24">
        <v>36.0</v>
      </c>
      <c r="K421" s="24">
        <f>IF(H421=0,0,CAPITAL!$C$5/H421)
</f>
        <v>5000</v>
      </c>
      <c r="L421" s="24">
        <f>IF(I421=0,0,CAPITAL!$C$6/I421)
</f>
        <v>20000</v>
      </c>
      <c r="M421" s="24">
        <f>IF(J421=0,0,CAPITAL!$C$7/J421)
</f>
        <v>69444.44444</v>
      </c>
      <c r="N421" s="24">
        <f t="shared" si="1"/>
        <v>94444.44444</v>
      </c>
      <c r="O421" s="24">
        <f t="shared" si="2"/>
        <v>0.05294117647</v>
      </c>
      <c r="P421" s="24">
        <f t="shared" si="3"/>
        <v>0.2117647059</v>
      </c>
      <c r="Q421" s="24">
        <f t="shared" si="4"/>
        <v>0.7352941176</v>
      </c>
    </row>
    <row r="422">
      <c r="A422" s="17">
        <v>420.0</v>
      </c>
      <c r="B422" s="24" t="s">
        <v>29</v>
      </c>
      <c r="C422" s="30"/>
      <c r="D422" s="22"/>
      <c r="E422" s="31"/>
      <c r="F422" s="22"/>
      <c r="G422" s="30"/>
      <c r="H422" s="24">
        <v>30.0</v>
      </c>
      <c r="I422" s="24">
        <v>35.0</v>
      </c>
      <c r="J422" s="24">
        <v>36.0</v>
      </c>
      <c r="K422" s="24">
        <f>IF(H422=0,0,CAPITAL!$C$5/H422)
</f>
        <v>5000</v>
      </c>
      <c r="L422" s="24">
        <f>IF(I422=0,0,CAPITAL!$C$6/I422)
</f>
        <v>20000</v>
      </c>
      <c r="M422" s="24">
        <f>IF(J422=0,0,CAPITAL!$C$7/J422)
</f>
        <v>69444.44444</v>
      </c>
      <c r="N422" s="24">
        <f t="shared" si="1"/>
        <v>94444.44444</v>
      </c>
      <c r="O422" s="24">
        <f t="shared" si="2"/>
        <v>0.05294117647</v>
      </c>
      <c r="P422" s="24">
        <f t="shared" si="3"/>
        <v>0.2117647059</v>
      </c>
      <c r="Q422" s="24">
        <f t="shared" si="4"/>
        <v>0.7352941176</v>
      </c>
    </row>
    <row r="423">
      <c r="A423" s="17">
        <v>421.0</v>
      </c>
      <c r="B423" s="24" t="s">
        <v>29</v>
      </c>
      <c r="C423" s="30"/>
      <c r="D423" s="22"/>
      <c r="E423" s="31"/>
      <c r="F423" s="22"/>
      <c r="G423" s="30"/>
      <c r="H423" s="24">
        <v>30.0</v>
      </c>
      <c r="I423" s="24">
        <v>35.0</v>
      </c>
      <c r="J423" s="24">
        <v>36.0</v>
      </c>
      <c r="K423" s="24">
        <f>IF(H423=0,0,CAPITAL!$C$5/H423)
</f>
        <v>5000</v>
      </c>
      <c r="L423" s="24">
        <f>IF(I423=0,0,CAPITAL!$C$6/I423)
</f>
        <v>20000</v>
      </c>
      <c r="M423" s="24">
        <f>IF(J423=0,0,CAPITAL!$C$7/J423)
</f>
        <v>69444.44444</v>
      </c>
      <c r="N423" s="24">
        <f t="shared" si="1"/>
        <v>94444.44444</v>
      </c>
      <c r="O423" s="24">
        <f t="shared" si="2"/>
        <v>0.05294117647</v>
      </c>
      <c r="P423" s="24">
        <f t="shared" si="3"/>
        <v>0.2117647059</v>
      </c>
      <c r="Q423" s="24">
        <f t="shared" si="4"/>
        <v>0.7352941176</v>
      </c>
    </row>
    <row r="424">
      <c r="A424" s="17">
        <v>422.0</v>
      </c>
      <c r="B424" s="24" t="s">
        <v>29</v>
      </c>
      <c r="C424" s="30"/>
      <c r="D424" s="22"/>
      <c r="E424" s="31"/>
      <c r="F424" s="22"/>
      <c r="G424" s="30"/>
      <c r="H424" s="24">
        <v>30.0</v>
      </c>
      <c r="I424" s="24">
        <v>35.0</v>
      </c>
      <c r="J424" s="24">
        <v>36.0</v>
      </c>
      <c r="K424" s="24">
        <f>IF(H424=0,0,CAPITAL!$C$5/H424)
</f>
        <v>5000</v>
      </c>
      <c r="L424" s="24">
        <f>IF(I424=0,0,CAPITAL!$C$6/I424)
</f>
        <v>20000</v>
      </c>
      <c r="M424" s="24">
        <f>IF(J424=0,0,CAPITAL!$C$7/J424)
</f>
        <v>69444.44444</v>
      </c>
      <c r="N424" s="24">
        <f t="shared" si="1"/>
        <v>94444.44444</v>
      </c>
      <c r="O424" s="24">
        <f t="shared" si="2"/>
        <v>0.05294117647</v>
      </c>
      <c r="P424" s="24">
        <f t="shared" si="3"/>
        <v>0.2117647059</v>
      </c>
      <c r="Q424" s="24">
        <f t="shared" si="4"/>
        <v>0.7352941176</v>
      </c>
    </row>
    <row r="425">
      <c r="A425" s="17">
        <v>423.0</v>
      </c>
      <c r="B425" s="24" t="s">
        <v>29</v>
      </c>
      <c r="C425" s="30"/>
      <c r="D425" s="22"/>
      <c r="E425" s="31"/>
      <c r="F425" s="22"/>
      <c r="G425" s="30"/>
      <c r="H425" s="24">
        <v>30.0</v>
      </c>
      <c r="I425" s="24">
        <v>35.0</v>
      </c>
      <c r="J425" s="24">
        <v>36.0</v>
      </c>
      <c r="K425" s="24">
        <f>IF(H425=0,0,CAPITAL!$C$5/H425)
</f>
        <v>5000</v>
      </c>
      <c r="L425" s="24">
        <f>IF(I425=0,0,CAPITAL!$C$6/I425)
</f>
        <v>20000</v>
      </c>
      <c r="M425" s="24">
        <f>IF(J425=0,0,CAPITAL!$C$7/J425)
</f>
        <v>69444.44444</v>
      </c>
      <c r="N425" s="24">
        <f t="shared" si="1"/>
        <v>94444.44444</v>
      </c>
      <c r="O425" s="24">
        <f t="shared" si="2"/>
        <v>0.05294117647</v>
      </c>
      <c r="P425" s="24">
        <f t="shared" si="3"/>
        <v>0.2117647059</v>
      </c>
      <c r="Q425" s="24">
        <f t="shared" si="4"/>
        <v>0.7352941176</v>
      </c>
    </row>
    <row r="426">
      <c r="A426" s="17">
        <v>424.0</v>
      </c>
      <c r="B426" s="24" t="s">
        <v>29</v>
      </c>
      <c r="C426" s="30"/>
      <c r="D426" s="22"/>
      <c r="E426" s="31"/>
      <c r="F426" s="22"/>
      <c r="G426" s="30"/>
      <c r="H426" s="24">
        <v>30.0</v>
      </c>
      <c r="I426" s="24">
        <v>35.0</v>
      </c>
      <c r="J426" s="24">
        <v>36.0</v>
      </c>
      <c r="K426" s="24">
        <f>IF(H426=0,0,CAPITAL!$C$5/H426)
</f>
        <v>5000</v>
      </c>
      <c r="L426" s="24">
        <f>IF(I426=0,0,CAPITAL!$C$6/I426)
</f>
        <v>20000</v>
      </c>
      <c r="M426" s="24">
        <f>IF(J426=0,0,CAPITAL!$C$7/J426)
</f>
        <v>69444.44444</v>
      </c>
      <c r="N426" s="24">
        <f t="shared" si="1"/>
        <v>94444.44444</v>
      </c>
      <c r="O426" s="24">
        <f t="shared" si="2"/>
        <v>0.05294117647</v>
      </c>
      <c r="P426" s="24">
        <f t="shared" si="3"/>
        <v>0.2117647059</v>
      </c>
      <c r="Q426" s="24">
        <f t="shared" si="4"/>
        <v>0.7352941176</v>
      </c>
    </row>
    <row r="427">
      <c r="A427" s="17">
        <v>425.0</v>
      </c>
      <c r="B427" s="24" t="s">
        <v>29</v>
      </c>
      <c r="C427" s="30"/>
      <c r="D427" s="22"/>
      <c r="E427" s="31"/>
      <c r="F427" s="22"/>
      <c r="G427" s="30"/>
      <c r="H427" s="24">
        <v>30.0</v>
      </c>
      <c r="I427" s="24">
        <v>35.0</v>
      </c>
      <c r="J427" s="24">
        <v>36.0</v>
      </c>
      <c r="K427" s="24">
        <f>IF(H427=0,0,CAPITAL!$C$5/H427)
</f>
        <v>5000</v>
      </c>
      <c r="L427" s="24">
        <f>IF(I427=0,0,CAPITAL!$C$6/I427)
</f>
        <v>20000</v>
      </c>
      <c r="M427" s="24">
        <f>IF(J427=0,0,CAPITAL!$C$7/J427)
</f>
        <v>69444.44444</v>
      </c>
      <c r="N427" s="24">
        <f t="shared" si="1"/>
        <v>94444.44444</v>
      </c>
      <c r="O427" s="24">
        <f t="shared" si="2"/>
        <v>0.05294117647</v>
      </c>
      <c r="P427" s="24">
        <f t="shared" si="3"/>
        <v>0.2117647059</v>
      </c>
      <c r="Q427" s="24">
        <f t="shared" si="4"/>
        <v>0.7352941176</v>
      </c>
    </row>
    <row r="428">
      <c r="A428" s="17">
        <v>426.0</v>
      </c>
      <c r="B428" s="24" t="s">
        <v>29</v>
      </c>
      <c r="C428" s="30"/>
      <c r="D428" s="22"/>
      <c r="E428" s="31"/>
      <c r="F428" s="22"/>
      <c r="G428" s="30"/>
      <c r="H428" s="24">
        <v>30.0</v>
      </c>
      <c r="I428" s="24">
        <v>35.0</v>
      </c>
      <c r="J428" s="24">
        <v>36.0</v>
      </c>
      <c r="K428" s="24">
        <f>IF(H428=0,0,CAPITAL!$C$5/H428)
</f>
        <v>5000</v>
      </c>
      <c r="L428" s="24">
        <f>IF(I428=0,0,CAPITAL!$C$6/I428)
</f>
        <v>20000</v>
      </c>
      <c r="M428" s="24">
        <f>IF(J428=0,0,CAPITAL!$C$7/J428)
</f>
        <v>69444.44444</v>
      </c>
      <c r="N428" s="24">
        <f t="shared" si="1"/>
        <v>94444.44444</v>
      </c>
      <c r="O428" s="24">
        <f t="shared" si="2"/>
        <v>0.05294117647</v>
      </c>
      <c r="P428" s="24">
        <f t="shared" si="3"/>
        <v>0.2117647059</v>
      </c>
      <c r="Q428" s="24">
        <f t="shared" si="4"/>
        <v>0.7352941176</v>
      </c>
    </row>
    <row r="429">
      <c r="A429" s="17">
        <v>427.0</v>
      </c>
      <c r="B429" s="24" t="s">
        <v>29</v>
      </c>
      <c r="C429" s="30"/>
      <c r="D429" s="22"/>
      <c r="E429" s="31"/>
      <c r="F429" s="22"/>
      <c r="G429" s="30"/>
      <c r="H429" s="24">
        <v>30.0</v>
      </c>
      <c r="I429" s="24">
        <v>35.0</v>
      </c>
      <c r="J429" s="24">
        <v>36.0</v>
      </c>
      <c r="K429" s="24">
        <f>IF(H429=0,0,CAPITAL!$C$5/H429)
</f>
        <v>5000</v>
      </c>
      <c r="L429" s="24">
        <f>IF(I429=0,0,CAPITAL!$C$6/I429)
</f>
        <v>20000</v>
      </c>
      <c r="M429" s="24">
        <f>IF(J429=0,0,CAPITAL!$C$7/J429)
</f>
        <v>69444.44444</v>
      </c>
      <c r="N429" s="24">
        <f t="shared" si="1"/>
        <v>94444.44444</v>
      </c>
      <c r="O429" s="24">
        <f t="shared" si="2"/>
        <v>0.05294117647</v>
      </c>
      <c r="P429" s="24">
        <f t="shared" si="3"/>
        <v>0.2117647059</v>
      </c>
      <c r="Q429" s="24">
        <f t="shared" si="4"/>
        <v>0.7352941176</v>
      </c>
    </row>
    <row r="430">
      <c r="A430" s="17">
        <v>428.0</v>
      </c>
      <c r="B430" s="24" t="s">
        <v>29</v>
      </c>
      <c r="C430" s="30"/>
      <c r="D430" s="22"/>
      <c r="E430" s="31"/>
      <c r="F430" s="22"/>
      <c r="G430" s="30"/>
      <c r="H430" s="24">
        <v>30.0</v>
      </c>
      <c r="I430" s="24">
        <v>35.0</v>
      </c>
      <c r="J430" s="24">
        <v>36.0</v>
      </c>
      <c r="K430" s="24">
        <f>IF(H430=0,0,CAPITAL!$C$5/H430)
</f>
        <v>5000</v>
      </c>
      <c r="L430" s="24">
        <f>IF(I430=0,0,CAPITAL!$C$6/I430)
</f>
        <v>20000</v>
      </c>
      <c r="M430" s="24">
        <f>IF(J430=0,0,CAPITAL!$C$7/J430)
</f>
        <v>69444.44444</v>
      </c>
      <c r="N430" s="24">
        <f t="shared" si="1"/>
        <v>94444.44444</v>
      </c>
      <c r="O430" s="24">
        <f t="shared" si="2"/>
        <v>0.05294117647</v>
      </c>
      <c r="P430" s="24">
        <f t="shared" si="3"/>
        <v>0.2117647059</v>
      </c>
      <c r="Q430" s="24">
        <f t="shared" si="4"/>
        <v>0.7352941176</v>
      </c>
    </row>
    <row r="431">
      <c r="A431" s="17">
        <v>429.0</v>
      </c>
      <c r="B431" s="24" t="s">
        <v>29</v>
      </c>
      <c r="C431" s="30"/>
      <c r="D431" s="22"/>
      <c r="E431" s="31"/>
      <c r="F431" s="22"/>
      <c r="G431" s="30"/>
      <c r="H431" s="24">
        <v>30.0</v>
      </c>
      <c r="I431" s="24">
        <v>35.0</v>
      </c>
      <c r="J431" s="24">
        <v>36.0</v>
      </c>
      <c r="K431" s="24">
        <f>IF(H431=0,0,CAPITAL!$C$5/H431)
</f>
        <v>5000</v>
      </c>
      <c r="L431" s="24">
        <f>IF(I431=0,0,CAPITAL!$C$6/I431)
</f>
        <v>20000</v>
      </c>
      <c r="M431" s="24">
        <f>IF(J431=0,0,CAPITAL!$C$7/J431)
</f>
        <v>69444.44444</v>
      </c>
      <c r="N431" s="24">
        <f t="shared" si="1"/>
        <v>94444.44444</v>
      </c>
      <c r="O431" s="24">
        <f t="shared" si="2"/>
        <v>0.05294117647</v>
      </c>
      <c r="P431" s="24">
        <f t="shared" si="3"/>
        <v>0.2117647059</v>
      </c>
      <c r="Q431" s="24">
        <f t="shared" si="4"/>
        <v>0.7352941176</v>
      </c>
    </row>
    <row r="432">
      <c r="A432" s="17">
        <v>430.0</v>
      </c>
      <c r="B432" s="24" t="s">
        <v>29</v>
      </c>
      <c r="C432" s="30"/>
      <c r="D432" s="22"/>
      <c r="E432" s="31"/>
      <c r="F432" s="22"/>
      <c r="G432" s="30"/>
      <c r="H432" s="24">
        <v>30.0</v>
      </c>
      <c r="I432" s="24">
        <v>35.0</v>
      </c>
      <c r="J432" s="24">
        <v>36.0</v>
      </c>
      <c r="K432" s="24">
        <f>IF(H432=0,0,CAPITAL!$C$5/H432)
</f>
        <v>5000</v>
      </c>
      <c r="L432" s="24">
        <f>IF(I432=0,0,CAPITAL!$C$6/I432)
</f>
        <v>20000</v>
      </c>
      <c r="M432" s="24">
        <f>IF(J432=0,0,CAPITAL!$C$7/J432)
</f>
        <v>69444.44444</v>
      </c>
      <c r="N432" s="24">
        <f t="shared" si="1"/>
        <v>94444.44444</v>
      </c>
      <c r="O432" s="24">
        <f t="shared" si="2"/>
        <v>0.05294117647</v>
      </c>
      <c r="P432" s="24">
        <f t="shared" si="3"/>
        <v>0.2117647059</v>
      </c>
      <c r="Q432" s="24">
        <f t="shared" si="4"/>
        <v>0.7352941176</v>
      </c>
    </row>
    <row r="433">
      <c r="A433" s="17">
        <v>431.0</v>
      </c>
      <c r="B433" s="24" t="s">
        <v>29</v>
      </c>
      <c r="C433" s="30"/>
      <c r="D433" s="22"/>
      <c r="E433" s="31"/>
      <c r="F433" s="22"/>
      <c r="G433" s="30"/>
      <c r="H433" s="24">
        <v>30.0</v>
      </c>
      <c r="I433" s="24">
        <v>35.0</v>
      </c>
      <c r="J433" s="24">
        <v>36.0</v>
      </c>
      <c r="K433" s="24">
        <f>IF(H433=0,0,CAPITAL!$C$5/H433)
</f>
        <v>5000</v>
      </c>
      <c r="L433" s="24">
        <f>IF(I433=0,0,CAPITAL!$C$6/I433)
</f>
        <v>20000</v>
      </c>
      <c r="M433" s="24">
        <f>IF(J433=0,0,CAPITAL!$C$7/J433)
</f>
        <v>69444.44444</v>
      </c>
      <c r="N433" s="24">
        <f t="shared" si="1"/>
        <v>94444.44444</v>
      </c>
      <c r="O433" s="24">
        <f t="shared" si="2"/>
        <v>0.05294117647</v>
      </c>
      <c r="P433" s="24">
        <f t="shared" si="3"/>
        <v>0.2117647059</v>
      </c>
      <c r="Q433" s="24">
        <f t="shared" si="4"/>
        <v>0.7352941176</v>
      </c>
    </row>
    <row r="434">
      <c r="A434" s="17">
        <v>432.0</v>
      </c>
      <c r="B434" s="24" t="s">
        <v>29</v>
      </c>
      <c r="C434" s="30"/>
      <c r="D434" s="22"/>
      <c r="E434" s="31"/>
      <c r="F434" s="22"/>
      <c r="G434" s="30"/>
      <c r="H434" s="24">
        <v>30.0</v>
      </c>
      <c r="I434" s="24">
        <v>35.0</v>
      </c>
      <c r="J434" s="24">
        <v>36.0</v>
      </c>
      <c r="K434" s="24">
        <f>IF(H434=0,0,CAPITAL!$C$5/H434)
</f>
        <v>5000</v>
      </c>
      <c r="L434" s="24">
        <f>IF(I434=0,0,CAPITAL!$C$6/I434)
</f>
        <v>20000</v>
      </c>
      <c r="M434" s="24">
        <f>IF(J434=0,0,CAPITAL!$C$7/J434)
</f>
        <v>69444.44444</v>
      </c>
      <c r="N434" s="24">
        <f t="shared" si="1"/>
        <v>94444.44444</v>
      </c>
      <c r="O434" s="24">
        <f t="shared" si="2"/>
        <v>0.05294117647</v>
      </c>
      <c r="P434" s="24">
        <f t="shared" si="3"/>
        <v>0.2117647059</v>
      </c>
      <c r="Q434" s="24">
        <f t="shared" si="4"/>
        <v>0.7352941176</v>
      </c>
    </row>
    <row r="435">
      <c r="A435" s="17">
        <v>433.0</v>
      </c>
      <c r="B435" s="24" t="s">
        <v>29</v>
      </c>
      <c r="C435" s="30"/>
      <c r="D435" s="22"/>
      <c r="E435" s="31"/>
      <c r="F435" s="22"/>
      <c r="G435" s="30"/>
      <c r="H435" s="24">
        <v>30.0</v>
      </c>
      <c r="I435" s="24">
        <v>35.0</v>
      </c>
      <c r="J435" s="24">
        <v>36.0</v>
      </c>
      <c r="K435" s="24">
        <f>IF(H435=0,0,CAPITAL!$C$5/H435)
</f>
        <v>5000</v>
      </c>
      <c r="L435" s="24">
        <f>IF(I435=0,0,CAPITAL!$C$6/I435)
</f>
        <v>20000</v>
      </c>
      <c r="M435" s="24">
        <f>IF(J435=0,0,CAPITAL!$C$7/J435)
</f>
        <v>69444.44444</v>
      </c>
      <c r="N435" s="24">
        <f t="shared" si="1"/>
        <v>94444.44444</v>
      </c>
      <c r="O435" s="24">
        <f t="shared" si="2"/>
        <v>0.05294117647</v>
      </c>
      <c r="P435" s="24">
        <f t="shared" si="3"/>
        <v>0.2117647059</v>
      </c>
      <c r="Q435" s="24">
        <f t="shared" si="4"/>
        <v>0.7352941176</v>
      </c>
    </row>
    <row r="436">
      <c r="A436" s="17">
        <v>434.0</v>
      </c>
      <c r="B436" s="24" t="s">
        <v>29</v>
      </c>
      <c r="C436" s="30"/>
      <c r="D436" s="22"/>
      <c r="E436" s="31"/>
      <c r="F436" s="22"/>
      <c r="G436" s="30"/>
      <c r="H436" s="24">
        <v>30.0</v>
      </c>
      <c r="I436" s="24">
        <v>35.0</v>
      </c>
      <c r="J436" s="24">
        <v>36.0</v>
      </c>
      <c r="K436" s="24">
        <f>IF(H436=0,0,CAPITAL!$C$5/H436)
</f>
        <v>5000</v>
      </c>
      <c r="L436" s="24">
        <f>IF(I436=0,0,CAPITAL!$C$6/I436)
</f>
        <v>20000</v>
      </c>
      <c r="M436" s="24">
        <f>IF(J436=0,0,CAPITAL!$C$7/J436)
</f>
        <v>69444.44444</v>
      </c>
      <c r="N436" s="24">
        <f t="shared" si="1"/>
        <v>94444.44444</v>
      </c>
      <c r="O436" s="24">
        <f t="shared" si="2"/>
        <v>0.05294117647</v>
      </c>
      <c r="P436" s="24">
        <f t="shared" si="3"/>
        <v>0.2117647059</v>
      </c>
      <c r="Q436" s="24">
        <f t="shared" si="4"/>
        <v>0.7352941176</v>
      </c>
    </row>
    <row r="437">
      <c r="A437" s="17">
        <v>435.0</v>
      </c>
      <c r="B437" s="24" t="s">
        <v>29</v>
      </c>
      <c r="C437" s="30"/>
      <c r="D437" s="22"/>
      <c r="E437" s="31"/>
      <c r="F437" s="22"/>
      <c r="G437" s="30"/>
      <c r="H437" s="24">
        <v>30.0</v>
      </c>
      <c r="I437" s="24">
        <v>35.0</v>
      </c>
      <c r="J437" s="24">
        <v>36.0</v>
      </c>
      <c r="K437" s="24">
        <f>IF(H437=0,0,CAPITAL!$C$5/H437)
</f>
        <v>5000</v>
      </c>
      <c r="L437" s="24">
        <f>IF(I437=0,0,CAPITAL!$C$6/I437)
</f>
        <v>20000</v>
      </c>
      <c r="M437" s="24">
        <f>IF(J437=0,0,CAPITAL!$C$7/J437)
</f>
        <v>69444.44444</v>
      </c>
      <c r="N437" s="24">
        <f t="shared" si="1"/>
        <v>94444.44444</v>
      </c>
      <c r="O437" s="24">
        <f t="shared" si="2"/>
        <v>0.05294117647</v>
      </c>
      <c r="P437" s="24">
        <f t="shared" si="3"/>
        <v>0.2117647059</v>
      </c>
      <c r="Q437" s="24">
        <f t="shared" si="4"/>
        <v>0.7352941176</v>
      </c>
    </row>
    <row r="438">
      <c r="A438" s="17">
        <v>436.0</v>
      </c>
      <c r="B438" s="24" t="s">
        <v>29</v>
      </c>
      <c r="C438" s="30"/>
      <c r="D438" s="22"/>
      <c r="E438" s="31"/>
      <c r="F438" s="22"/>
      <c r="G438" s="30"/>
      <c r="H438" s="24">
        <v>30.0</v>
      </c>
      <c r="I438" s="24">
        <v>35.0</v>
      </c>
      <c r="J438" s="24">
        <v>36.0</v>
      </c>
      <c r="K438" s="24">
        <f>IF(H438=0,0,CAPITAL!$C$5/H438)
</f>
        <v>5000</v>
      </c>
      <c r="L438" s="24">
        <f>IF(I438=0,0,CAPITAL!$C$6/I438)
</f>
        <v>20000</v>
      </c>
      <c r="M438" s="24">
        <f>IF(J438=0,0,CAPITAL!$C$7/J438)
</f>
        <v>69444.44444</v>
      </c>
      <c r="N438" s="24">
        <f t="shared" si="1"/>
        <v>94444.44444</v>
      </c>
      <c r="O438" s="24">
        <f t="shared" si="2"/>
        <v>0.05294117647</v>
      </c>
      <c r="P438" s="24">
        <f t="shared" si="3"/>
        <v>0.2117647059</v>
      </c>
      <c r="Q438" s="24">
        <f t="shared" si="4"/>
        <v>0.7352941176</v>
      </c>
    </row>
    <row r="439">
      <c r="A439" s="17">
        <v>437.0</v>
      </c>
      <c r="B439" s="24" t="s">
        <v>29</v>
      </c>
      <c r="C439" s="30"/>
      <c r="D439" s="22"/>
      <c r="E439" s="31"/>
      <c r="F439" s="22"/>
      <c r="G439" s="30"/>
      <c r="H439" s="24">
        <v>30.0</v>
      </c>
      <c r="I439" s="24">
        <v>35.0</v>
      </c>
      <c r="J439" s="24">
        <v>36.0</v>
      </c>
      <c r="K439" s="24">
        <f>IF(H439=0,0,CAPITAL!$C$5/H439)
</f>
        <v>5000</v>
      </c>
      <c r="L439" s="24">
        <f>IF(I439=0,0,CAPITAL!$C$6/I439)
</f>
        <v>20000</v>
      </c>
      <c r="M439" s="24">
        <f>IF(J439=0,0,CAPITAL!$C$7/J439)
</f>
        <v>69444.44444</v>
      </c>
      <c r="N439" s="24">
        <f t="shared" si="1"/>
        <v>94444.44444</v>
      </c>
      <c r="O439" s="24">
        <f t="shared" si="2"/>
        <v>0.05294117647</v>
      </c>
      <c r="P439" s="24">
        <f t="shared" si="3"/>
        <v>0.2117647059</v>
      </c>
      <c r="Q439" s="24">
        <f t="shared" si="4"/>
        <v>0.7352941176</v>
      </c>
    </row>
    <row r="440">
      <c r="A440" s="17">
        <v>438.0</v>
      </c>
      <c r="B440" s="24" t="s">
        <v>29</v>
      </c>
      <c r="C440" s="30"/>
      <c r="D440" s="22"/>
      <c r="E440" s="31"/>
      <c r="F440" s="22"/>
      <c r="G440" s="30"/>
      <c r="H440" s="24">
        <v>30.0</v>
      </c>
      <c r="I440" s="24">
        <v>35.0</v>
      </c>
      <c r="J440" s="24">
        <v>36.0</v>
      </c>
      <c r="K440" s="24">
        <f>IF(H440=0,0,CAPITAL!$C$5/H440)
</f>
        <v>5000</v>
      </c>
      <c r="L440" s="24">
        <f>IF(I440=0,0,CAPITAL!$C$6/I440)
</f>
        <v>20000</v>
      </c>
      <c r="M440" s="24">
        <f>IF(J440=0,0,CAPITAL!$C$7/J440)
</f>
        <v>69444.44444</v>
      </c>
      <c r="N440" s="24">
        <f t="shared" si="1"/>
        <v>94444.44444</v>
      </c>
      <c r="O440" s="24">
        <f t="shared" si="2"/>
        <v>0.05294117647</v>
      </c>
      <c r="P440" s="24">
        <f t="shared" si="3"/>
        <v>0.2117647059</v>
      </c>
      <c r="Q440" s="24">
        <f t="shared" si="4"/>
        <v>0.7352941176</v>
      </c>
    </row>
    <row r="441">
      <c r="A441" s="17">
        <v>439.0</v>
      </c>
      <c r="B441" s="24" t="s">
        <v>29</v>
      </c>
      <c r="C441" s="30"/>
      <c r="D441" s="22"/>
      <c r="E441" s="31"/>
      <c r="F441" s="22"/>
      <c r="G441" s="30"/>
      <c r="H441" s="24">
        <v>30.0</v>
      </c>
      <c r="I441" s="24">
        <v>35.0</v>
      </c>
      <c r="J441" s="24">
        <v>36.0</v>
      </c>
      <c r="K441" s="24">
        <f>IF(H441=0,0,CAPITAL!$C$5/H441)
</f>
        <v>5000</v>
      </c>
      <c r="L441" s="24">
        <f>IF(I441=0,0,CAPITAL!$C$6/I441)
</f>
        <v>20000</v>
      </c>
      <c r="M441" s="24">
        <f>IF(J441=0,0,CAPITAL!$C$7/J441)
</f>
        <v>69444.44444</v>
      </c>
      <c r="N441" s="24">
        <f t="shared" si="1"/>
        <v>94444.44444</v>
      </c>
      <c r="O441" s="24">
        <f t="shared" si="2"/>
        <v>0.05294117647</v>
      </c>
      <c r="P441" s="24">
        <f t="shared" si="3"/>
        <v>0.2117647059</v>
      </c>
      <c r="Q441" s="24">
        <f t="shared" si="4"/>
        <v>0.7352941176</v>
      </c>
    </row>
    <row r="442">
      <c r="A442" s="17">
        <v>440.0</v>
      </c>
      <c r="B442" s="24" t="s">
        <v>29</v>
      </c>
      <c r="C442" s="30"/>
      <c r="D442" s="22"/>
      <c r="E442" s="31"/>
      <c r="F442" s="22"/>
      <c r="G442" s="30"/>
      <c r="H442" s="24">
        <v>30.0</v>
      </c>
      <c r="I442" s="24">
        <v>35.0</v>
      </c>
      <c r="J442" s="24">
        <v>36.0</v>
      </c>
      <c r="K442" s="24">
        <f>IF(H442=0,0,CAPITAL!$C$5/H442)
</f>
        <v>5000</v>
      </c>
      <c r="L442" s="24">
        <f>IF(I442=0,0,CAPITAL!$C$6/I442)
</f>
        <v>20000</v>
      </c>
      <c r="M442" s="24">
        <f>IF(J442=0,0,CAPITAL!$C$7/J442)
</f>
        <v>69444.44444</v>
      </c>
      <c r="N442" s="24">
        <f t="shared" si="1"/>
        <v>94444.44444</v>
      </c>
      <c r="O442" s="24">
        <f t="shared" si="2"/>
        <v>0.05294117647</v>
      </c>
      <c r="P442" s="24">
        <f t="shared" si="3"/>
        <v>0.2117647059</v>
      </c>
      <c r="Q442" s="24">
        <f t="shared" si="4"/>
        <v>0.7352941176</v>
      </c>
    </row>
    <row r="443">
      <c r="A443" s="17">
        <v>441.0</v>
      </c>
      <c r="B443" s="24" t="s">
        <v>29</v>
      </c>
      <c r="C443" s="30"/>
      <c r="D443" s="22"/>
      <c r="E443" s="31"/>
      <c r="F443" s="22"/>
      <c r="G443" s="30"/>
      <c r="H443" s="24">
        <v>30.0</v>
      </c>
      <c r="I443" s="24">
        <v>35.0</v>
      </c>
      <c r="J443" s="24">
        <v>36.0</v>
      </c>
      <c r="K443" s="24">
        <f>IF(H443=0,0,CAPITAL!$C$5/H443)
</f>
        <v>5000</v>
      </c>
      <c r="L443" s="24">
        <f>IF(I443=0,0,CAPITAL!$C$6/I443)
</f>
        <v>20000</v>
      </c>
      <c r="M443" s="24">
        <f>IF(J443=0,0,CAPITAL!$C$7/J443)
</f>
        <v>69444.44444</v>
      </c>
      <c r="N443" s="24">
        <f t="shared" si="1"/>
        <v>94444.44444</v>
      </c>
      <c r="O443" s="24">
        <f t="shared" si="2"/>
        <v>0.05294117647</v>
      </c>
      <c r="P443" s="24">
        <f t="shared" si="3"/>
        <v>0.2117647059</v>
      </c>
      <c r="Q443" s="24">
        <f t="shared" si="4"/>
        <v>0.7352941176</v>
      </c>
    </row>
    <row r="444">
      <c r="A444" s="17">
        <v>442.0</v>
      </c>
      <c r="B444" s="24" t="s">
        <v>29</v>
      </c>
      <c r="C444" s="30"/>
      <c r="D444" s="22"/>
      <c r="E444" s="31"/>
      <c r="F444" s="22"/>
      <c r="G444" s="30"/>
      <c r="H444" s="24">
        <v>30.0</v>
      </c>
      <c r="I444" s="24">
        <v>35.0</v>
      </c>
      <c r="J444" s="24">
        <v>36.0</v>
      </c>
      <c r="K444" s="24">
        <f>IF(H444=0,0,CAPITAL!$C$5/H444)
</f>
        <v>5000</v>
      </c>
      <c r="L444" s="24">
        <f>IF(I444=0,0,CAPITAL!$C$6/I444)
</f>
        <v>20000</v>
      </c>
      <c r="M444" s="24">
        <f>IF(J444=0,0,CAPITAL!$C$7/J444)
</f>
        <v>69444.44444</v>
      </c>
      <c r="N444" s="24">
        <f t="shared" si="1"/>
        <v>94444.44444</v>
      </c>
      <c r="O444" s="24">
        <f t="shared" si="2"/>
        <v>0.05294117647</v>
      </c>
      <c r="P444" s="24">
        <f t="shared" si="3"/>
        <v>0.2117647059</v>
      </c>
      <c r="Q444" s="24">
        <f t="shared" si="4"/>
        <v>0.7352941176</v>
      </c>
    </row>
    <row r="445">
      <c r="A445" s="17">
        <v>443.0</v>
      </c>
      <c r="B445" s="24" t="s">
        <v>29</v>
      </c>
      <c r="C445" s="30"/>
      <c r="D445" s="22"/>
      <c r="E445" s="31"/>
      <c r="F445" s="22"/>
      <c r="G445" s="30"/>
      <c r="H445" s="24">
        <v>30.0</v>
      </c>
      <c r="I445" s="24">
        <v>35.0</v>
      </c>
      <c r="J445" s="24">
        <v>36.0</v>
      </c>
      <c r="K445" s="24">
        <f>IF(H445=0,0,CAPITAL!$C$5/H445)
</f>
        <v>5000</v>
      </c>
      <c r="L445" s="24">
        <f>IF(I445=0,0,CAPITAL!$C$6/I445)
</f>
        <v>20000</v>
      </c>
      <c r="M445" s="24">
        <f>IF(J445=0,0,CAPITAL!$C$7/J445)
</f>
        <v>69444.44444</v>
      </c>
      <c r="N445" s="24">
        <f t="shared" si="1"/>
        <v>94444.44444</v>
      </c>
      <c r="O445" s="24">
        <f t="shared" si="2"/>
        <v>0.05294117647</v>
      </c>
      <c r="P445" s="24">
        <f t="shared" si="3"/>
        <v>0.2117647059</v>
      </c>
      <c r="Q445" s="24">
        <f t="shared" si="4"/>
        <v>0.7352941176</v>
      </c>
    </row>
    <row r="446">
      <c r="A446" s="17">
        <v>444.0</v>
      </c>
      <c r="B446" s="24" t="s">
        <v>29</v>
      </c>
      <c r="C446" s="30"/>
      <c r="D446" s="22"/>
      <c r="E446" s="31"/>
      <c r="F446" s="22"/>
      <c r="G446" s="30"/>
      <c r="H446" s="24">
        <v>30.0</v>
      </c>
      <c r="I446" s="24">
        <v>35.0</v>
      </c>
      <c r="J446" s="24">
        <v>36.0</v>
      </c>
      <c r="K446" s="24">
        <f>IF(H446=0,0,CAPITAL!$C$5/H446)
</f>
        <v>5000</v>
      </c>
      <c r="L446" s="24">
        <f>IF(I446=0,0,CAPITAL!$C$6/I446)
</f>
        <v>20000</v>
      </c>
      <c r="M446" s="24">
        <f>IF(J446=0,0,CAPITAL!$C$7/J446)
</f>
        <v>69444.44444</v>
      </c>
      <c r="N446" s="24">
        <f t="shared" si="1"/>
        <v>94444.44444</v>
      </c>
      <c r="O446" s="24">
        <f t="shared" si="2"/>
        <v>0.05294117647</v>
      </c>
      <c r="P446" s="24">
        <f t="shared" si="3"/>
        <v>0.2117647059</v>
      </c>
      <c r="Q446" s="24">
        <f t="shared" si="4"/>
        <v>0.7352941176</v>
      </c>
    </row>
    <row r="447">
      <c r="A447" s="17">
        <v>445.0</v>
      </c>
      <c r="B447" s="24" t="s">
        <v>29</v>
      </c>
      <c r="C447" s="30"/>
      <c r="D447" s="22"/>
      <c r="E447" s="31"/>
      <c r="F447" s="22"/>
      <c r="G447" s="30"/>
      <c r="H447" s="24">
        <v>30.0</v>
      </c>
      <c r="I447" s="24">
        <v>35.0</v>
      </c>
      <c r="J447" s="24">
        <v>36.0</v>
      </c>
      <c r="K447" s="24">
        <f>IF(H447=0,0,CAPITAL!$C$5/H447)
</f>
        <v>5000</v>
      </c>
      <c r="L447" s="24">
        <f>IF(I447=0,0,CAPITAL!$C$6/I447)
</f>
        <v>20000</v>
      </c>
      <c r="M447" s="24">
        <f>IF(J447=0,0,CAPITAL!$C$7/J447)
</f>
        <v>69444.44444</v>
      </c>
      <c r="N447" s="24">
        <f t="shared" si="1"/>
        <v>94444.44444</v>
      </c>
      <c r="O447" s="24">
        <f t="shared" si="2"/>
        <v>0.05294117647</v>
      </c>
      <c r="P447" s="24">
        <f t="shared" si="3"/>
        <v>0.2117647059</v>
      </c>
      <c r="Q447" s="24">
        <f t="shared" si="4"/>
        <v>0.7352941176</v>
      </c>
    </row>
    <row r="448">
      <c r="A448" s="17">
        <v>446.0</v>
      </c>
      <c r="B448" s="24" t="s">
        <v>29</v>
      </c>
      <c r="C448" s="30"/>
      <c r="D448" s="22"/>
      <c r="E448" s="31"/>
      <c r="F448" s="22"/>
      <c r="G448" s="30"/>
      <c r="H448" s="24">
        <v>30.0</v>
      </c>
      <c r="I448" s="24">
        <v>35.0</v>
      </c>
      <c r="J448" s="24">
        <v>36.0</v>
      </c>
      <c r="K448" s="24">
        <f>IF(H448=0,0,CAPITAL!$C$5/H448)
</f>
        <v>5000</v>
      </c>
      <c r="L448" s="24">
        <f>IF(I448=0,0,CAPITAL!$C$6/I448)
</f>
        <v>20000</v>
      </c>
      <c r="M448" s="24">
        <f>IF(J448=0,0,CAPITAL!$C$7/J448)
</f>
        <v>69444.44444</v>
      </c>
      <c r="N448" s="24">
        <f t="shared" si="1"/>
        <v>94444.44444</v>
      </c>
      <c r="O448" s="24">
        <f t="shared" si="2"/>
        <v>0.05294117647</v>
      </c>
      <c r="P448" s="24">
        <f t="shared" si="3"/>
        <v>0.2117647059</v>
      </c>
      <c r="Q448" s="24">
        <f t="shared" si="4"/>
        <v>0.7352941176</v>
      </c>
    </row>
    <row r="449">
      <c r="A449" s="17">
        <v>447.0</v>
      </c>
      <c r="B449" s="24" t="s">
        <v>29</v>
      </c>
      <c r="C449" s="30"/>
      <c r="D449" s="22"/>
      <c r="E449" s="31"/>
      <c r="F449" s="22"/>
      <c r="G449" s="30"/>
      <c r="H449" s="24">
        <v>30.0</v>
      </c>
      <c r="I449" s="24">
        <v>35.0</v>
      </c>
      <c r="J449" s="24">
        <v>36.0</v>
      </c>
      <c r="K449" s="24">
        <f>IF(H449=0,0,CAPITAL!$C$5/H449)
</f>
        <v>5000</v>
      </c>
      <c r="L449" s="24">
        <f>IF(I449=0,0,CAPITAL!$C$6/I449)
</f>
        <v>20000</v>
      </c>
      <c r="M449" s="24">
        <f>IF(J449=0,0,CAPITAL!$C$7/J449)
</f>
        <v>69444.44444</v>
      </c>
      <c r="N449" s="24">
        <f t="shared" si="1"/>
        <v>94444.44444</v>
      </c>
      <c r="O449" s="24">
        <f t="shared" si="2"/>
        <v>0.05294117647</v>
      </c>
      <c r="P449" s="24">
        <f t="shared" si="3"/>
        <v>0.2117647059</v>
      </c>
      <c r="Q449" s="24">
        <f t="shared" si="4"/>
        <v>0.7352941176</v>
      </c>
    </row>
    <row r="450">
      <c r="A450" s="17">
        <v>448.0</v>
      </c>
      <c r="B450" s="24" t="s">
        <v>29</v>
      </c>
      <c r="C450" s="30"/>
      <c r="D450" s="22"/>
      <c r="E450" s="31"/>
      <c r="F450" s="22"/>
      <c r="G450" s="30"/>
      <c r="H450" s="24">
        <v>30.0</v>
      </c>
      <c r="I450" s="24">
        <v>35.0</v>
      </c>
      <c r="J450" s="24">
        <v>36.0</v>
      </c>
      <c r="K450" s="24">
        <f>IF(H450=0,0,CAPITAL!$C$5/H450)
</f>
        <v>5000</v>
      </c>
      <c r="L450" s="24">
        <f>IF(I450=0,0,CAPITAL!$C$6/I450)
</f>
        <v>20000</v>
      </c>
      <c r="M450" s="24">
        <f>IF(J450=0,0,CAPITAL!$C$7/J450)
</f>
        <v>69444.44444</v>
      </c>
      <c r="N450" s="24">
        <f t="shared" si="1"/>
        <v>94444.44444</v>
      </c>
      <c r="O450" s="24">
        <f t="shared" si="2"/>
        <v>0.05294117647</v>
      </c>
      <c r="P450" s="24">
        <f t="shared" si="3"/>
        <v>0.2117647059</v>
      </c>
      <c r="Q450" s="24">
        <f t="shared" si="4"/>
        <v>0.7352941176</v>
      </c>
    </row>
    <row r="451">
      <c r="A451" s="17">
        <v>449.0</v>
      </c>
      <c r="B451" s="24" t="s">
        <v>29</v>
      </c>
      <c r="C451" s="30"/>
      <c r="D451" s="22"/>
      <c r="E451" s="31"/>
      <c r="F451" s="22"/>
      <c r="G451" s="30"/>
      <c r="H451" s="24">
        <v>30.0</v>
      </c>
      <c r="I451" s="24">
        <v>35.0</v>
      </c>
      <c r="J451" s="24">
        <v>36.0</v>
      </c>
      <c r="K451" s="24">
        <f>IF(H451=0,0,CAPITAL!$C$5/H451)
</f>
        <v>5000</v>
      </c>
      <c r="L451" s="24">
        <f>IF(I451=0,0,CAPITAL!$C$6/I451)
</f>
        <v>20000</v>
      </c>
      <c r="M451" s="24">
        <f>IF(J451=0,0,CAPITAL!$C$7/J451)
</f>
        <v>69444.44444</v>
      </c>
      <c r="N451" s="24">
        <f t="shared" si="1"/>
        <v>94444.44444</v>
      </c>
      <c r="O451" s="24">
        <f t="shared" si="2"/>
        <v>0.05294117647</v>
      </c>
      <c r="P451" s="24">
        <f t="shared" si="3"/>
        <v>0.2117647059</v>
      </c>
      <c r="Q451" s="24">
        <f t="shared" si="4"/>
        <v>0.7352941176</v>
      </c>
    </row>
    <row r="452">
      <c r="A452" s="17">
        <v>450.0</v>
      </c>
      <c r="B452" s="24" t="s">
        <v>29</v>
      </c>
      <c r="C452" s="30"/>
      <c r="D452" s="22"/>
      <c r="E452" s="31"/>
      <c r="F452" s="22"/>
      <c r="G452" s="30"/>
      <c r="H452" s="24">
        <v>30.0</v>
      </c>
      <c r="I452" s="24">
        <v>35.0</v>
      </c>
      <c r="J452" s="24">
        <v>36.0</v>
      </c>
      <c r="K452" s="24">
        <f>IF(H452=0,0,CAPITAL!$C$5/H452)
</f>
        <v>5000</v>
      </c>
      <c r="L452" s="24">
        <f>IF(I452=0,0,CAPITAL!$C$6/I452)
</f>
        <v>20000</v>
      </c>
      <c r="M452" s="24">
        <f>IF(J452=0,0,CAPITAL!$C$7/J452)
</f>
        <v>69444.44444</v>
      </c>
      <c r="N452" s="24">
        <f t="shared" si="1"/>
        <v>94444.44444</v>
      </c>
      <c r="O452" s="24">
        <f t="shared" si="2"/>
        <v>0.05294117647</v>
      </c>
      <c r="P452" s="24">
        <f t="shared" si="3"/>
        <v>0.2117647059</v>
      </c>
      <c r="Q452" s="24">
        <f t="shared" si="4"/>
        <v>0.7352941176</v>
      </c>
    </row>
    <row r="453">
      <c r="A453" s="17">
        <v>451.0</v>
      </c>
      <c r="B453" s="24" t="s">
        <v>29</v>
      </c>
      <c r="C453" s="30"/>
      <c r="D453" s="22"/>
      <c r="E453" s="31"/>
      <c r="F453" s="22"/>
      <c r="G453" s="30"/>
      <c r="H453" s="24">
        <v>30.0</v>
      </c>
      <c r="I453" s="24">
        <v>35.0</v>
      </c>
      <c r="J453" s="24">
        <v>36.0</v>
      </c>
      <c r="K453" s="24">
        <f>IF(H453=0,0,CAPITAL!$C$5/H453)
</f>
        <v>5000</v>
      </c>
      <c r="L453" s="24">
        <f>IF(I453=0,0,CAPITAL!$C$6/I453)
</f>
        <v>20000</v>
      </c>
      <c r="M453" s="24">
        <f>IF(J453=0,0,CAPITAL!$C$7/J453)
</f>
        <v>69444.44444</v>
      </c>
      <c r="N453" s="24">
        <f t="shared" si="1"/>
        <v>94444.44444</v>
      </c>
      <c r="O453" s="24">
        <f t="shared" si="2"/>
        <v>0.05294117647</v>
      </c>
      <c r="P453" s="24">
        <f t="shared" si="3"/>
        <v>0.2117647059</v>
      </c>
      <c r="Q453" s="24">
        <f t="shared" si="4"/>
        <v>0.7352941176</v>
      </c>
    </row>
    <row r="454">
      <c r="A454" s="17">
        <v>452.0</v>
      </c>
      <c r="B454" s="24" t="s">
        <v>29</v>
      </c>
      <c r="C454" s="30"/>
      <c r="D454" s="22"/>
      <c r="E454" s="31"/>
      <c r="F454" s="22"/>
      <c r="G454" s="30"/>
      <c r="H454" s="24">
        <v>30.0</v>
      </c>
      <c r="I454" s="24">
        <v>35.0</v>
      </c>
      <c r="J454" s="24">
        <v>36.0</v>
      </c>
      <c r="K454" s="24">
        <f>IF(H454=0,0,CAPITAL!$C$5/H454)
</f>
        <v>5000</v>
      </c>
      <c r="L454" s="24">
        <f>IF(I454=0,0,CAPITAL!$C$6/I454)
</f>
        <v>20000</v>
      </c>
      <c r="M454" s="24">
        <f>IF(J454=0,0,CAPITAL!$C$7/J454)
</f>
        <v>69444.44444</v>
      </c>
      <c r="N454" s="24">
        <f t="shared" si="1"/>
        <v>94444.44444</v>
      </c>
      <c r="O454" s="24">
        <f t="shared" si="2"/>
        <v>0.05294117647</v>
      </c>
      <c r="P454" s="24">
        <f t="shared" si="3"/>
        <v>0.2117647059</v>
      </c>
      <c r="Q454" s="24">
        <f t="shared" si="4"/>
        <v>0.7352941176</v>
      </c>
    </row>
    <row r="455">
      <c r="A455" s="17">
        <v>453.0</v>
      </c>
      <c r="B455" s="24" t="s">
        <v>29</v>
      </c>
      <c r="C455" s="30"/>
      <c r="D455" s="22"/>
      <c r="E455" s="31"/>
      <c r="F455" s="22"/>
      <c r="G455" s="30"/>
      <c r="H455" s="24">
        <v>30.0</v>
      </c>
      <c r="I455" s="24">
        <v>35.0</v>
      </c>
      <c r="J455" s="24">
        <v>36.0</v>
      </c>
      <c r="K455" s="24">
        <f>IF(H455=0,0,CAPITAL!$C$5/H455)
</f>
        <v>5000</v>
      </c>
      <c r="L455" s="24">
        <f>IF(I455=0,0,CAPITAL!$C$6/I455)
</f>
        <v>20000</v>
      </c>
      <c r="M455" s="24">
        <f>IF(J455=0,0,CAPITAL!$C$7/J455)
</f>
        <v>69444.44444</v>
      </c>
      <c r="N455" s="24">
        <f t="shared" si="1"/>
        <v>94444.44444</v>
      </c>
      <c r="O455" s="24">
        <f t="shared" si="2"/>
        <v>0.05294117647</v>
      </c>
      <c r="P455" s="24">
        <f t="shared" si="3"/>
        <v>0.2117647059</v>
      </c>
      <c r="Q455" s="24">
        <f t="shared" si="4"/>
        <v>0.7352941176</v>
      </c>
    </row>
    <row r="456">
      <c r="A456" s="17">
        <v>454.0</v>
      </c>
      <c r="B456" s="24" t="s">
        <v>29</v>
      </c>
      <c r="C456" s="30"/>
      <c r="D456" s="22"/>
      <c r="E456" s="31"/>
      <c r="F456" s="22"/>
      <c r="G456" s="30"/>
      <c r="H456" s="24">
        <v>30.0</v>
      </c>
      <c r="I456" s="24">
        <v>35.0</v>
      </c>
      <c r="J456" s="24">
        <v>36.0</v>
      </c>
      <c r="K456" s="24">
        <f>IF(H456=0,0,CAPITAL!$C$5/H456)
</f>
        <v>5000</v>
      </c>
      <c r="L456" s="24">
        <f>IF(I456=0,0,CAPITAL!$C$6/I456)
</f>
        <v>20000</v>
      </c>
      <c r="M456" s="24">
        <f>IF(J456=0,0,CAPITAL!$C$7/J456)
</f>
        <v>69444.44444</v>
      </c>
      <c r="N456" s="24">
        <f t="shared" si="1"/>
        <v>94444.44444</v>
      </c>
      <c r="O456" s="24">
        <f t="shared" si="2"/>
        <v>0.05294117647</v>
      </c>
      <c r="P456" s="24">
        <f t="shared" si="3"/>
        <v>0.2117647059</v>
      </c>
      <c r="Q456" s="24">
        <f t="shared" si="4"/>
        <v>0.7352941176</v>
      </c>
    </row>
    <row r="457">
      <c r="A457" s="17">
        <v>455.0</v>
      </c>
      <c r="B457" s="24" t="s">
        <v>29</v>
      </c>
      <c r="C457" s="30"/>
      <c r="D457" s="22"/>
      <c r="E457" s="31"/>
      <c r="F457" s="22"/>
      <c r="G457" s="30"/>
      <c r="H457" s="24">
        <v>30.0</v>
      </c>
      <c r="I457" s="24">
        <v>35.0</v>
      </c>
      <c r="J457" s="24">
        <v>36.0</v>
      </c>
      <c r="K457" s="24">
        <f>IF(H457=0,0,CAPITAL!$C$5/H457)
</f>
        <v>5000</v>
      </c>
      <c r="L457" s="24">
        <f>IF(I457=0,0,CAPITAL!$C$6/I457)
</f>
        <v>20000</v>
      </c>
      <c r="M457" s="24">
        <f>IF(J457=0,0,CAPITAL!$C$7/J457)
</f>
        <v>69444.44444</v>
      </c>
      <c r="N457" s="24">
        <f t="shared" si="1"/>
        <v>94444.44444</v>
      </c>
      <c r="O457" s="24">
        <f t="shared" si="2"/>
        <v>0.05294117647</v>
      </c>
      <c r="P457" s="24">
        <f t="shared" si="3"/>
        <v>0.2117647059</v>
      </c>
      <c r="Q457" s="24">
        <f t="shared" si="4"/>
        <v>0.7352941176</v>
      </c>
    </row>
    <row r="458">
      <c r="A458" s="17">
        <v>456.0</v>
      </c>
      <c r="B458" s="24" t="s">
        <v>29</v>
      </c>
      <c r="C458" s="30"/>
      <c r="D458" s="22"/>
      <c r="E458" s="31"/>
      <c r="F458" s="22"/>
      <c r="G458" s="30"/>
      <c r="H458" s="24">
        <v>30.0</v>
      </c>
      <c r="I458" s="24">
        <v>35.0</v>
      </c>
      <c r="J458" s="24">
        <v>36.0</v>
      </c>
      <c r="K458" s="24">
        <f>IF(H458=0,0,CAPITAL!$C$5/H458)
</f>
        <v>5000</v>
      </c>
      <c r="L458" s="24">
        <f>IF(I458=0,0,CAPITAL!$C$6/I458)
</f>
        <v>20000</v>
      </c>
      <c r="M458" s="24">
        <f>IF(J458=0,0,CAPITAL!$C$7/J458)
</f>
        <v>69444.44444</v>
      </c>
      <c r="N458" s="24">
        <f t="shared" si="1"/>
        <v>94444.44444</v>
      </c>
      <c r="O458" s="24">
        <f t="shared" si="2"/>
        <v>0.05294117647</v>
      </c>
      <c r="P458" s="24">
        <f t="shared" si="3"/>
        <v>0.2117647059</v>
      </c>
      <c r="Q458" s="24">
        <f t="shared" si="4"/>
        <v>0.7352941176</v>
      </c>
    </row>
    <row r="459">
      <c r="A459" s="17">
        <v>457.0</v>
      </c>
      <c r="B459" s="24" t="s">
        <v>29</v>
      </c>
      <c r="C459" s="30"/>
      <c r="D459" s="22"/>
      <c r="E459" s="31"/>
      <c r="F459" s="22"/>
      <c r="G459" s="30"/>
      <c r="H459" s="24">
        <v>30.0</v>
      </c>
      <c r="I459" s="24">
        <v>35.0</v>
      </c>
      <c r="J459" s="24">
        <v>36.0</v>
      </c>
      <c r="K459" s="24">
        <f>IF(H459=0,0,CAPITAL!$C$5/H459)
</f>
        <v>5000</v>
      </c>
      <c r="L459" s="24">
        <f>IF(I459=0,0,CAPITAL!$C$6/I459)
</f>
        <v>20000</v>
      </c>
      <c r="M459" s="24">
        <f>IF(J459=0,0,CAPITAL!$C$7/J459)
</f>
        <v>69444.44444</v>
      </c>
      <c r="N459" s="24">
        <f t="shared" si="1"/>
        <v>94444.44444</v>
      </c>
      <c r="O459" s="24">
        <f t="shared" si="2"/>
        <v>0.05294117647</v>
      </c>
      <c r="P459" s="24">
        <f t="shared" si="3"/>
        <v>0.2117647059</v>
      </c>
      <c r="Q459" s="24">
        <f t="shared" si="4"/>
        <v>0.7352941176</v>
      </c>
    </row>
    <row r="460">
      <c r="A460" s="17">
        <v>458.0</v>
      </c>
      <c r="B460" s="24" t="s">
        <v>29</v>
      </c>
      <c r="C460" s="30"/>
      <c r="D460" s="22"/>
      <c r="E460" s="31"/>
      <c r="F460" s="22"/>
      <c r="G460" s="30"/>
      <c r="H460" s="24">
        <v>30.0</v>
      </c>
      <c r="I460" s="24">
        <v>35.0</v>
      </c>
      <c r="J460" s="24">
        <v>36.0</v>
      </c>
      <c r="K460" s="24">
        <f>IF(H460=0,0,CAPITAL!$C$5/H460)
</f>
        <v>5000</v>
      </c>
      <c r="L460" s="24">
        <f>IF(I460=0,0,CAPITAL!$C$6/I460)
</f>
        <v>20000</v>
      </c>
      <c r="M460" s="24">
        <f>IF(J460=0,0,CAPITAL!$C$7/J460)
</f>
        <v>69444.44444</v>
      </c>
      <c r="N460" s="24">
        <f t="shared" si="1"/>
        <v>94444.44444</v>
      </c>
      <c r="O460" s="24">
        <f t="shared" si="2"/>
        <v>0.05294117647</v>
      </c>
      <c r="P460" s="24">
        <f t="shared" si="3"/>
        <v>0.2117647059</v>
      </c>
      <c r="Q460" s="24">
        <f t="shared" si="4"/>
        <v>0.7352941176</v>
      </c>
    </row>
    <row r="461">
      <c r="A461" s="17">
        <v>459.0</v>
      </c>
      <c r="B461" s="24" t="s">
        <v>29</v>
      </c>
      <c r="C461" s="30"/>
      <c r="D461" s="22"/>
      <c r="E461" s="31"/>
      <c r="F461" s="22"/>
      <c r="G461" s="30"/>
      <c r="H461" s="24">
        <v>30.0</v>
      </c>
      <c r="I461" s="24">
        <v>35.0</v>
      </c>
      <c r="J461" s="24">
        <v>36.0</v>
      </c>
      <c r="K461" s="24">
        <f>IF(H461=0,0,CAPITAL!$C$5/H461)
</f>
        <v>5000</v>
      </c>
      <c r="L461" s="24">
        <f>IF(I461=0,0,CAPITAL!$C$6/I461)
</f>
        <v>20000</v>
      </c>
      <c r="M461" s="24">
        <f>IF(J461=0,0,CAPITAL!$C$7/J461)
</f>
        <v>69444.44444</v>
      </c>
      <c r="N461" s="24">
        <f t="shared" si="1"/>
        <v>94444.44444</v>
      </c>
      <c r="O461" s="24">
        <f t="shared" si="2"/>
        <v>0.05294117647</v>
      </c>
      <c r="P461" s="24">
        <f t="shared" si="3"/>
        <v>0.2117647059</v>
      </c>
      <c r="Q461" s="24">
        <f t="shared" si="4"/>
        <v>0.7352941176</v>
      </c>
    </row>
    <row r="462">
      <c r="A462" s="17">
        <v>460.0</v>
      </c>
      <c r="B462" s="24" t="s">
        <v>29</v>
      </c>
      <c r="C462" s="30"/>
      <c r="D462" s="22"/>
      <c r="E462" s="31"/>
      <c r="F462" s="22"/>
      <c r="G462" s="30"/>
      <c r="H462" s="24">
        <v>30.0</v>
      </c>
      <c r="I462" s="24">
        <v>35.0</v>
      </c>
      <c r="J462" s="24">
        <v>36.0</v>
      </c>
      <c r="K462" s="24">
        <f>IF(H462=0,0,CAPITAL!$C$5/H462)
</f>
        <v>5000</v>
      </c>
      <c r="L462" s="24">
        <f>IF(I462=0,0,CAPITAL!$C$6/I462)
</f>
        <v>20000</v>
      </c>
      <c r="M462" s="24">
        <f>IF(J462=0,0,CAPITAL!$C$7/J462)
</f>
        <v>69444.44444</v>
      </c>
      <c r="N462" s="24">
        <f t="shared" si="1"/>
        <v>94444.44444</v>
      </c>
      <c r="O462" s="24">
        <f t="shared" si="2"/>
        <v>0.05294117647</v>
      </c>
      <c r="P462" s="24">
        <f t="shared" si="3"/>
        <v>0.2117647059</v>
      </c>
      <c r="Q462" s="24">
        <f t="shared" si="4"/>
        <v>0.7352941176</v>
      </c>
    </row>
    <row r="463">
      <c r="A463" s="17">
        <v>461.0</v>
      </c>
      <c r="B463" s="24" t="s">
        <v>29</v>
      </c>
      <c r="C463" s="30"/>
      <c r="D463" s="22"/>
      <c r="E463" s="31"/>
      <c r="F463" s="22"/>
      <c r="G463" s="30"/>
      <c r="H463" s="24">
        <v>30.0</v>
      </c>
      <c r="I463" s="24">
        <v>35.0</v>
      </c>
      <c r="J463" s="24">
        <v>36.0</v>
      </c>
      <c r="K463" s="24">
        <f>IF(H463=0,0,CAPITAL!$C$5/H463)
</f>
        <v>5000</v>
      </c>
      <c r="L463" s="24">
        <f>IF(I463=0,0,CAPITAL!$C$6/I463)
</f>
        <v>20000</v>
      </c>
      <c r="M463" s="24">
        <f>IF(J463=0,0,CAPITAL!$C$7/J463)
</f>
        <v>69444.44444</v>
      </c>
      <c r="N463" s="24">
        <f t="shared" si="1"/>
        <v>94444.44444</v>
      </c>
      <c r="O463" s="24">
        <f t="shared" si="2"/>
        <v>0.05294117647</v>
      </c>
      <c r="P463" s="24">
        <f t="shared" si="3"/>
        <v>0.2117647059</v>
      </c>
      <c r="Q463" s="24">
        <f t="shared" si="4"/>
        <v>0.7352941176</v>
      </c>
    </row>
    <row r="464">
      <c r="A464" s="17">
        <v>462.0</v>
      </c>
      <c r="B464" s="24" t="s">
        <v>29</v>
      </c>
      <c r="C464" s="30"/>
      <c r="D464" s="22"/>
      <c r="E464" s="31"/>
      <c r="F464" s="22"/>
      <c r="G464" s="30"/>
      <c r="H464" s="24">
        <v>30.0</v>
      </c>
      <c r="I464" s="24">
        <v>35.0</v>
      </c>
      <c r="J464" s="24">
        <v>36.0</v>
      </c>
      <c r="K464" s="24">
        <f>IF(H464=0,0,CAPITAL!$C$5/H464)
</f>
        <v>5000</v>
      </c>
      <c r="L464" s="24">
        <f>IF(I464=0,0,CAPITAL!$C$6/I464)
</f>
        <v>20000</v>
      </c>
      <c r="M464" s="24">
        <f>IF(J464=0,0,CAPITAL!$C$7/J464)
</f>
        <v>69444.44444</v>
      </c>
      <c r="N464" s="24">
        <f t="shared" si="1"/>
        <v>94444.44444</v>
      </c>
      <c r="O464" s="24">
        <f t="shared" si="2"/>
        <v>0.05294117647</v>
      </c>
      <c r="P464" s="24">
        <f t="shared" si="3"/>
        <v>0.2117647059</v>
      </c>
      <c r="Q464" s="24">
        <f t="shared" si="4"/>
        <v>0.7352941176</v>
      </c>
    </row>
    <row r="465">
      <c r="A465" s="17">
        <v>463.0</v>
      </c>
      <c r="B465" s="24" t="s">
        <v>29</v>
      </c>
      <c r="C465" s="30"/>
      <c r="D465" s="22"/>
      <c r="E465" s="31"/>
      <c r="F465" s="22"/>
      <c r="G465" s="30"/>
      <c r="H465" s="24">
        <v>30.0</v>
      </c>
      <c r="I465" s="24">
        <v>35.0</v>
      </c>
      <c r="J465" s="24">
        <v>36.0</v>
      </c>
      <c r="K465" s="24">
        <f>IF(H465=0,0,CAPITAL!$C$5/H465)
</f>
        <v>5000</v>
      </c>
      <c r="L465" s="24">
        <f>IF(I465=0,0,CAPITAL!$C$6/I465)
</f>
        <v>20000</v>
      </c>
      <c r="M465" s="24">
        <f>IF(J465=0,0,CAPITAL!$C$7/J465)
</f>
        <v>69444.44444</v>
      </c>
      <c r="N465" s="24">
        <f t="shared" si="1"/>
        <v>94444.44444</v>
      </c>
      <c r="O465" s="24">
        <f t="shared" si="2"/>
        <v>0.05294117647</v>
      </c>
      <c r="P465" s="24">
        <f t="shared" si="3"/>
        <v>0.2117647059</v>
      </c>
      <c r="Q465" s="24">
        <f t="shared" si="4"/>
        <v>0.7352941176</v>
      </c>
    </row>
    <row r="466">
      <c r="A466" s="17">
        <v>464.0</v>
      </c>
      <c r="B466" s="24" t="s">
        <v>29</v>
      </c>
      <c r="C466" s="30"/>
      <c r="D466" s="22"/>
      <c r="E466" s="31"/>
      <c r="F466" s="22"/>
      <c r="G466" s="30"/>
      <c r="H466" s="24">
        <v>30.0</v>
      </c>
      <c r="I466" s="24">
        <v>35.0</v>
      </c>
      <c r="J466" s="24">
        <v>36.0</v>
      </c>
      <c r="K466" s="24">
        <f>IF(H466=0,0,CAPITAL!$C$5/H466)
</f>
        <v>5000</v>
      </c>
      <c r="L466" s="24">
        <f>IF(I466=0,0,CAPITAL!$C$6/I466)
</f>
        <v>20000</v>
      </c>
      <c r="M466" s="24">
        <f>IF(J466=0,0,CAPITAL!$C$7/J466)
</f>
        <v>69444.44444</v>
      </c>
      <c r="N466" s="24">
        <f t="shared" si="1"/>
        <v>94444.44444</v>
      </c>
      <c r="O466" s="24">
        <f t="shared" si="2"/>
        <v>0.05294117647</v>
      </c>
      <c r="P466" s="24">
        <f t="shared" si="3"/>
        <v>0.2117647059</v>
      </c>
      <c r="Q466" s="24">
        <f t="shared" si="4"/>
        <v>0.7352941176</v>
      </c>
    </row>
    <row r="467">
      <c r="A467" s="17">
        <v>465.0</v>
      </c>
      <c r="B467" s="24" t="s">
        <v>29</v>
      </c>
      <c r="C467" s="30"/>
      <c r="D467" s="22"/>
      <c r="E467" s="31"/>
      <c r="F467" s="22"/>
      <c r="G467" s="30"/>
      <c r="H467" s="24">
        <v>30.0</v>
      </c>
      <c r="I467" s="24">
        <v>35.0</v>
      </c>
      <c r="J467" s="24">
        <v>36.0</v>
      </c>
      <c r="K467" s="24">
        <f>IF(H467=0,0,CAPITAL!$C$5/H467)
</f>
        <v>5000</v>
      </c>
      <c r="L467" s="24">
        <f>IF(I467=0,0,CAPITAL!$C$6/I467)
</f>
        <v>20000</v>
      </c>
      <c r="M467" s="24">
        <f>IF(J467=0,0,CAPITAL!$C$7/J467)
</f>
        <v>69444.44444</v>
      </c>
      <c r="N467" s="24">
        <f t="shared" si="1"/>
        <v>94444.44444</v>
      </c>
      <c r="O467" s="24">
        <f t="shared" si="2"/>
        <v>0.05294117647</v>
      </c>
      <c r="P467" s="24">
        <f t="shared" si="3"/>
        <v>0.2117647059</v>
      </c>
      <c r="Q467" s="24">
        <f t="shared" si="4"/>
        <v>0.7352941176</v>
      </c>
    </row>
    <row r="468">
      <c r="A468" s="17">
        <v>466.0</v>
      </c>
      <c r="B468" s="24" t="s">
        <v>29</v>
      </c>
      <c r="C468" s="30"/>
      <c r="D468" s="22"/>
      <c r="E468" s="31"/>
      <c r="F468" s="22"/>
      <c r="G468" s="30"/>
      <c r="H468" s="24">
        <v>30.0</v>
      </c>
      <c r="I468" s="24">
        <v>35.0</v>
      </c>
      <c r="J468" s="24">
        <v>36.0</v>
      </c>
      <c r="K468" s="24">
        <f>IF(H468=0,0,CAPITAL!$C$5/H468)
</f>
        <v>5000</v>
      </c>
      <c r="L468" s="24">
        <f>IF(I468=0,0,CAPITAL!$C$6/I468)
</f>
        <v>20000</v>
      </c>
      <c r="M468" s="24">
        <f>IF(J468=0,0,CAPITAL!$C$7/J468)
</f>
        <v>69444.44444</v>
      </c>
      <c r="N468" s="24">
        <f t="shared" si="1"/>
        <v>94444.44444</v>
      </c>
      <c r="O468" s="24">
        <f t="shared" si="2"/>
        <v>0.05294117647</v>
      </c>
      <c r="P468" s="24">
        <f t="shared" si="3"/>
        <v>0.2117647059</v>
      </c>
      <c r="Q468" s="24">
        <f t="shared" si="4"/>
        <v>0.7352941176</v>
      </c>
    </row>
    <row r="469">
      <c r="A469" s="17">
        <v>467.0</v>
      </c>
      <c r="B469" s="24" t="s">
        <v>29</v>
      </c>
      <c r="C469" s="30"/>
      <c r="D469" s="22"/>
      <c r="E469" s="31"/>
      <c r="F469" s="22"/>
      <c r="G469" s="30"/>
      <c r="H469" s="24">
        <v>30.0</v>
      </c>
      <c r="I469" s="24">
        <v>35.0</v>
      </c>
      <c r="J469" s="24">
        <v>36.0</v>
      </c>
      <c r="K469" s="24">
        <f>IF(H469=0,0,CAPITAL!$C$5/H469)
</f>
        <v>5000</v>
      </c>
      <c r="L469" s="24">
        <f>IF(I469=0,0,CAPITAL!$C$6/I469)
</f>
        <v>20000</v>
      </c>
      <c r="M469" s="24">
        <f>IF(J469=0,0,CAPITAL!$C$7/J469)
</f>
        <v>69444.44444</v>
      </c>
      <c r="N469" s="24">
        <f t="shared" si="1"/>
        <v>94444.44444</v>
      </c>
      <c r="O469" s="24">
        <f t="shared" si="2"/>
        <v>0.05294117647</v>
      </c>
      <c r="P469" s="24">
        <f t="shared" si="3"/>
        <v>0.2117647059</v>
      </c>
      <c r="Q469" s="24">
        <f t="shared" si="4"/>
        <v>0.7352941176</v>
      </c>
    </row>
    <row r="470">
      <c r="A470" s="17">
        <v>468.0</v>
      </c>
      <c r="B470" s="24" t="s">
        <v>29</v>
      </c>
      <c r="C470" s="30"/>
      <c r="D470" s="22"/>
      <c r="E470" s="31"/>
      <c r="F470" s="22"/>
      <c r="G470" s="30"/>
      <c r="H470" s="24">
        <v>30.0</v>
      </c>
      <c r="I470" s="24">
        <v>35.0</v>
      </c>
      <c r="J470" s="24">
        <v>36.0</v>
      </c>
      <c r="K470" s="24">
        <f>IF(H470=0,0,CAPITAL!$C$5/H470)
</f>
        <v>5000</v>
      </c>
      <c r="L470" s="24">
        <f>IF(I470=0,0,CAPITAL!$C$6/I470)
</f>
        <v>20000</v>
      </c>
      <c r="M470" s="24">
        <f>IF(J470=0,0,CAPITAL!$C$7/J470)
</f>
        <v>69444.44444</v>
      </c>
      <c r="N470" s="24">
        <f t="shared" si="1"/>
        <v>94444.44444</v>
      </c>
      <c r="O470" s="24">
        <f t="shared" si="2"/>
        <v>0.05294117647</v>
      </c>
      <c r="P470" s="24">
        <f t="shared" si="3"/>
        <v>0.2117647059</v>
      </c>
      <c r="Q470" s="24">
        <f t="shared" si="4"/>
        <v>0.7352941176</v>
      </c>
    </row>
    <row r="471">
      <c r="A471" s="17">
        <v>469.0</v>
      </c>
      <c r="B471" s="24" t="s">
        <v>29</v>
      </c>
      <c r="C471" s="30"/>
      <c r="D471" s="22"/>
      <c r="E471" s="31"/>
      <c r="F471" s="22"/>
      <c r="G471" s="30"/>
      <c r="H471" s="24">
        <v>30.0</v>
      </c>
      <c r="I471" s="24">
        <v>35.0</v>
      </c>
      <c r="J471" s="24">
        <v>36.0</v>
      </c>
      <c r="K471" s="24">
        <f>IF(H471=0,0,CAPITAL!$C$5/H471)
</f>
        <v>5000</v>
      </c>
      <c r="L471" s="24">
        <f>IF(I471=0,0,CAPITAL!$C$6/I471)
</f>
        <v>20000</v>
      </c>
      <c r="M471" s="24">
        <f>IF(J471=0,0,CAPITAL!$C$7/J471)
</f>
        <v>69444.44444</v>
      </c>
      <c r="N471" s="24">
        <f t="shared" si="1"/>
        <v>94444.44444</v>
      </c>
      <c r="O471" s="24">
        <f t="shared" si="2"/>
        <v>0.05294117647</v>
      </c>
      <c r="P471" s="24">
        <f t="shared" si="3"/>
        <v>0.2117647059</v>
      </c>
      <c r="Q471" s="24">
        <f t="shared" si="4"/>
        <v>0.7352941176</v>
      </c>
    </row>
    <row r="472">
      <c r="A472" s="17">
        <v>470.0</v>
      </c>
      <c r="B472" s="24" t="s">
        <v>29</v>
      </c>
      <c r="C472" s="30"/>
      <c r="D472" s="22"/>
      <c r="E472" s="31"/>
      <c r="F472" s="22"/>
      <c r="G472" s="30"/>
      <c r="H472" s="24">
        <v>30.0</v>
      </c>
      <c r="I472" s="24">
        <v>35.0</v>
      </c>
      <c r="J472" s="24">
        <v>36.0</v>
      </c>
      <c r="K472" s="24">
        <f>IF(H472=0,0,CAPITAL!$C$5/H472)
</f>
        <v>5000</v>
      </c>
      <c r="L472" s="24">
        <f>IF(I472=0,0,CAPITAL!$C$6/I472)
</f>
        <v>20000</v>
      </c>
      <c r="M472" s="24">
        <f>IF(J472=0,0,CAPITAL!$C$7/J472)
</f>
        <v>69444.44444</v>
      </c>
      <c r="N472" s="24">
        <f t="shared" si="1"/>
        <v>94444.44444</v>
      </c>
      <c r="O472" s="24">
        <f t="shared" si="2"/>
        <v>0.05294117647</v>
      </c>
      <c r="P472" s="24">
        <f t="shared" si="3"/>
        <v>0.2117647059</v>
      </c>
      <c r="Q472" s="24">
        <f t="shared" si="4"/>
        <v>0.7352941176</v>
      </c>
    </row>
    <row r="473">
      <c r="A473" s="17">
        <v>471.0</v>
      </c>
      <c r="B473" s="24" t="s">
        <v>29</v>
      </c>
      <c r="C473" s="30"/>
      <c r="D473" s="22"/>
      <c r="E473" s="31"/>
      <c r="F473" s="22"/>
      <c r="G473" s="30"/>
      <c r="H473" s="24">
        <v>30.0</v>
      </c>
      <c r="I473" s="24">
        <v>35.0</v>
      </c>
      <c r="J473" s="24">
        <v>36.0</v>
      </c>
      <c r="K473" s="24">
        <f>IF(H473=0,0,CAPITAL!$C$5/H473)
</f>
        <v>5000</v>
      </c>
      <c r="L473" s="24">
        <f>IF(I473=0,0,CAPITAL!$C$6/I473)
</f>
        <v>20000</v>
      </c>
      <c r="M473" s="24">
        <f>IF(J473=0,0,CAPITAL!$C$7/J473)
</f>
        <v>69444.44444</v>
      </c>
      <c r="N473" s="24">
        <f t="shared" si="1"/>
        <v>94444.44444</v>
      </c>
      <c r="O473" s="24">
        <f t="shared" si="2"/>
        <v>0.05294117647</v>
      </c>
      <c r="P473" s="24">
        <f t="shared" si="3"/>
        <v>0.2117647059</v>
      </c>
      <c r="Q473" s="24">
        <f t="shared" si="4"/>
        <v>0.7352941176</v>
      </c>
    </row>
    <row r="474">
      <c r="A474" s="17">
        <v>472.0</v>
      </c>
      <c r="B474" s="24" t="s">
        <v>29</v>
      </c>
      <c r="C474" s="30"/>
      <c r="D474" s="22"/>
      <c r="E474" s="31"/>
      <c r="F474" s="22"/>
      <c r="G474" s="30"/>
      <c r="H474" s="24">
        <v>30.0</v>
      </c>
      <c r="I474" s="24">
        <v>35.0</v>
      </c>
      <c r="J474" s="24">
        <v>36.0</v>
      </c>
      <c r="K474" s="24">
        <f>IF(H474=0,0,CAPITAL!$C$5/H474)
</f>
        <v>5000</v>
      </c>
      <c r="L474" s="24">
        <f>IF(I474=0,0,CAPITAL!$C$6/I474)
</f>
        <v>20000</v>
      </c>
      <c r="M474" s="24">
        <f>IF(J474=0,0,CAPITAL!$C$7/J474)
</f>
        <v>69444.44444</v>
      </c>
      <c r="N474" s="24">
        <f t="shared" si="1"/>
        <v>94444.44444</v>
      </c>
      <c r="O474" s="24">
        <f t="shared" si="2"/>
        <v>0.05294117647</v>
      </c>
      <c r="P474" s="24">
        <f t="shared" si="3"/>
        <v>0.2117647059</v>
      </c>
      <c r="Q474" s="24">
        <f t="shared" si="4"/>
        <v>0.7352941176</v>
      </c>
    </row>
    <row r="475">
      <c r="A475" s="17">
        <v>473.0</v>
      </c>
      <c r="B475" s="24" t="s">
        <v>29</v>
      </c>
      <c r="C475" s="30"/>
      <c r="D475" s="22"/>
      <c r="E475" s="31"/>
      <c r="F475" s="22"/>
      <c r="G475" s="30"/>
      <c r="H475" s="24">
        <v>30.0</v>
      </c>
      <c r="I475" s="24">
        <v>35.0</v>
      </c>
      <c r="J475" s="24">
        <v>36.0</v>
      </c>
      <c r="K475" s="24">
        <f>IF(H475=0,0,CAPITAL!$C$5/H475)
</f>
        <v>5000</v>
      </c>
      <c r="L475" s="24">
        <f>IF(I475=0,0,CAPITAL!$C$6/I475)
</f>
        <v>20000</v>
      </c>
      <c r="M475" s="24">
        <f>IF(J475=0,0,CAPITAL!$C$7/J475)
</f>
        <v>69444.44444</v>
      </c>
      <c r="N475" s="24">
        <f t="shared" si="1"/>
        <v>94444.44444</v>
      </c>
      <c r="O475" s="24">
        <f t="shared" si="2"/>
        <v>0.05294117647</v>
      </c>
      <c r="P475" s="24">
        <f t="shared" si="3"/>
        <v>0.2117647059</v>
      </c>
      <c r="Q475" s="24">
        <f t="shared" si="4"/>
        <v>0.7352941176</v>
      </c>
    </row>
    <row r="476">
      <c r="A476" s="17">
        <v>474.0</v>
      </c>
      <c r="B476" s="24" t="s">
        <v>29</v>
      </c>
      <c r="C476" s="30"/>
      <c r="D476" s="22"/>
      <c r="E476" s="31"/>
      <c r="F476" s="22"/>
      <c r="G476" s="30"/>
      <c r="H476" s="24">
        <v>30.0</v>
      </c>
      <c r="I476" s="24">
        <v>35.0</v>
      </c>
      <c r="J476" s="24">
        <v>36.0</v>
      </c>
      <c r="K476" s="24">
        <f>IF(H476=0,0,CAPITAL!$C$5/H476)
</f>
        <v>5000</v>
      </c>
      <c r="L476" s="24">
        <f>IF(I476=0,0,CAPITAL!$C$6/I476)
</f>
        <v>20000</v>
      </c>
      <c r="M476" s="24">
        <f>IF(J476=0,0,CAPITAL!$C$7/J476)
</f>
        <v>69444.44444</v>
      </c>
      <c r="N476" s="24">
        <f t="shared" si="1"/>
        <v>94444.44444</v>
      </c>
      <c r="O476" s="24">
        <f t="shared" si="2"/>
        <v>0.05294117647</v>
      </c>
      <c r="P476" s="24">
        <f t="shared" si="3"/>
        <v>0.2117647059</v>
      </c>
      <c r="Q476" s="24">
        <f t="shared" si="4"/>
        <v>0.7352941176</v>
      </c>
    </row>
    <row r="477">
      <c r="A477" s="17">
        <v>475.0</v>
      </c>
      <c r="B477" s="24" t="s">
        <v>29</v>
      </c>
      <c r="C477" s="30"/>
      <c r="D477" s="22"/>
      <c r="E477" s="31"/>
      <c r="F477" s="22"/>
      <c r="G477" s="30"/>
      <c r="H477" s="24">
        <v>30.0</v>
      </c>
      <c r="I477" s="24">
        <v>35.0</v>
      </c>
      <c r="J477" s="24">
        <v>36.0</v>
      </c>
      <c r="K477" s="24">
        <f>IF(H477=0,0,CAPITAL!$C$5/H477)
</f>
        <v>5000</v>
      </c>
      <c r="L477" s="24">
        <f>IF(I477=0,0,CAPITAL!$C$6/I477)
</f>
        <v>20000</v>
      </c>
      <c r="M477" s="24">
        <f>IF(J477=0,0,CAPITAL!$C$7/J477)
</f>
        <v>69444.44444</v>
      </c>
      <c r="N477" s="24">
        <f t="shared" si="1"/>
        <v>94444.44444</v>
      </c>
      <c r="O477" s="24">
        <f t="shared" si="2"/>
        <v>0.05294117647</v>
      </c>
      <c r="P477" s="24">
        <f t="shared" si="3"/>
        <v>0.2117647059</v>
      </c>
      <c r="Q477" s="24">
        <f t="shared" si="4"/>
        <v>0.7352941176</v>
      </c>
    </row>
    <row r="478">
      <c r="A478" s="17">
        <v>476.0</v>
      </c>
      <c r="B478" s="24" t="s">
        <v>29</v>
      </c>
      <c r="C478" s="30"/>
      <c r="D478" s="22"/>
      <c r="E478" s="31"/>
      <c r="F478" s="22"/>
      <c r="G478" s="30"/>
      <c r="H478" s="24">
        <v>30.0</v>
      </c>
      <c r="I478" s="24">
        <v>35.0</v>
      </c>
      <c r="J478" s="24">
        <v>36.0</v>
      </c>
      <c r="K478" s="24">
        <f>IF(H478=0,0,CAPITAL!$C$5/H478)
</f>
        <v>5000</v>
      </c>
      <c r="L478" s="24">
        <f>IF(I478=0,0,CAPITAL!$C$6/I478)
</f>
        <v>20000</v>
      </c>
      <c r="M478" s="24">
        <f>IF(J478=0,0,CAPITAL!$C$7/J478)
</f>
        <v>69444.44444</v>
      </c>
      <c r="N478" s="24">
        <f t="shared" si="1"/>
        <v>94444.44444</v>
      </c>
      <c r="O478" s="24">
        <f t="shared" si="2"/>
        <v>0.05294117647</v>
      </c>
      <c r="P478" s="24">
        <f t="shared" si="3"/>
        <v>0.2117647059</v>
      </c>
      <c r="Q478" s="24">
        <f t="shared" si="4"/>
        <v>0.7352941176</v>
      </c>
    </row>
    <row r="479">
      <c r="A479" s="17">
        <v>477.0</v>
      </c>
      <c r="B479" s="24" t="s">
        <v>29</v>
      </c>
      <c r="C479" s="30"/>
      <c r="D479" s="22"/>
      <c r="E479" s="31"/>
      <c r="F479" s="22"/>
      <c r="G479" s="30"/>
      <c r="H479" s="24">
        <v>30.0</v>
      </c>
      <c r="I479" s="24">
        <v>35.0</v>
      </c>
      <c r="J479" s="24">
        <v>36.0</v>
      </c>
      <c r="K479" s="24">
        <f>IF(H479=0,0,CAPITAL!$C$5/H479)
</f>
        <v>5000</v>
      </c>
      <c r="L479" s="24">
        <f>IF(I479=0,0,CAPITAL!$C$6/I479)
</f>
        <v>20000</v>
      </c>
      <c r="M479" s="24">
        <f>IF(J479=0,0,CAPITAL!$C$7/J479)
</f>
        <v>69444.44444</v>
      </c>
      <c r="N479" s="24">
        <f t="shared" si="1"/>
        <v>94444.44444</v>
      </c>
      <c r="O479" s="24">
        <f t="shared" si="2"/>
        <v>0.05294117647</v>
      </c>
      <c r="P479" s="24">
        <f t="shared" si="3"/>
        <v>0.2117647059</v>
      </c>
      <c r="Q479" s="24">
        <f t="shared" si="4"/>
        <v>0.7352941176</v>
      </c>
    </row>
    <row r="480">
      <c r="A480" s="17">
        <v>478.0</v>
      </c>
      <c r="B480" s="24" t="s">
        <v>29</v>
      </c>
      <c r="C480" s="30"/>
      <c r="D480" s="22"/>
      <c r="E480" s="31"/>
      <c r="F480" s="22"/>
      <c r="G480" s="30"/>
      <c r="H480" s="24">
        <v>30.0</v>
      </c>
      <c r="I480" s="24">
        <v>35.0</v>
      </c>
      <c r="J480" s="24">
        <v>36.0</v>
      </c>
      <c r="K480" s="24">
        <f>IF(H480=0,0,CAPITAL!$C$5/H480)
</f>
        <v>5000</v>
      </c>
      <c r="L480" s="24">
        <f>IF(I480=0,0,CAPITAL!$C$6/I480)
</f>
        <v>20000</v>
      </c>
      <c r="M480" s="24">
        <f>IF(J480=0,0,CAPITAL!$C$7/J480)
</f>
        <v>69444.44444</v>
      </c>
      <c r="N480" s="24">
        <f t="shared" si="1"/>
        <v>94444.44444</v>
      </c>
      <c r="O480" s="24">
        <f t="shared" si="2"/>
        <v>0.05294117647</v>
      </c>
      <c r="P480" s="24">
        <f t="shared" si="3"/>
        <v>0.2117647059</v>
      </c>
      <c r="Q480" s="24">
        <f t="shared" si="4"/>
        <v>0.7352941176</v>
      </c>
    </row>
    <row r="481">
      <c r="A481" s="17">
        <v>479.0</v>
      </c>
      <c r="B481" s="24" t="s">
        <v>29</v>
      </c>
      <c r="C481" s="30"/>
      <c r="D481" s="22"/>
      <c r="E481" s="31"/>
      <c r="F481" s="22"/>
      <c r="G481" s="30"/>
      <c r="H481" s="24">
        <v>30.0</v>
      </c>
      <c r="I481" s="24">
        <v>35.0</v>
      </c>
      <c r="J481" s="24">
        <v>36.0</v>
      </c>
      <c r="K481" s="24">
        <f>IF(H481=0,0,CAPITAL!$C$5/H481)
</f>
        <v>5000</v>
      </c>
      <c r="L481" s="24">
        <f>IF(I481=0,0,CAPITAL!$C$6/I481)
</f>
        <v>20000</v>
      </c>
      <c r="M481" s="24">
        <f>IF(J481=0,0,CAPITAL!$C$7/J481)
</f>
        <v>69444.44444</v>
      </c>
      <c r="N481" s="24">
        <f t="shared" si="1"/>
        <v>94444.44444</v>
      </c>
      <c r="O481" s="24">
        <f t="shared" si="2"/>
        <v>0.05294117647</v>
      </c>
      <c r="P481" s="24">
        <f t="shared" si="3"/>
        <v>0.2117647059</v>
      </c>
      <c r="Q481" s="24">
        <f t="shared" si="4"/>
        <v>0.7352941176</v>
      </c>
    </row>
    <row r="482">
      <c r="A482" s="17">
        <v>480.0</v>
      </c>
      <c r="B482" s="24" t="s">
        <v>29</v>
      </c>
      <c r="C482" s="30"/>
      <c r="D482" s="22"/>
      <c r="E482" s="31"/>
      <c r="F482" s="22"/>
      <c r="G482" s="30"/>
      <c r="H482" s="24">
        <v>30.0</v>
      </c>
      <c r="I482" s="24">
        <v>35.0</v>
      </c>
      <c r="J482" s="24">
        <v>36.0</v>
      </c>
      <c r="K482" s="24">
        <f>IF(H482=0,0,CAPITAL!$C$5/H482)
</f>
        <v>5000</v>
      </c>
      <c r="L482" s="24">
        <f>IF(I482=0,0,CAPITAL!$C$6/I482)
</f>
        <v>20000</v>
      </c>
      <c r="M482" s="24">
        <f>IF(J482=0,0,CAPITAL!$C$7/J482)
</f>
        <v>69444.44444</v>
      </c>
      <c r="N482" s="24">
        <f t="shared" si="1"/>
        <v>94444.44444</v>
      </c>
      <c r="O482" s="24">
        <f t="shared" si="2"/>
        <v>0.05294117647</v>
      </c>
      <c r="P482" s="24">
        <f t="shared" si="3"/>
        <v>0.2117647059</v>
      </c>
      <c r="Q482" s="24">
        <f t="shared" si="4"/>
        <v>0.7352941176</v>
      </c>
    </row>
    <row r="483">
      <c r="A483" s="17">
        <v>481.0</v>
      </c>
      <c r="B483" s="24" t="s">
        <v>29</v>
      </c>
      <c r="C483" s="30"/>
      <c r="D483" s="22"/>
      <c r="E483" s="31"/>
      <c r="F483" s="22"/>
      <c r="G483" s="30"/>
      <c r="H483" s="24">
        <v>30.0</v>
      </c>
      <c r="I483" s="24">
        <v>35.0</v>
      </c>
      <c r="J483" s="24">
        <v>36.0</v>
      </c>
      <c r="K483" s="24">
        <f>IF(H483=0,0,CAPITAL!$C$5/H483)
</f>
        <v>5000</v>
      </c>
      <c r="L483" s="24">
        <f>IF(I483=0,0,CAPITAL!$C$6/I483)
</f>
        <v>20000</v>
      </c>
      <c r="M483" s="24">
        <f>IF(J483=0,0,CAPITAL!$C$7/J483)
</f>
        <v>69444.44444</v>
      </c>
      <c r="N483" s="24">
        <f t="shared" si="1"/>
        <v>94444.44444</v>
      </c>
      <c r="O483" s="24">
        <f t="shared" si="2"/>
        <v>0.05294117647</v>
      </c>
      <c r="P483" s="24">
        <f t="shared" si="3"/>
        <v>0.2117647059</v>
      </c>
      <c r="Q483" s="24">
        <f t="shared" si="4"/>
        <v>0.7352941176</v>
      </c>
    </row>
    <row r="484">
      <c r="A484" s="17">
        <v>482.0</v>
      </c>
      <c r="B484" s="24" t="s">
        <v>29</v>
      </c>
      <c r="C484" s="30"/>
      <c r="D484" s="22"/>
      <c r="E484" s="31"/>
      <c r="F484" s="22"/>
      <c r="G484" s="30"/>
      <c r="H484" s="24">
        <v>30.0</v>
      </c>
      <c r="I484" s="24">
        <v>35.0</v>
      </c>
      <c r="J484" s="24">
        <v>36.0</v>
      </c>
      <c r="K484" s="24">
        <f>IF(H484=0,0,CAPITAL!$C$5/H484)
</f>
        <v>5000</v>
      </c>
      <c r="L484" s="24">
        <f>IF(I484=0,0,CAPITAL!$C$6/I484)
</f>
        <v>20000</v>
      </c>
      <c r="M484" s="24">
        <f>IF(J484=0,0,CAPITAL!$C$7/J484)
</f>
        <v>69444.44444</v>
      </c>
      <c r="N484" s="24">
        <f t="shared" si="1"/>
        <v>94444.44444</v>
      </c>
      <c r="O484" s="24">
        <f t="shared" si="2"/>
        <v>0.05294117647</v>
      </c>
      <c r="P484" s="24">
        <f t="shared" si="3"/>
        <v>0.2117647059</v>
      </c>
      <c r="Q484" s="24">
        <f t="shared" si="4"/>
        <v>0.7352941176</v>
      </c>
    </row>
    <row r="485">
      <c r="A485" s="17">
        <v>483.0</v>
      </c>
      <c r="B485" s="24" t="s">
        <v>29</v>
      </c>
      <c r="C485" s="30"/>
      <c r="D485" s="22"/>
      <c r="E485" s="31"/>
      <c r="F485" s="22"/>
      <c r="G485" s="30"/>
      <c r="H485" s="24">
        <v>30.0</v>
      </c>
      <c r="I485" s="24">
        <v>35.0</v>
      </c>
      <c r="J485" s="24">
        <v>36.0</v>
      </c>
      <c r="K485" s="24">
        <f>IF(H485=0,0,CAPITAL!$C$5/H485)
</f>
        <v>5000</v>
      </c>
      <c r="L485" s="24">
        <f>IF(I485=0,0,CAPITAL!$C$6/I485)
</f>
        <v>20000</v>
      </c>
      <c r="M485" s="24">
        <f>IF(J485=0,0,CAPITAL!$C$7/J485)
</f>
        <v>69444.44444</v>
      </c>
      <c r="N485" s="24">
        <f t="shared" si="1"/>
        <v>94444.44444</v>
      </c>
      <c r="O485" s="24">
        <f t="shared" si="2"/>
        <v>0.05294117647</v>
      </c>
      <c r="P485" s="24">
        <f t="shared" si="3"/>
        <v>0.2117647059</v>
      </c>
      <c r="Q485" s="24">
        <f t="shared" si="4"/>
        <v>0.7352941176</v>
      </c>
    </row>
    <row r="486">
      <c r="A486" s="17">
        <v>484.0</v>
      </c>
      <c r="B486" s="24" t="s">
        <v>29</v>
      </c>
      <c r="C486" s="30"/>
      <c r="D486" s="22"/>
      <c r="E486" s="31"/>
      <c r="F486" s="22"/>
      <c r="G486" s="30"/>
      <c r="H486" s="24">
        <v>30.0</v>
      </c>
      <c r="I486" s="24">
        <v>35.0</v>
      </c>
      <c r="J486" s="24">
        <v>36.0</v>
      </c>
      <c r="K486" s="24">
        <f>IF(H486=0,0,CAPITAL!$C$5/H486)
</f>
        <v>5000</v>
      </c>
      <c r="L486" s="24">
        <f>IF(I486=0,0,CAPITAL!$C$6/I486)
</f>
        <v>20000</v>
      </c>
      <c r="M486" s="24">
        <f>IF(J486=0,0,CAPITAL!$C$7/J486)
</f>
        <v>69444.44444</v>
      </c>
      <c r="N486" s="24">
        <f t="shared" si="1"/>
        <v>94444.44444</v>
      </c>
      <c r="O486" s="24">
        <f t="shared" si="2"/>
        <v>0.05294117647</v>
      </c>
      <c r="P486" s="24">
        <f t="shared" si="3"/>
        <v>0.2117647059</v>
      </c>
      <c r="Q486" s="24">
        <f t="shared" si="4"/>
        <v>0.7352941176</v>
      </c>
    </row>
    <row r="487">
      <c r="A487" s="17">
        <v>485.0</v>
      </c>
      <c r="B487" s="24" t="s">
        <v>29</v>
      </c>
      <c r="C487" s="30"/>
      <c r="D487" s="22"/>
      <c r="E487" s="31"/>
      <c r="F487" s="22"/>
      <c r="G487" s="30"/>
      <c r="H487" s="24">
        <v>30.0</v>
      </c>
      <c r="I487" s="24">
        <v>35.0</v>
      </c>
      <c r="J487" s="24">
        <v>36.0</v>
      </c>
      <c r="K487" s="24">
        <f>IF(H487=0,0,CAPITAL!$C$5/H487)
</f>
        <v>5000</v>
      </c>
      <c r="L487" s="24">
        <f>IF(I487=0,0,CAPITAL!$C$6/I487)
</f>
        <v>20000</v>
      </c>
      <c r="M487" s="24">
        <f>IF(J487=0,0,CAPITAL!$C$7/J487)
</f>
        <v>69444.44444</v>
      </c>
      <c r="N487" s="24">
        <f t="shared" si="1"/>
        <v>94444.44444</v>
      </c>
      <c r="O487" s="24">
        <f t="shared" si="2"/>
        <v>0.05294117647</v>
      </c>
      <c r="P487" s="24">
        <f t="shared" si="3"/>
        <v>0.2117647059</v>
      </c>
      <c r="Q487" s="24">
        <f t="shared" si="4"/>
        <v>0.7352941176</v>
      </c>
    </row>
    <row r="488">
      <c r="A488" s="17">
        <v>486.0</v>
      </c>
      <c r="B488" s="24" t="s">
        <v>29</v>
      </c>
      <c r="C488" s="30"/>
      <c r="D488" s="22"/>
      <c r="E488" s="31"/>
      <c r="F488" s="22"/>
      <c r="G488" s="30"/>
      <c r="H488" s="24">
        <v>30.0</v>
      </c>
      <c r="I488" s="24">
        <v>35.0</v>
      </c>
      <c r="J488" s="24">
        <v>36.0</v>
      </c>
      <c r="K488" s="24">
        <f>IF(H488=0,0,CAPITAL!$C$5/H488)
</f>
        <v>5000</v>
      </c>
      <c r="L488" s="24">
        <f>IF(I488=0,0,CAPITAL!$C$6/I488)
</f>
        <v>20000</v>
      </c>
      <c r="M488" s="24">
        <f>IF(J488=0,0,CAPITAL!$C$7/J488)
</f>
        <v>69444.44444</v>
      </c>
      <c r="N488" s="24">
        <f t="shared" si="1"/>
        <v>94444.44444</v>
      </c>
      <c r="O488" s="24">
        <f t="shared" si="2"/>
        <v>0.05294117647</v>
      </c>
      <c r="P488" s="24">
        <f t="shared" si="3"/>
        <v>0.2117647059</v>
      </c>
      <c r="Q488" s="24">
        <f t="shared" si="4"/>
        <v>0.7352941176</v>
      </c>
    </row>
    <row r="489">
      <c r="A489" s="17">
        <v>487.0</v>
      </c>
      <c r="B489" s="24" t="s">
        <v>29</v>
      </c>
      <c r="C489" s="30"/>
      <c r="D489" s="22"/>
      <c r="E489" s="31"/>
      <c r="F489" s="22"/>
      <c r="G489" s="30"/>
      <c r="H489" s="24">
        <v>30.0</v>
      </c>
      <c r="I489" s="24">
        <v>35.0</v>
      </c>
      <c r="J489" s="24">
        <v>36.0</v>
      </c>
      <c r="K489" s="24">
        <f>IF(H489=0,0,CAPITAL!$C$5/H489)
</f>
        <v>5000</v>
      </c>
      <c r="L489" s="24">
        <f>IF(I489=0,0,CAPITAL!$C$6/I489)
</f>
        <v>20000</v>
      </c>
      <c r="M489" s="24">
        <f>IF(J489=0,0,CAPITAL!$C$7/J489)
</f>
        <v>69444.44444</v>
      </c>
      <c r="N489" s="24">
        <f t="shared" si="1"/>
        <v>94444.44444</v>
      </c>
      <c r="O489" s="24">
        <f t="shared" si="2"/>
        <v>0.05294117647</v>
      </c>
      <c r="P489" s="24">
        <f t="shared" si="3"/>
        <v>0.2117647059</v>
      </c>
      <c r="Q489" s="24">
        <f t="shared" si="4"/>
        <v>0.7352941176</v>
      </c>
    </row>
    <row r="490">
      <c r="A490" s="17">
        <v>488.0</v>
      </c>
      <c r="B490" s="24" t="s">
        <v>29</v>
      </c>
      <c r="C490" s="30"/>
      <c r="D490" s="22"/>
      <c r="E490" s="31"/>
      <c r="F490" s="22"/>
      <c r="G490" s="30"/>
      <c r="H490" s="24">
        <v>30.0</v>
      </c>
      <c r="I490" s="24">
        <v>35.0</v>
      </c>
      <c r="J490" s="24">
        <v>36.0</v>
      </c>
      <c r="K490" s="24">
        <f>IF(H490=0,0,CAPITAL!$C$5/H490)
</f>
        <v>5000</v>
      </c>
      <c r="L490" s="24">
        <f>IF(I490=0,0,CAPITAL!$C$6/I490)
</f>
        <v>20000</v>
      </c>
      <c r="M490" s="24">
        <f>IF(J490=0,0,CAPITAL!$C$7/J490)
</f>
        <v>69444.44444</v>
      </c>
      <c r="N490" s="24">
        <f t="shared" si="1"/>
        <v>94444.44444</v>
      </c>
      <c r="O490" s="24">
        <f t="shared" si="2"/>
        <v>0.05294117647</v>
      </c>
      <c r="P490" s="24">
        <f t="shared" si="3"/>
        <v>0.2117647059</v>
      </c>
      <c r="Q490" s="24">
        <f t="shared" si="4"/>
        <v>0.7352941176</v>
      </c>
    </row>
    <row r="491">
      <c r="A491" s="17">
        <v>489.0</v>
      </c>
      <c r="B491" s="24" t="s">
        <v>29</v>
      </c>
      <c r="C491" s="30"/>
      <c r="D491" s="22"/>
      <c r="E491" s="31"/>
      <c r="F491" s="22"/>
      <c r="G491" s="30"/>
      <c r="H491" s="24">
        <v>30.0</v>
      </c>
      <c r="I491" s="24">
        <v>35.0</v>
      </c>
      <c r="J491" s="24">
        <v>36.0</v>
      </c>
      <c r="K491" s="24">
        <f>IF(H491=0,0,CAPITAL!$C$5/H491)
</f>
        <v>5000</v>
      </c>
      <c r="L491" s="24">
        <f>IF(I491=0,0,CAPITAL!$C$6/I491)
</f>
        <v>20000</v>
      </c>
      <c r="M491" s="24">
        <f>IF(J491=0,0,CAPITAL!$C$7/J491)
</f>
        <v>69444.44444</v>
      </c>
      <c r="N491" s="24">
        <f t="shared" si="1"/>
        <v>94444.44444</v>
      </c>
      <c r="O491" s="24">
        <f t="shared" si="2"/>
        <v>0.05294117647</v>
      </c>
      <c r="P491" s="24">
        <f t="shared" si="3"/>
        <v>0.2117647059</v>
      </c>
      <c r="Q491" s="24">
        <f t="shared" si="4"/>
        <v>0.7352941176</v>
      </c>
    </row>
    <row r="492">
      <c r="A492" s="17">
        <v>490.0</v>
      </c>
      <c r="B492" s="24" t="s">
        <v>29</v>
      </c>
      <c r="C492" s="30"/>
      <c r="D492" s="22"/>
      <c r="E492" s="31"/>
      <c r="F492" s="22"/>
      <c r="G492" s="30"/>
      <c r="H492" s="24">
        <v>30.0</v>
      </c>
      <c r="I492" s="24">
        <v>35.0</v>
      </c>
      <c r="J492" s="24">
        <v>36.0</v>
      </c>
      <c r="K492" s="24">
        <f>IF(H492=0,0,CAPITAL!$C$5/H492)
</f>
        <v>5000</v>
      </c>
      <c r="L492" s="24">
        <f>IF(I492=0,0,CAPITAL!$C$6/I492)
</f>
        <v>20000</v>
      </c>
      <c r="M492" s="24">
        <f>IF(J492=0,0,CAPITAL!$C$7/J492)
</f>
        <v>69444.44444</v>
      </c>
      <c r="N492" s="24">
        <f t="shared" si="1"/>
        <v>94444.44444</v>
      </c>
      <c r="O492" s="24">
        <f t="shared" si="2"/>
        <v>0.05294117647</v>
      </c>
      <c r="P492" s="24">
        <f t="shared" si="3"/>
        <v>0.2117647059</v>
      </c>
      <c r="Q492" s="24">
        <f t="shared" si="4"/>
        <v>0.7352941176</v>
      </c>
    </row>
    <row r="493">
      <c r="A493" s="17">
        <v>491.0</v>
      </c>
      <c r="B493" s="24" t="s">
        <v>29</v>
      </c>
      <c r="C493" s="30"/>
      <c r="D493" s="22"/>
      <c r="E493" s="31"/>
      <c r="F493" s="22"/>
      <c r="G493" s="30"/>
      <c r="H493" s="24">
        <v>30.0</v>
      </c>
      <c r="I493" s="24">
        <v>35.0</v>
      </c>
      <c r="J493" s="24">
        <v>36.0</v>
      </c>
      <c r="K493" s="24">
        <f>IF(H493=0,0,CAPITAL!$C$5/H493)
</f>
        <v>5000</v>
      </c>
      <c r="L493" s="24">
        <f>IF(I493=0,0,CAPITAL!$C$6/I493)
</f>
        <v>20000</v>
      </c>
      <c r="M493" s="24">
        <f>IF(J493=0,0,CAPITAL!$C$7/J493)
</f>
        <v>69444.44444</v>
      </c>
      <c r="N493" s="24">
        <f t="shared" si="1"/>
        <v>94444.44444</v>
      </c>
      <c r="O493" s="24">
        <f t="shared" si="2"/>
        <v>0.05294117647</v>
      </c>
      <c r="P493" s="24">
        <f t="shared" si="3"/>
        <v>0.2117647059</v>
      </c>
      <c r="Q493" s="24">
        <f t="shared" si="4"/>
        <v>0.7352941176</v>
      </c>
    </row>
    <row r="494">
      <c r="A494" s="17">
        <v>492.0</v>
      </c>
      <c r="B494" s="24" t="s">
        <v>29</v>
      </c>
      <c r="C494" s="30"/>
      <c r="D494" s="22"/>
      <c r="E494" s="31"/>
      <c r="F494" s="22"/>
      <c r="G494" s="30"/>
      <c r="H494" s="24">
        <v>30.0</v>
      </c>
      <c r="I494" s="24">
        <v>35.0</v>
      </c>
      <c r="J494" s="24">
        <v>36.0</v>
      </c>
      <c r="K494" s="24">
        <f>IF(H494=0,0,CAPITAL!$C$5/H494)
</f>
        <v>5000</v>
      </c>
      <c r="L494" s="24">
        <f>IF(I494=0,0,CAPITAL!$C$6/I494)
</f>
        <v>20000</v>
      </c>
      <c r="M494" s="24">
        <f>IF(J494=0,0,CAPITAL!$C$7/J494)
</f>
        <v>69444.44444</v>
      </c>
      <c r="N494" s="24">
        <f t="shared" si="1"/>
        <v>94444.44444</v>
      </c>
      <c r="O494" s="24">
        <f t="shared" si="2"/>
        <v>0.05294117647</v>
      </c>
      <c r="P494" s="24">
        <f t="shared" si="3"/>
        <v>0.2117647059</v>
      </c>
      <c r="Q494" s="24">
        <f t="shared" si="4"/>
        <v>0.7352941176</v>
      </c>
    </row>
    <row r="495">
      <c r="A495" s="17">
        <v>493.0</v>
      </c>
      <c r="B495" s="30"/>
      <c r="C495" s="30"/>
      <c r="D495" s="22"/>
      <c r="E495" s="31"/>
      <c r="F495" s="22"/>
      <c r="G495" s="30"/>
      <c r="H495" s="24">
        <v>30.0</v>
      </c>
      <c r="I495" s="24">
        <v>35.0</v>
      </c>
      <c r="J495" s="24">
        <v>36.0</v>
      </c>
      <c r="K495" s="24">
        <f>IF(H495=0,0,CAPITAL!$C$5/H495)
</f>
        <v>5000</v>
      </c>
      <c r="L495" s="24">
        <f>IF(I495=0,0,CAPITAL!$C$6/I495)
</f>
        <v>20000</v>
      </c>
      <c r="M495" s="24">
        <f>IF(J495=0,0,CAPITAL!$C$7/J495)
</f>
        <v>69444.44444</v>
      </c>
      <c r="N495" s="24">
        <f t="shared" si="1"/>
        <v>94444.44444</v>
      </c>
      <c r="O495" s="24">
        <f t="shared" si="2"/>
        <v>0.05294117647</v>
      </c>
      <c r="P495" s="24">
        <f t="shared" si="3"/>
        <v>0.2117647059</v>
      </c>
      <c r="Q495" s="24">
        <f t="shared" si="4"/>
        <v>0.7352941176</v>
      </c>
    </row>
    <row r="496">
      <c r="A496" s="17">
        <v>494.0</v>
      </c>
      <c r="B496" s="30"/>
      <c r="C496" s="30"/>
      <c r="D496" s="22"/>
      <c r="E496" s="31"/>
      <c r="F496" s="22"/>
      <c r="G496" s="30"/>
      <c r="H496" s="24">
        <v>30.0</v>
      </c>
      <c r="I496" s="24">
        <v>35.0</v>
      </c>
      <c r="J496" s="24">
        <v>36.0</v>
      </c>
      <c r="K496" s="24">
        <f>IF(H496=0,0,CAPITAL!$C$5/H496)
</f>
        <v>5000</v>
      </c>
      <c r="L496" s="24">
        <f>IF(I496=0,0,CAPITAL!$C$6/I496)
</f>
        <v>20000</v>
      </c>
      <c r="M496" s="24">
        <f>IF(J496=0,0,CAPITAL!$C$7/J496)
</f>
        <v>69444.44444</v>
      </c>
      <c r="N496" s="24">
        <f t="shared" si="1"/>
        <v>94444.44444</v>
      </c>
      <c r="O496" s="24">
        <f t="shared" si="2"/>
        <v>0.05294117647</v>
      </c>
      <c r="P496" s="24">
        <f t="shared" si="3"/>
        <v>0.2117647059</v>
      </c>
      <c r="Q496" s="24">
        <f t="shared" si="4"/>
        <v>0.7352941176</v>
      </c>
    </row>
    <row r="497">
      <c r="A497" s="17">
        <v>495.0</v>
      </c>
      <c r="B497" s="30"/>
      <c r="C497" s="30"/>
      <c r="D497" s="22"/>
      <c r="E497" s="31"/>
      <c r="F497" s="22"/>
      <c r="G497" s="30"/>
      <c r="H497" s="24">
        <v>30.0</v>
      </c>
      <c r="I497" s="24">
        <v>35.0</v>
      </c>
      <c r="J497" s="24">
        <v>36.0</v>
      </c>
      <c r="K497" s="24">
        <f>IF(H497=0,0,CAPITAL!$C$5/H497)
</f>
        <v>5000</v>
      </c>
      <c r="L497" s="24">
        <f>IF(I497=0,0,CAPITAL!$C$6/I497)
</f>
        <v>20000</v>
      </c>
      <c r="M497" s="24">
        <f>IF(J497=0,0,CAPITAL!$C$7/J497)
</f>
        <v>69444.44444</v>
      </c>
      <c r="N497" s="24">
        <f t="shared" si="1"/>
        <v>94444.44444</v>
      </c>
      <c r="O497" s="24">
        <f t="shared" si="2"/>
        <v>0.05294117647</v>
      </c>
      <c r="P497" s="24">
        <f t="shared" si="3"/>
        <v>0.2117647059</v>
      </c>
      <c r="Q497" s="24">
        <f t="shared" si="4"/>
        <v>0.7352941176</v>
      </c>
    </row>
    <row r="498">
      <c r="A498" s="17">
        <v>496.0</v>
      </c>
      <c r="B498" s="30"/>
      <c r="C498" s="30"/>
      <c r="D498" s="22"/>
      <c r="E498" s="31"/>
      <c r="F498" s="22"/>
      <c r="G498" s="30"/>
      <c r="H498" s="24">
        <v>30.0</v>
      </c>
      <c r="I498" s="24">
        <v>35.0</v>
      </c>
      <c r="J498" s="24">
        <v>36.0</v>
      </c>
      <c r="K498" s="24">
        <f>IF(H498=0,0,CAPITAL!$C$5/H498)
</f>
        <v>5000</v>
      </c>
      <c r="L498" s="24">
        <f>IF(I498=0,0,CAPITAL!$C$6/I498)
</f>
        <v>20000</v>
      </c>
      <c r="M498" s="24">
        <f>IF(J498=0,0,CAPITAL!$C$7/J498)
</f>
        <v>69444.44444</v>
      </c>
      <c r="N498" s="24">
        <f t="shared" si="1"/>
        <v>94444.44444</v>
      </c>
      <c r="O498" s="24">
        <f t="shared" si="2"/>
        <v>0.05294117647</v>
      </c>
      <c r="P498" s="24">
        <f t="shared" si="3"/>
        <v>0.2117647059</v>
      </c>
      <c r="Q498" s="24">
        <f t="shared" si="4"/>
        <v>0.7352941176</v>
      </c>
    </row>
    <row r="499">
      <c r="A499" s="17">
        <v>497.0</v>
      </c>
      <c r="B499" s="30"/>
      <c r="C499" s="30"/>
      <c r="D499" s="22"/>
      <c r="E499" s="31"/>
      <c r="F499" s="22"/>
      <c r="G499" s="30"/>
      <c r="H499" s="24">
        <v>30.0</v>
      </c>
      <c r="I499" s="24">
        <v>35.0</v>
      </c>
      <c r="J499" s="24">
        <v>36.0</v>
      </c>
      <c r="K499" s="24">
        <f>IF(H499=0,0,CAPITAL!$C$5/H499)
</f>
        <v>5000</v>
      </c>
      <c r="L499" s="24">
        <f>IF(I499=0,0,CAPITAL!$C$6/I499)
</f>
        <v>20000</v>
      </c>
      <c r="M499" s="24">
        <f>IF(J499=0,0,CAPITAL!$C$7/J499)
</f>
        <v>69444.44444</v>
      </c>
      <c r="N499" s="24">
        <f t="shared" si="1"/>
        <v>94444.44444</v>
      </c>
      <c r="O499" s="24">
        <f t="shared" si="2"/>
        <v>0.05294117647</v>
      </c>
      <c r="P499" s="24">
        <f t="shared" si="3"/>
        <v>0.2117647059</v>
      </c>
      <c r="Q499" s="24">
        <f t="shared" si="4"/>
        <v>0.7352941176</v>
      </c>
    </row>
    <row r="500">
      <c r="A500" s="17">
        <v>498.0</v>
      </c>
      <c r="B500" s="30"/>
      <c r="C500" s="30"/>
      <c r="D500" s="22"/>
      <c r="E500" s="31"/>
      <c r="F500" s="22"/>
      <c r="G500" s="30"/>
      <c r="H500" s="24">
        <v>30.0</v>
      </c>
      <c r="I500" s="24">
        <v>35.0</v>
      </c>
      <c r="J500" s="24">
        <v>36.0</v>
      </c>
      <c r="K500" s="24">
        <f>IF(H500=0,0,CAPITAL!$C$5/H500)
</f>
        <v>5000</v>
      </c>
      <c r="L500" s="24">
        <f>IF(I500=0,0,CAPITAL!$C$6/I500)
</f>
        <v>20000</v>
      </c>
      <c r="M500" s="24">
        <f>IF(J500=0,0,CAPITAL!$C$7/J500)
</f>
        <v>69444.44444</v>
      </c>
      <c r="N500" s="24">
        <f t="shared" si="1"/>
        <v>94444.44444</v>
      </c>
      <c r="O500" s="24">
        <f t="shared" si="2"/>
        <v>0.05294117647</v>
      </c>
      <c r="P500" s="24">
        <f t="shared" si="3"/>
        <v>0.2117647059</v>
      </c>
      <c r="Q500" s="24">
        <f t="shared" si="4"/>
        <v>0.7352941176</v>
      </c>
    </row>
    <row r="501">
      <c r="A501" s="17">
        <v>499.0</v>
      </c>
      <c r="B501" s="30"/>
      <c r="C501" s="30"/>
      <c r="D501" s="22"/>
      <c r="E501" s="31"/>
      <c r="F501" s="22"/>
      <c r="G501" s="30"/>
      <c r="H501" s="24">
        <v>30.0</v>
      </c>
      <c r="I501" s="24">
        <v>35.0</v>
      </c>
      <c r="J501" s="24">
        <v>36.0</v>
      </c>
      <c r="K501" s="24">
        <f>IF(H501=0,0,CAPITAL!$C$5/H501)
</f>
        <v>5000</v>
      </c>
      <c r="L501" s="24">
        <f>IF(I501=0,0,CAPITAL!$C$6/I501)
</f>
        <v>20000</v>
      </c>
      <c r="M501" s="24">
        <f>IF(J501=0,0,CAPITAL!$C$7/J501)
</f>
        <v>69444.44444</v>
      </c>
      <c r="N501" s="24">
        <f t="shared" si="1"/>
        <v>94444.44444</v>
      </c>
      <c r="O501" s="24">
        <f t="shared" si="2"/>
        <v>0.05294117647</v>
      </c>
      <c r="P501" s="24">
        <f t="shared" si="3"/>
        <v>0.2117647059</v>
      </c>
      <c r="Q501" s="24">
        <f t="shared" si="4"/>
        <v>0.7352941176</v>
      </c>
    </row>
    <row r="502">
      <c r="A502" s="17">
        <v>500.0</v>
      </c>
      <c r="B502" s="30"/>
      <c r="C502" s="30"/>
      <c r="D502" s="22"/>
      <c r="E502" s="31"/>
      <c r="F502" s="22"/>
      <c r="G502" s="30"/>
      <c r="H502" s="24">
        <v>30.0</v>
      </c>
      <c r="I502" s="24">
        <v>35.0</v>
      </c>
      <c r="J502" s="24">
        <v>36.0</v>
      </c>
      <c r="K502" s="24">
        <f>IF(H502=0,0,CAPITAL!$C$5/H502)
</f>
        <v>5000</v>
      </c>
      <c r="L502" s="24">
        <f>IF(I502=0,0,CAPITAL!$C$6/I502)
</f>
        <v>20000</v>
      </c>
      <c r="M502" s="24">
        <f>IF(J502=0,0,CAPITAL!$C$7/J502)
</f>
        <v>69444.44444</v>
      </c>
      <c r="N502" s="24">
        <f t="shared" si="1"/>
        <v>94444.44444</v>
      </c>
      <c r="O502" s="24">
        <f t="shared" si="2"/>
        <v>0.05294117647</v>
      </c>
      <c r="P502" s="24">
        <f t="shared" si="3"/>
        <v>0.2117647059</v>
      </c>
      <c r="Q502" s="24">
        <f t="shared" si="4"/>
        <v>0.7352941176</v>
      </c>
    </row>
    <row r="503">
      <c r="A503" s="32"/>
      <c r="B503" s="30"/>
      <c r="C503" s="33"/>
      <c r="D503" s="22"/>
      <c r="E503" s="31"/>
      <c r="F503" s="22"/>
      <c r="G503" s="33"/>
      <c r="H503" s="24">
        <v>30.0</v>
      </c>
      <c r="I503" s="24">
        <v>35.0</v>
      </c>
      <c r="J503" s="24">
        <v>36.0</v>
      </c>
      <c r="K503" s="24">
        <f>IF(H503=0,0,CAPITAL!$C$5/H503)
</f>
        <v>5000</v>
      </c>
      <c r="L503" s="24">
        <f>IF(I503=0,0,CAPITAL!$C$6/I503)
</f>
        <v>20000</v>
      </c>
      <c r="M503" s="24">
        <f>IF(J503=0,0,CAPITAL!$C$7/J503)
</f>
        <v>69444.44444</v>
      </c>
      <c r="N503" s="24">
        <f t="shared" si="1"/>
        <v>94444.44444</v>
      </c>
      <c r="O503" s="24">
        <f t="shared" si="2"/>
        <v>0.05294117647</v>
      </c>
      <c r="P503" s="24">
        <f t="shared" si="3"/>
        <v>0.2117647059</v>
      </c>
      <c r="Q503" s="24">
        <f t="shared" si="4"/>
        <v>0.7352941176</v>
      </c>
    </row>
    <row r="504">
      <c r="A504" s="32"/>
      <c r="B504" s="30"/>
      <c r="C504" s="33"/>
      <c r="D504" s="22"/>
      <c r="E504" s="31"/>
      <c r="F504" s="22"/>
      <c r="G504" s="33"/>
      <c r="H504" s="24">
        <v>30.0</v>
      </c>
      <c r="I504" s="24">
        <v>35.0</v>
      </c>
      <c r="J504" s="24">
        <v>36.0</v>
      </c>
      <c r="K504" s="24">
        <f>IF(H504=0,0,CAPITAL!$C$5/H504)
</f>
        <v>5000</v>
      </c>
      <c r="L504" s="24">
        <f>IF(I504=0,0,CAPITAL!$C$6/I504)
</f>
        <v>20000</v>
      </c>
      <c r="M504" s="24">
        <f>IF(J504=0,0,CAPITAL!$C$7/J504)
</f>
        <v>69444.44444</v>
      </c>
      <c r="N504" s="24">
        <f t="shared" si="1"/>
        <v>94444.44444</v>
      </c>
      <c r="O504" s="24">
        <f t="shared" si="2"/>
        <v>0.05294117647</v>
      </c>
      <c r="P504" s="24">
        <f t="shared" si="3"/>
        <v>0.2117647059</v>
      </c>
      <c r="Q504" s="24">
        <f t="shared" si="4"/>
        <v>0.7352941176</v>
      </c>
    </row>
    <row r="505">
      <c r="A505" s="32"/>
      <c r="B505" s="30"/>
      <c r="C505" s="33"/>
      <c r="D505" s="22"/>
      <c r="E505" s="31"/>
      <c r="F505" s="22"/>
      <c r="G505" s="33"/>
      <c r="H505" s="24">
        <v>30.0</v>
      </c>
      <c r="I505" s="24">
        <v>35.0</v>
      </c>
      <c r="J505" s="24">
        <v>36.0</v>
      </c>
      <c r="K505" s="24">
        <f>IF(H505=0,0,CAPITAL!$C$5/H505)
</f>
        <v>5000</v>
      </c>
      <c r="L505" s="24">
        <f>IF(I505=0,0,CAPITAL!$C$6/I505)
</f>
        <v>20000</v>
      </c>
      <c r="M505" s="24">
        <f>IF(J505=0,0,CAPITAL!$C$7/J505)
</f>
        <v>69444.44444</v>
      </c>
      <c r="N505" s="24">
        <f t="shared" si="1"/>
        <v>94444.44444</v>
      </c>
      <c r="O505" s="24">
        <f t="shared" si="2"/>
        <v>0.05294117647</v>
      </c>
      <c r="P505" s="24">
        <f t="shared" si="3"/>
        <v>0.2117647059</v>
      </c>
      <c r="Q505" s="24">
        <f t="shared" si="4"/>
        <v>0.7352941176</v>
      </c>
    </row>
    <row r="506">
      <c r="A506" s="32"/>
      <c r="B506" s="30"/>
      <c r="C506" s="33"/>
      <c r="D506" s="22"/>
      <c r="E506" s="31"/>
      <c r="F506" s="22"/>
      <c r="G506" s="33"/>
      <c r="H506" s="24">
        <v>30.0</v>
      </c>
      <c r="I506" s="24">
        <v>35.0</v>
      </c>
      <c r="J506" s="24">
        <v>36.0</v>
      </c>
      <c r="K506" s="24">
        <f>IF(H506=0,0,CAPITAL!$C$5/H506)
</f>
        <v>5000</v>
      </c>
      <c r="L506" s="24">
        <f>IF(I506=0,0,CAPITAL!$C$6/I506)
</f>
        <v>20000</v>
      </c>
      <c r="M506" s="24">
        <f>IF(J506=0,0,CAPITAL!$C$7/J506)
</f>
        <v>69444.44444</v>
      </c>
      <c r="N506" s="24">
        <f t="shared" si="1"/>
        <v>94444.44444</v>
      </c>
      <c r="O506" s="24">
        <f t="shared" si="2"/>
        <v>0.05294117647</v>
      </c>
      <c r="P506" s="24">
        <f t="shared" si="3"/>
        <v>0.2117647059</v>
      </c>
      <c r="Q506" s="24">
        <f t="shared" si="4"/>
        <v>0.7352941176</v>
      </c>
    </row>
    <row r="507">
      <c r="A507" s="32"/>
      <c r="B507" s="30"/>
      <c r="C507" s="33"/>
      <c r="D507" s="22"/>
      <c r="E507" s="31"/>
      <c r="F507" s="22"/>
      <c r="G507" s="33"/>
      <c r="H507" s="24">
        <v>30.0</v>
      </c>
      <c r="I507" s="24">
        <v>35.0</v>
      </c>
      <c r="J507" s="24">
        <v>36.0</v>
      </c>
      <c r="K507" s="24">
        <f>IF(H507=0,0,CAPITAL!$C$5/H507)
</f>
        <v>5000</v>
      </c>
      <c r="L507" s="24">
        <f>IF(I507=0,0,CAPITAL!$C$6/I507)
</f>
        <v>20000</v>
      </c>
      <c r="M507" s="24">
        <f>IF(J507=0,0,CAPITAL!$C$7/J507)
</f>
        <v>69444.44444</v>
      </c>
      <c r="N507" s="24">
        <f t="shared" si="1"/>
        <v>94444.44444</v>
      </c>
      <c r="O507" s="24">
        <f t="shared" si="2"/>
        <v>0.05294117647</v>
      </c>
      <c r="P507" s="24">
        <f t="shared" si="3"/>
        <v>0.2117647059</v>
      </c>
      <c r="Q507" s="24">
        <f t="shared" si="4"/>
        <v>0.7352941176</v>
      </c>
    </row>
    <row r="508">
      <c r="A508" s="32"/>
      <c r="B508" s="30"/>
      <c r="C508" s="33"/>
      <c r="D508" s="22"/>
      <c r="E508" s="31"/>
      <c r="F508" s="22"/>
      <c r="G508" s="33"/>
      <c r="H508" s="24">
        <v>30.0</v>
      </c>
      <c r="I508" s="24">
        <v>35.0</v>
      </c>
      <c r="J508" s="24">
        <v>36.0</v>
      </c>
      <c r="K508" s="24">
        <f>IF(H508=0,0,CAPITAL!$C$5/H508)
</f>
        <v>5000</v>
      </c>
      <c r="L508" s="24">
        <f>IF(I508=0,0,CAPITAL!$C$6/I508)
</f>
        <v>20000</v>
      </c>
      <c r="M508" s="24">
        <f>IF(J508=0,0,CAPITAL!$C$7/J508)
</f>
        <v>69444.44444</v>
      </c>
      <c r="N508" s="24">
        <f t="shared" si="1"/>
        <v>94444.44444</v>
      </c>
      <c r="O508" s="24">
        <f t="shared" si="2"/>
        <v>0.05294117647</v>
      </c>
      <c r="P508" s="24">
        <f t="shared" si="3"/>
        <v>0.2117647059</v>
      </c>
      <c r="Q508" s="24">
        <f t="shared" si="4"/>
        <v>0.7352941176</v>
      </c>
    </row>
    <row r="509">
      <c r="A509" s="32"/>
      <c r="B509" s="30"/>
      <c r="C509" s="33"/>
      <c r="D509" s="22"/>
      <c r="E509" s="31"/>
      <c r="F509" s="22"/>
      <c r="G509" s="33"/>
      <c r="H509" s="24">
        <v>30.0</v>
      </c>
      <c r="I509" s="24">
        <v>35.0</v>
      </c>
      <c r="J509" s="24">
        <v>36.0</v>
      </c>
      <c r="K509" s="24">
        <f>IF(H509=0,0,CAPITAL!$C$5/H509)
</f>
        <v>5000</v>
      </c>
      <c r="L509" s="24">
        <f>IF(I509=0,0,CAPITAL!$C$6/I509)
</f>
        <v>20000</v>
      </c>
      <c r="M509" s="24">
        <f>IF(J509=0,0,CAPITAL!$C$7/J509)
</f>
        <v>69444.44444</v>
      </c>
      <c r="N509" s="24">
        <f t="shared" si="1"/>
        <v>94444.44444</v>
      </c>
      <c r="O509" s="24">
        <f t="shared" si="2"/>
        <v>0.05294117647</v>
      </c>
      <c r="P509" s="24">
        <f t="shared" si="3"/>
        <v>0.2117647059</v>
      </c>
      <c r="Q509" s="24">
        <f t="shared" si="4"/>
        <v>0.7352941176</v>
      </c>
    </row>
    <row r="510">
      <c r="A510" s="32"/>
      <c r="B510" s="30"/>
      <c r="C510" s="33"/>
      <c r="D510" s="22"/>
      <c r="E510" s="31"/>
      <c r="F510" s="22"/>
      <c r="G510" s="33"/>
      <c r="H510" s="24">
        <v>30.0</v>
      </c>
      <c r="I510" s="24">
        <v>35.0</v>
      </c>
      <c r="J510" s="24">
        <v>36.0</v>
      </c>
      <c r="K510" s="24">
        <f>IF(H510=0,0,CAPITAL!$C$5/H510)
</f>
        <v>5000</v>
      </c>
      <c r="L510" s="24">
        <f>IF(I510=0,0,CAPITAL!$C$6/I510)
</f>
        <v>20000</v>
      </c>
      <c r="M510" s="24">
        <f>IF(J510=0,0,CAPITAL!$C$7/J510)
</f>
        <v>69444.44444</v>
      </c>
      <c r="N510" s="24">
        <f t="shared" si="1"/>
        <v>94444.44444</v>
      </c>
      <c r="O510" s="24">
        <f t="shared" si="2"/>
        <v>0.05294117647</v>
      </c>
      <c r="P510" s="24">
        <f t="shared" si="3"/>
        <v>0.2117647059</v>
      </c>
      <c r="Q510" s="24">
        <f t="shared" si="4"/>
        <v>0.7352941176</v>
      </c>
    </row>
    <row r="511">
      <c r="A511" s="32"/>
      <c r="B511" s="30"/>
      <c r="C511" s="33"/>
      <c r="D511" s="22"/>
      <c r="E511" s="31"/>
      <c r="F511" s="22"/>
      <c r="G511" s="33"/>
      <c r="H511" s="24">
        <v>30.0</v>
      </c>
      <c r="I511" s="24">
        <v>35.0</v>
      </c>
      <c r="J511" s="24">
        <v>36.0</v>
      </c>
      <c r="K511" s="24">
        <f>IF(H511=0,0,CAPITAL!$C$5/H511)
</f>
        <v>5000</v>
      </c>
      <c r="L511" s="24">
        <f>IF(I511=0,0,CAPITAL!$C$6/I511)
</f>
        <v>20000</v>
      </c>
      <c r="M511" s="24">
        <f>IF(J511=0,0,CAPITAL!$C$7/J511)
</f>
        <v>69444.44444</v>
      </c>
      <c r="N511" s="24">
        <f t="shared" si="1"/>
        <v>94444.44444</v>
      </c>
      <c r="O511" s="24">
        <f t="shared" si="2"/>
        <v>0.05294117647</v>
      </c>
      <c r="P511" s="24">
        <f t="shared" si="3"/>
        <v>0.2117647059</v>
      </c>
      <c r="Q511" s="24">
        <f t="shared" si="4"/>
        <v>0.7352941176</v>
      </c>
    </row>
    <row r="512">
      <c r="A512" s="32"/>
      <c r="B512" s="30"/>
      <c r="C512" s="33"/>
      <c r="D512" s="22"/>
      <c r="E512" s="31"/>
      <c r="F512" s="22"/>
      <c r="G512" s="33"/>
      <c r="H512" s="24">
        <v>30.0</v>
      </c>
      <c r="I512" s="24">
        <v>35.0</v>
      </c>
      <c r="J512" s="24">
        <v>36.0</v>
      </c>
      <c r="K512" s="24">
        <f>IF(H512=0,0,CAPITAL!$C$5/H512)
</f>
        <v>5000</v>
      </c>
      <c r="L512" s="24">
        <f>IF(I512=0,0,CAPITAL!$C$6/I512)
</f>
        <v>20000</v>
      </c>
      <c r="M512" s="24">
        <f>IF(J512=0,0,CAPITAL!$C$7/J512)
</f>
        <v>69444.44444</v>
      </c>
      <c r="N512" s="24">
        <f t="shared" si="1"/>
        <v>94444.44444</v>
      </c>
      <c r="O512" s="24">
        <f t="shared" si="2"/>
        <v>0.05294117647</v>
      </c>
      <c r="P512" s="24">
        <f t="shared" si="3"/>
        <v>0.2117647059</v>
      </c>
      <c r="Q512" s="24">
        <f t="shared" si="4"/>
        <v>0.7352941176</v>
      </c>
    </row>
    <row r="513">
      <c r="A513" s="32"/>
      <c r="B513" s="30"/>
      <c r="C513" s="33"/>
      <c r="D513" s="22"/>
      <c r="E513" s="31"/>
      <c r="F513" s="22"/>
      <c r="G513" s="33"/>
      <c r="H513" s="24">
        <v>30.0</v>
      </c>
      <c r="I513" s="24">
        <v>35.0</v>
      </c>
      <c r="J513" s="24">
        <v>36.0</v>
      </c>
      <c r="K513" s="24">
        <f>IF(H513=0,0,CAPITAL!$C$5/H513)
</f>
        <v>5000</v>
      </c>
      <c r="L513" s="24">
        <f>IF(I513=0,0,CAPITAL!$C$6/I513)
</f>
        <v>20000</v>
      </c>
      <c r="M513" s="24">
        <f>IF(J513=0,0,CAPITAL!$C$7/J513)
</f>
        <v>69444.44444</v>
      </c>
      <c r="N513" s="24">
        <f t="shared" si="1"/>
        <v>94444.44444</v>
      </c>
      <c r="O513" s="24">
        <f t="shared" si="2"/>
        <v>0.05294117647</v>
      </c>
      <c r="P513" s="24">
        <f t="shared" si="3"/>
        <v>0.2117647059</v>
      </c>
      <c r="Q513" s="24">
        <f t="shared" si="4"/>
        <v>0.7352941176</v>
      </c>
    </row>
    <row r="514">
      <c r="A514" s="32"/>
      <c r="B514" s="30"/>
      <c r="C514" s="33"/>
      <c r="D514" s="22"/>
      <c r="E514" s="31"/>
      <c r="F514" s="22"/>
      <c r="G514" s="33"/>
      <c r="H514" s="24">
        <v>30.0</v>
      </c>
      <c r="I514" s="24">
        <v>35.0</v>
      </c>
      <c r="J514" s="24">
        <v>36.0</v>
      </c>
      <c r="K514" s="24">
        <f>IF(H514=0,0,CAPITAL!$C$5/H514)
</f>
        <v>5000</v>
      </c>
      <c r="L514" s="24">
        <f>IF(I514=0,0,CAPITAL!$C$6/I514)
</f>
        <v>20000</v>
      </c>
      <c r="M514" s="24">
        <f>IF(J514=0,0,CAPITAL!$C$7/J514)
</f>
        <v>69444.44444</v>
      </c>
      <c r="N514" s="24">
        <f t="shared" si="1"/>
        <v>94444.44444</v>
      </c>
      <c r="O514" s="24">
        <f t="shared" si="2"/>
        <v>0.05294117647</v>
      </c>
      <c r="P514" s="24">
        <f t="shared" si="3"/>
        <v>0.2117647059</v>
      </c>
      <c r="Q514" s="24">
        <f t="shared" si="4"/>
        <v>0.7352941176</v>
      </c>
    </row>
    <row r="515">
      <c r="A515" s="32"/>
      <c r="B515" s="30"/>
      <c r="C515" s="33"/>
      <c r="D515" s="22"/>
      <c r="E515" s="31"/>
      <c r="F515" s="22"/>
      <c r="G515" s="33"/>
      <c r="H515" s="24">
        <v>30.0</v>
      </c>
      <c r="I515" s="24">
        <v>35.0</v>
      </c>
      <c r="J515" s="24">
        <v>36.0</v>
      </c>
      <c r="K515" s="24">
        <f>IF(H515=0,0,CAPITAL!$C$5/H515)
</f>
        <v>5000</v>
      </c>
      <c r="L515" s="24">
        <f>IF(I515=0,0,CAPITAL!$C$6/I515)
</f>
        <v>20000</v>
      </c>
      <c r="M515" s="24">
        <f>IF(J515=0,0,CAPITAL!$C$7/J515)
</f>
        <v>69444.44444</v>
      </c>
      <c r="N515" s="24">
        <f t="shared" si="1"/>
        <v>94444.44444</v>
      </c>
      <c r="O515" s="24">
        <f t="shared" si="2"/>
        <v>0.05294117647</v>
      </c>
      <c r="P515" s="24">
        <f t="shared" si="3"/>
        <v>0.2117647059</v>
      </c>
      <c r="Q515" s="24">
        <f t="shared" si="4"/>
        <v>0.7352941176</v>
      </c>
    </row>
    <row r="516">
      <c r="A516" s="32"/>
      <c r="B516" s="30"/>
      <c r="C516" s="33"/>
      <c r="D516" s="22"/>
      <c r="E516" s="31"/>
      <c r="F516" s="22"/>
      <c r="G516" s="33"/>
      <c r="H516" s="24">
        <v>30.0</v>
      </c>
      <c r="I516" s="24">
        <v>35.0</v>
      </c>
      <c r="J516" s="24">
        <v>36.0</v>
      </c>
      <c r="K516" s="24">
        <f>IF(H516=0,0,CAPITAL!$C$5/H516)
</f>
        <v>5000</v>
      </c>
      <c r="L516" s="24">
        <f>IF(I516=0,0,CAPITAL!$C$6/I516)
</f>
        <v>20000</v>
      </c>
      <c r="M516" s="24">
        <f>IF(J516=0,0,CAPITAL!$C$7/J516)
</f>
        <v>69444.44444</v>
      </c>
      <c r="N516" s="24">
        <f t="shared" si="1"/>
        <v>94444.44444</v>
      </c>
      <c r="O516" s="24">
        <f t="shared" si="2"/>
        <v>0.05294117647</v>
      </c>
      <c r="P516" s="24">
        <f t="shared" si="3"/>
        <v>0.2117647059</v>
      </c>
      <c r="Q516" s="24">
        <f t="shared" si="4"/>
        <v>0.7352941176</v>
      </c>
    </row>
    <row r="517">
      <c r="A517" s="32"/>
      <c r="B517" s="30"/>
      <c r="C517" s="33"/>
      <c r="D517" s="22"/>
      <c r="E517" s="31"/>
      <c r="F517" s="22"/>
      <c r="G517" s="33"/>
      <c r="H517" s="24">
        <v>30.0</v>
      </c>
      <c r="I517" s="24">
        <v>35.0</v>
      </c>
      <c r="J517" s="24">
        <v>36.0</v>
      </c>
      <c r="K517" s="24">
        <f>IF(H517=0,0,CAPITAL!$C$5/H517)
</f>
        <v>5000</v>
      </c>
      <c r="L517" s="24">
        <f>IF(I517=0,0,CAPITAL!$C$6/I517)
</f>
        <v>20000</v>
      </c>
      <c r="M517" s="24">
        <f>IF(J517=0,0,CAPITAL!$C$7/J517)
</f>
        <v>69444.44444</v>
      </c>
      <c r="N517" s="24">
        <f t="shared" si="1"/>
        <v>94444.44444</v>
      </c>
      <c r="O517" s="24">
        <f t="shared" si="2"/>
        <v>0.05294117647</v>
      </c>
      <c r="P517" s="24">
        <f t="shared" si="3"/>
        <v>0.2117647059</v>
      </c>
      <c r="Q517" s="24">
        <f t="shared" si="4"/>
        <v>0.7352941176</v>
      </c>
    </row>
    <row r="518">
      <c r="A518" s="32"/>
      <c r="B518" s="30"/>
      <c r="C518" s="33"/>
      <c r="D518" s="22"/>
      <c r="E518" s="31"/>
      <c r="F518" s="22"/>
      <c r="G518" s="33"/>
      <c r="H518" s="24">
        <v>30.0</v>
      </c>
      <c r="I518" s="24">
        <v>35.0</v>
      </c>
      <c r="J518" s="24">
        <v>36.0</v>
      </c>
      <c r="K518" s="24">
        <f>IF(H518=0,0,CAPITAL!$C$5/H518)
</f>
        <v>5000</v>
      </c>
      <c r="L518" s="24">
        <f>IF(I518=0,0,CAPITAL!$C$6/I518)
</f>
        <v>20000</v>
      </c>
      <c r="M518" s="24">
        <f>IF(J518=0,0,CAPITAL!$C$7/J518)
</f>
        <v>69444.44444</v>
      </c>
      <c r="N518" s="24">
        <f t="shared" si="1"/>
        <v>94444.44444</v>
      </c>
      <c r="O518" s="24">
        <f t="shared" si="2"/>
        <v>0.05294117647</v>
      </c>
      <c r="P518" s="24">
        <f t="shared" si="3"/>
        <v>0.2117647059</v>
      </c>
      <c r="Q518" s="24">
        <f t="shared" si="4"/>
        <v>0.7352941176</v>
      </c>
    </row>
    <row r="519">
      <c r="A519" s="32"/>
      <c r="B519" s="30"/>
      <c r="C519" s="33"/>
      <c r="D519" s="22"/>
      <c r="E519" s="31"/>
      <c r="F519" s="22"/>
      <c r="G519" s="33"/>
      <c r="H519" s="24">
        <v>30.0</v>
      </c>
      <c r="I519" s="24">
        <v>35.0</v>
      </c>
      <c r="J519" s="24">
        <v>36.0</v>
      </c>
      <c r="K519" s="24">
        <f>IF(H519=0,0,CAPITAL!$C$5/H519)
</f>
        <v>5000</v>
      </c>
      <c r="L519" s="24">
        <f>IF(I519=0,0,CAPITAL!$C$6/I519)
</f>
        <v>20000</v>
      </c>
      <c r="M519" s="24">
        <f>IF(J519=0,0,CAPITAL!$C$7/J519)
</f>
        <v>69444.44444</v>
      </c>
      <c r="N519" s="24">
        <f t="shared" si="1"/>
        <v>94444.44444</v>
      </c>
      <c r="O519" s="24">
        <f t="shared" si="2"/>
        <v>0.05294117647</v>
      </c>
      <c r="P519" s="24">
        <f t="shared" si="3"/>
        <v>0.2117647059</v>
      </c>
      <c r="Q519" s="24">
        <f t="shared" si="4"/>
        <v>0.7352941176</v>
      </c>
    </row>
    <row r="520">
      <c r="A520" s="32"/>
      <c r="B520" s="30"/>
      <c r="C520" s="33"/>
      <c r="D520" s="22"/>
      <c r="E520" s="31"/>
      <c r="F520" s="22"/>
      <c r="G520" s="33"/>
      <c r="H520" s="24">
        <v>30.0</v>
      </c>
      <c r="I520" s="24">
        <v>35.0</v>
      </c>
      <c r="J520" s="24">
        <v>36.0</v>
      </c>
      <c r="K520" s="24">
        <f>IF(H520=0,0,CAPITAL!$C$5/H520)
</f>
        <v>5000</v>
      </c>
      <c r="L520" s="24">
        <f>IF(I520=0,0,CAPITAL!$C$6/I520)
</f>
        <v>20000</v>
      </c>
      <c r="M520" s="24">
        <f>IF(J520=0,0,CAPITAL!$C$7/J520)
</f>
        <v>69444.44444</v>
      </c>
      <c r="N520" s="24">
        <f t="shared" si="1"/>
        <v>94444.44444</v>
      </c>
      <c r="O520" s="24">
        <f t="shared" si="2"/>
        <v>0.05294117647</v>
      </c>
      <c r="P520" s="24">
        <f t="shared" si="3"/>
        <v>0.2117647059</v>
      </c>
      <c r="Q520" s="24">
        <f t="shared" si="4"/>
        <v>0.7352941176</v>
      </c>
    </row>
    <row r="521">
      <c r="A521" s="32"/>
      <c r="B521" s="30"/>
      <c r="C521" s="33"/>
      <c r="D521" s="22"/>
      <c r="E521" s="31"/>
      <c r="F521" s="22"/>
      <c r="G521" s="33"/>
      <c r="H521" s="24">
        <v>30.0</v>
      </c>
      <c r="I521" s="24">
        <v>35.0</v>
      </c>
      <c r="J521" s="24">
        <v>36.0</v>
      </c>
      <c r="K521" s="24">
        <f>IF(H521=0,0,CAPITAL!$C$5/H521)
</f>
        <v>5000</v>
      </c>
      <c r="L521" s="24">
        <f>IF(I521=0,0,CAPITAL!$C$6/I521)
</f>
        <v>20000</v>
      </c>
      <c r="M521" s="24">
        <f>IF(J521=0,0,CAPITAL!$C$7/J521)
</f>
        <v>69444.44444</v>
      </c>
      <c r="N521" s="24">
        <f t="shared" si="1"/>
        <v>94444.44444</v>
      </c>
      <c r="O521" s="24">
        <f t="shared" si="2"/>
        <v>0.05294117647</v>
      </c>
      <c r="P521" s="24">
        <f t="shared" si="3"/>
        <v>0.2117647059</v>
      </c>
      <c r="Q521" s="24">
        <f t="shared" si="4"/>
        <v>0.7352941176</v>
      </c>
    </row>
    <row r="522">
      <c r="A522" s="32"/>
      <c r="B522" s="30"/>
      <c r="C522" s="33"/>
      <c r="D522" s="22"/>
      <c r="E522" s="31"/>
      <c r="F522" s="22"/>
      <c r="G522" s="33"/>
      <c r="H522" s="24">
        <v>30.0</v>
      </c>
      <c r="I522" s="24">
        <v>35.0</v>
      </c>
      <c r="J522" s="24">
        <v>36.0</v>
      </c>
      <c r="K522" s="24">
        <f>IF(H522=0,0,CAPITAL!$C$5/H522)
</f>
        <v>5000</v>
      </c>
      <c r="L522" s="24">
        <f>IF(I522=0,0,CAPITAL!$C$6/I522)
</f>
        <v>20000</v>
      </c>
      <c r="M522" s="24">
        <f>IF(J522=0,0,CAPITAL!$C$7/J522)
</f>
        <v>69444.44444</v>
      </c>
      <c r="N522" s="24">
        <f t="shared" si="1"/>
        <v>94444.44444</v>
      </c>
      <c r="O522" s="24">
        <f t="shared" si="2"/>
        <v>0.05294117647</v>
      </c>
      <c r="P522" s="24">
        <f t="shared" si="3"/>
        <v>0.2117647059</v>
      </c>
      <c r="Q522" s="24">
        <f t="shared" si="4"/>
        <v>0.7352941176</v>
      </c>
    </row>
    <row r="523">
      <c r="A523" s="32"/>
      <c r="B523" s="30"/>
      <c r="C523" s="33"/>
      <c r="D523" s="22"/>
      <c r="E523" s="31"/>
      <c r="F523" s="22"/>
      <c r="G523" s="33"/>
      <c r="H523" s="24">
        <v>30.0</v>
      </c>
      <c r="I523" s="24">
        <v>35.0</v>
      </c>
      <c r="J523" s="24">
        <v>36.0</v>
      </c>
      <c r="K523" s="24">
        <f>IF(H523=0,0,CAPITAL!$C$5/H523)
</f>
        <v>5000</v>
      </c>
      <c r="L523" s="24">
        <f>IF(I523=0,0,CAPITAL!$C$6/I523)
</f>
        <v>20000</v>
      </c>
      <c r="M523" s="24">
        <f>IF(J523=0,0,CAPITAL!$C$7/J523)
</f>
        <v>69444.44444</v>
      </c>
      <c r="N523" s="24">
        <f t="shared" si="1"/>
        <v>94444.44444</v>
      </c>
      <c r="O523" s="24">
        <f t="shared" si="2"/>
        <v>0.05294117647</v>
      </c>
      <c r="P523" s="24">
        <f t="shared" si="3"/>
        <v>0.2117647059</v>
      </c>
      <c r="Q523" s="24">
        <f t="shared" si="4"/>
        <v>0.7352941176</v>
      </c>
    </row>
    <row r="524">
      <c r="A524" s="32"/>
      <c r="B524" s="30"/>
      <c r="C524" s="33"/>
      <c r="D524" s="22"/>
      <c r="E524" s="31"/>
      <c r="F524" s="22"/>
      <c r="G524" s="33"/>
      <c r="H524" s="24">
        <v>30.0</v>
      </c>
      <c r="I524" s="24">
        <v>35.0</v>
      </c>
      <c r="J524" s="24">
        <v>36.0</v>
      </c>
      <c r="K524" s="24">
        <f>IF(H524=0,0,CAPITAL!$C$5/H524)
</f>
        <v>5000</v>
      </c>
      <c r="L524" s="24">
        <f>IF(I524=0,0,CAPITAL!$C$6/I524)
</f>
        <v>20000</v>
      </c>
      <c r="M524" s="24">
        <f>IF(J524=0,0,CAPITAL!$C$7/J524)
</f>
        <v>69444.44444</v>
      </c>
      <c r="N524" s="24">
        <f t="shared" si="1"/>
        <v>94444.44444</v>
      </c>
      <c r="O524" s="24">
        <f t="shared" si="2"/>
        <v>0.05294117647</v>
      </c>
      <c r="P524" s="24">
        <f t="shared" si="3"/>
        <v>0.2117647059</v>
      </c>
      <c r="Q524" s="24">
        <f t="shared" si="4"/>
        <v>0.7352941176</v>
      </c>
    </row>
    <row r="525">
      <c r="A525" s="32"/>
      <c r="B525" s="30"/>
      <c r="C525" s="33"/>
      <c r="D525" s="22"/>
      <c r="E525" s="31"/>
      <c r="F525" s="22"/>
      <c r="G525" s="33"/>
      <c r="H525" s="24">
        <v>30.0</v>
      </c>
      <c r="I525" s="24">
        <v>35.0</v>
      </c>
      <c r="J525" s="24">
        <v>36.0</v>
      </c>
      <c r="K525" s="24">
        <f>IF(H525=0,0,CAPITAL!$C$5/H525)
</f>
        <v>5000</v>
      </c>
      <c r="L525" s="24">
        <f>IF(I525=0,0,CAPITAL!$C$6/I525)
</f>
        <v>20000</v>
      </c>
      <c r="M525" s="24">
        <f>IF(J525=0,0,CAPITAL!$C$7/J525)
</f>
        <v>69444.44444</v>
      </c>
      <c r="N525" s="24">
        <f t="shared" si="1"/>
        <v>94444.44444</v>
      </c>
      <c r="O525" s="24">
        <f t="shared" si="2"/>
        <v>0.05294117647</v>
      </c>
      <c r="P525" s="24">
        <f t="shared" si="3"/>
        <v>0.2117647059</v>
      </c>
      <c r="Q525" s="24">
        <f t="shared" si="4"/>
        <v>0.7352941176</v>
      </c>
    </row>
    <row r="526">
      <c r="A526" s="32"/>
      <c r="B526" s="30"/>
      <c r="C526" s="33"/>
      <c r="D526" s="22"/>
      <c r="E526" s="31"/>
      <c r="F526" s="22"/>
      <c r="G526" s="33"/>
      <c r="H526" s="24">
        <v>30.0</v>
      </c>
      <c r="I526" s="24">
        <v>35.0</v>
      </c>
      <c r="J526" s="24">
        <v>36.0</v>
      </c>
      <c r="K526" s="24">
        <f>IF(H526=0,0,CAPITAL!$C$5/H526)
</f>
        <v>5000</v>
      </c>
      <c r="L526" s="24">
        <f>IF(I526=0,0,CAPITAL!$C$6/I526)
</f>
        <v>20000</v>
      </c>
      <c r="M526" s="24">
        <f>IF(J526=0,0,CAPITAL!$C$7/J526)
</f>
        <v>69444.44444</v>
      </c>
      <c r="N526" s="24">
        <f t="shared" si="1"/>
        <v>94444.44444</v>
      </c>
      <c r="O526" s="24">
        <f t="shared" si="2"/>
        <v>0.05294117647</v>
      </c>
      <c r="P526" s="24">
        <f t="shared" si="3"/>
        <v>0.2117647059</v>
      </c>
      <c r="Q526" s="24">
        <f t="shared" si="4"/>
        <v>0.7352941176</v>
      </c>
    </row>
    <row r="527">
      <c r="A527" s="32"/>
      <c r="B527" s="30"/>
      <c r="C527" s="33"/>
      <c r="D527" s="22"/>
      <c r="E527" s="31"/>
      <c r="F527" s="22"/>
      <c r="G527" s="33"/>
      <c r="H527" s="24">
        <v>30.0</v>
      </c>
      <c r="I527" s="24">
        <v>35.0</v>
      </c>
      <c r="J527" s="24">
        <v>36.0</v>
      </c>
      <c r="K527" s="24">
        <f>IF(H527=0,0,CAPITAL!$C$5/H527)
</f>
        <v>5000</v>
      </c>
      <c r="L527" s="24">
        <f>IF(I527=0,0,CAPITAL!$C$6/I527)
</f>
        <v>20000</v>
      </c>
      <c r="M527" s="24">
        <f>IF(J527=0,0,CAPITAL!$C$7/J527)
</f>
        <v>69444.44444</v>
      </c>
      <c r="N527" s="24">
        <f t="shared" si="1"/>
        <v>94444.44444</v>
      </c>
      <c r="O527" s="24">
        <f t="shared" si="2"/>
        <v>0.05294117647</v>
      </c>
      <c r="P527" s="24">
        <f t="shared" si="3"/>
        <v>0.2117647059</v>
      </c>
      <c r="Q527" s="24">
        <f t="shared" si="4"/>
        <v>0.7352941176</v>
      </c>
    </row>
    <row r="528">
      <c r="A528" s="32"/>
      <c r="B528" s="30"/>
      <c r="C528" s="33"/>
      <c r="D528" s="22"/>
      <c r="E528" s="31"/>
      <c r="F528" s="22"/>
      <c r="G528" s="33"/>
      <c r="H528" s="24">
        <v>30.0</v>
      </c>
      <c r="I528" s="24">
        <v>35.0</v>
      </c>
      <c r="J528" s="24">
        <v>36.0</v>
      </c>
      <c r="K528" s="24">
        <f>IF(H528=0,0,CAPITAL!$C$5/H528)
</f>
        <v>5000</v>
      </c>
      <c r="L528" s="24">
        <f>IF(I528=0,0,CAPITAL!$C$6/I528)
</f>
        <v>20000</v>
      </c>
      <c r="M528" s="24">
        <f>IF(J528=0,0,CAPITAL!$C$7/J528)
</f>
        <v>69444.44444</v>
      </c>
      <c r="N528" s="24">
        <f t="shared" si="1"/>
        <v>94444.44444</v>
      </c>
      <c r="O528" s="24">
        <f t="shared" si="2"/>
        <v>0.05294117647</v>
      </c>
      <c r="P528" s="24">
        <f t="shared" si="3"/>
        <v>0.2117647059</v>
      </c>
      <c r="Q528" s="24">
        <f t="shared" si="4"/>
        <v>0.7352941176</v>
      </c>
    </row>
    <row r="529">
      <c r="A529" s="32"/>
      <c r="B529" s="30"/>
      <c r="C529" s="33"/>
      <c r="D529" s="22"/>
      <c r="E529" s="31"/>
      <c r="F529" s="22"/>
      <c r="G529" s="33"/>
      <c r="H529" s="24">
        <v>30.0</v>
      </c>
      <c r="I529" s="24">
        <v>35.0</v>
      </c>
      <c r="J529" s="24">
        <v>36.0</v>
      </c>
      <c r="K529" s="24">
        <f>IF(H529=0,0,CAPITAL!$C$5/H529)
</f>
        <v>5000</v>
      </c>
      <c r="L529" s="24">
        <f>IF(I529=0,0,CAPITAL!$C$6/I529)
</f>
        <v>20000</v>
      </c>
      <c r="M529" s="24">
        <f>IF(J529=0,0,CAPITAL!$C$7/J529)
</f>
        <v>69444.44444</v>
      </c>
      <c r="N529" s="24">
        <f t="shared" si="1"/>
        <v>94444.44444</v>
      </c>
      <c r="O529" s="24">
        <f t="shared" si="2"/>
        <v>0.05294117647</v>
      </c>
      <c r="P529" s="24">
        <f t="shared" si="3"/>
        <v>0.2117647059</v>
      </c>
      <c r="Q529" s="24">
        <f t="shared" si="4"/>
        <v>0.7352941176</v>
      </c>
    </row>
    <row r="530">
      <c r="A530" s="32"/>
      <c r="B530" s="30"/>
      <c r="C530" s="33"/>
      <c r="D530" s="22"/>
      <c r="E530" s="31"/>
      <c r="F530" s="22"/>
      <c r="G530" s="33"/>
      <c r="H530" s="24">
        <v>30.0</v>
      </c>
      <c r="I530" s="24">
        <v>35.0</v>
      </c>
      <c r="J530" s="24">
        <v>36.0</v>
      </c>
      <c r="K530" s="24">
        <f>IF(H530=0,0,CAPITAL!$C$5/H530)
</f>
        <v>5000</v>
      </c>
      <c r="L530" s="24">
        <f>IF(I530=0,0,CAPITAL!$C$6/I530)
</f>
        <v>20000</v>
      </c>
      <c r="M530" s="24">
        <f>IF(J530=0,0,CAPITAL!$C$7/J530)
</f>
        <v>69444.44444</v>
      </c>
      <c r="N530" s="24">
        <f t="shared" si="1"/>
        <v>94444.44444</v>
      </c>
      <c r="O530" s="24">
        <f t="shared" si="2"/>
        <v>0.05294117647</v>
      </c>
      <c r="P530" s="24">
        <f t="shared" si="3"/>
        <v>0.2117647059</v>
      </c>
      <c r="Q530" s="24">
        <f t="shared" si="4"/>
        <v>0.7352941176</v>
      </c>
    </row>
    <row r="531">
      <c r="A531" s="32"/>
      <c r="B531" s="30"/>
      <c r="C531" s="33"/>
      <c r="D531" s="22"/>
      <c r="E531" s="31"/>
      <c r="F531" s="22"/>
      <c r="G531" s="33"/>
      <c r="H531" s="24">
        <v>30.0</v>
      </c>
      <c r="I531" s="24">
        <v>35.0</v>
      </c>
      <c r="J531" s="24">
        <v>36.0</v>
      </c>
      <c r="K531" s="24">
        <f>IF(H531=0,0,CAPITAL!$C$5/H531)
</f>
        <v>5000</v>
      </c>
      <c r="L531" s="24">
        <f>IF(I531=0,0,CAPITAL!$C$6/I531)
</f>
        <v>20000</v>
      </c>
      <c r="M531" s="24">
        <f>IF(J531=0,0,CAPITAL!$C$7/J531)
</f>
        <v>69444.44444</v>
      </c>
      <c r="N531" s="24">
        <f t="shared" si="1"/>
        <v>94444.44444</v>
      </c>
      <c r="O531" s="24">
        <f t="shared" si="2"/>
        <v>0.05294117647</v>
      </c>
      <c r="P531" s="24">
        <f t="shared" si="3"/>
        <v>0.2117647059</v>
      </c>
      <c r="Q531" s="24">
        <f t="shared" si="4"/>
        <v>0.7352941176</v>
      </c>
    </row>
    <row r="532">
      <c r="A532" s="32"/>
      <c r="B532" s="30"/>
      <c r="C532" s="33"/>
      <c r="D532" s="22"/>
      <c r="E532" s="31"/>
      <c r="F532" s="22"/>
      <c r="G532" s="33"/>
      <c r="H532" s="24">
        <v>30.0</v>
      </c>
      <c r="I532" s="24">
        <v>35.0</v>
      </c>
      <c r="J532" s="24">
        <v>36.0</v>
      </c>
      <c r="K532" s="24">
        <f>IF(H532=0,0,CAPITAL!$C$5/H532)
</f>
        <v>5000</v>
      </c>
      <c r="L532" s="24">
        <f>IF(I532=0,0,CAPITAL!$C$6/I532)
</f>
        <v>20000</v>
      </c>
      <c r="M532" s="24">
        <f>IF(J532=0,0,CAPITAL!$C$7/J532)
</f>
        <v>69444.44444</v>
      </c>
      <c r="N532" s="24">
        <f t="shared" si="1"/>
        <v>94444.44444</v>
      </c>
      <c r="O532" s="24">
        <f t="shared" si="2"/>
        <v>0.05294117647</v>
      </c>
      <c r="P532" s="24">
        <f t="shared" si="3"/>
        <v>0.2117647059</v>
      </c>
      <c r="Q532" s="24">
        <f t="shared" si="4"/>
        <v>0.7352941176</v>
      </c>
    </row>
    <row r="533">
      <c r="A533" s="32"/>
      <c r="B533" s="30"/>
      <c r="C533" s="33"/>
      <c r="D533" s="22"/>
      <c r="E533" s="31"/>
      <c r="F533" s="22"/>
      <c r="G533" s="33"/>
      <c r="H533" s="24">
        <v>30.0</v>
      </c>
      <c r="I533" s="24">
        <v>35.0</v>
      </c>
      <c r="J533" s="24">
        <v>36.0</v>
      </c>
      <c r="K533" s="24">
        <f>IF(H533=0,0,CAPITAL!$C$5/H533)
</f>
        <v>5000</v>
      </c>
      <c r="L533" s="24">
        <f>IF(I533=0,0,CAPITAL!$C$6/I533)
</f>
        <v>20000</v>
      </c>
      <c r="M533" s="24">
        <f>IF(J533=0,0,CAPITAL!$C$7/J533)
</f>
        <v>69444.44444</v>
      </c>
      <c r="N533" s="24">
        <f t="shared" si="1"/>
        <v>94444.44444</v>
      </c>
      <c r="O533" s="24">
        <f t="shared" si="2"/>
        <v>0.05294117647</v>
      </c>
      <c r="P533" s="24">
        <f t="shared" si="3"/>
        <v>0.2117647059</v>
      </c>
      <c r="Q533" s="24">
        <f t="shared" si="4"/>
        <v>0.7352941176</v>
      </c>
    </row>
    <row r="534">
      <c r="A534" s="32"/>
      <c r="B534" s="30"/>
      <c r="C534" s="33"/>
      <c r="D534" s="22"/>
      <c r="E534" s="31"/>
      <c r="F534" s="22"/>
      <c r="G534" s="33"/>
      <c r="H534" s="24">
        <v>30.0</v>
      </c>
      <c r="I534" s="24">
        <v>35.0</v>
      </c>
      <c r="J534" s="24">
        <v>36.0</v>
      </c>
      <c r="K534" s="24">
        <f>IF(H534=0,0,CAPITAL!$C$5/H534)
</f>
        <v>5000</v>
      </c>
      <c r="L534" s="24">
        <f>IF(I534=0,0,CAPITAL!$C$6/I534)
</f>
        <v>20000</v>
      </c>
      <c r="M534" s="24">
        <f>IF(J534=0,0,CAPITAL!$C$7/J534)
</f>
        <v>69444.44444</v>
      </c>
      <c r="N534" s="24">
        <f t="shared" si="1"/>
        <v>94444.44444</v>
      </c>
      <c r="O534" s="24">
        <f t="shared" si="2"/>
        <v>0.05294117647</v>
      </c>
      <c r="P534" s="24">
        <f t="shared" si="3"/>
        <v>0.2117647059</v>
      </c>
      <c r="Q534" s="24">
        <f t="shared" si="4"/>
        <v>0.7352941176</v>
      </c>
    </row>
    <row r="535">
      <c r="A535" s="32"/>
      <c r="B535" s="30"/>
      <c r="C535" s="33"/>
      <c r="D535" s="22"/>
      <c r="E535" s="31"/>
      <c r="F535" s="22"/>
      <c r="G535" s="33"/>
      <c r="H535" s="24">
        <v>30.0</v>
      </c>
      <c r="I535" s="24">
        <v>35.0</v>
      </c>
      <c r="J535" s="24">
        <v>36.0</v>
      </c>
      <c r="K535" s="24">
        <f>IF(H535=0,0,CAPITAL!$C$5/H535)
</f>
        <v>5000</v>
      </c>
      <c r="L535" s="24">
        <f>IF(I535=0,0,CAPITAL!$C$6/I535)
</f>
        <v>20000</v>
      </c>
      <c r="M535" s="24">
        <f>IF(J535=0,0,CAPITAL!$C$7/J535)
</f>
        <v>69444.44444</v>
      </c>
      <c r="N535" s="24">
        <f t="shared" si="1"/>
        <v>94444.44444</v>
      </c>
      <c r="O535" s="24">
        <f t="shared" si="2"/>
        <v>0.05294117647</v>
      </c>
      <c r="P535" s="24">
        <f t="shared" si="3"/>
        <v>0.2117647059</v>
      </c>
      <c r="Q535" s="24">
        <f t="shared" si="4"/>
        <v>0.7352941176</v>
      </c>
    </row>
    <row r="536">
      <c r="A536" s="32"/>
      <c r="B536" s="30"/>
      <c r="C536" s="33"/>
      <c r="D536" s="22"/>
      <c r="E536" s="31"/>
      <c r="F536" s="22"/>
      <c r="G536" s="33"/>
      <c r="H536" s="24">
        <v>30.0</v>
      </c>
      <c r="I536" s="24">
        <v>35.0</v>
      </c>
      <c r="J536" s="24">
        <v>36.0</v>
      </c>
      <c r="K536" s="24">
        <f>IF(H536=0,0,CAPITAL!$C$5/H536)
</f>
        <v>5000</v>
      </c>
      <c r="L536" s="24">
        <f>IF(I536=0,0,CAPITAL!$C$6/I536)
</f>
        <v>20000</v>
      </c>
      <c r="M536" s="24">
        <f>IF(J536=0,0,CAPITAL!$C$7/J536)
</f>
        <v>69444.44444</v>
      </c>
      <c r="N536" s="24">
        <f t="shared" si="1"/>
        <v>94444.44444</v>
      </c>
      <c r="O536" s="24">
        <f t="shared" si="2"/>
        <v>0.05294117647</v>
      </c>
      <c r="P536" s="24">
        <f t="shared" si="3"/>
        <v>0.2117647059</v>
      </c>
      <c r="Q536" s="24">
        <f t="shared" si="4"/>
        <v>0.7352941176</v>
      </c>
    </row>
    <row r="537">
      <c r="A537" s="32"/>
      <c r="B537" s="30"/>
      <c r="C537" s="33"/>
      <c r="D537" s="22"/>
      <c r="E537" s="31"/>
      <c r="F537" s="22"/>
      <c r="G537" s="33"/>
      <c r="H537" s="24">
        <v>30.0</v>
      </c>
      <c r="I537" s="24">
        <v>35.0</v>
      </c>
      <c r="J537" s="24">
        <v>36.0</v>
      </c>
      <c r="K537" s="24">
        <f>IF(H537=0,0,CAPITAL!$C$5/H537)
</f>
        <v>5000</v>
      </c>
      <c r="L537" s="24">
        <f>IF(I537=0,0,CAPITAL!$C$6/I537)
</f>
        <v>20000</v>
      </c>
      <c r="M537" s="24">
        <f>IF(J537=0,0,CAPITAL!$C$7/J537)
</f>
        <v>69444.44444</v>
      </c>
      <c r="N537" s="24">
        <f t="shared" si="1"/>
        <v>94444.44444</v>
      </c>
      <c r="O537" s="24">
        <f t="shared" si="2"/>
        <v>0.05294117647</v>
      </c>
      <c r="P537" s="24">
        <f t="shared" si="3"/>
        <v>0.2117647059</v>
      </c>
      <c r="Q537" s="24">
        <f t="shared" si="4"/>
        <v>0.7352941176</v>
      </c>
    </row>
    <row r="538">
      <c r="A538" s="32"/>
      <c r="B538" s="30"/>
      <c r="C538" s="33"/>
      <c r="D538" s="22"/>
      <c r="E538" s="31"/>
      <c r="F538" s="22"/>
      <c r="G538" s="33"/>
      <c r="H538" s="24">
        <v>30.0</v>
      </c>
      <c r="I538" s="24">
        <v>35.0</v>
      </c>
      <c r="J538" s="24">
        <v>36.0</v>
      </c>
      <c r="K538" s="24">
        <f>IF(H538=0,0,CAPITAL!$C$5/H538)
</f>
        <v>5000</v>
      </c>
      <c r="L538" s="24">
        <f>IF(I538=0,0,CAPITAL!$C$6/I538)
</f>
        <v>20000</v>
      </c>
      <c r="M538" s="24">
        <f>IF(J538=0,0,CAPITAL!$C$7/J538)
</f>
        <v>69444.44444</v>
      </c>
      <c r="N538" s="24">
        <f t="shared" si="1"/>
        <v>94444.44444</v>
      </c>
      <c r="O538" s="24">
        <f t="shared" si="2"/>
        <v>0.05294117647</v>
      </c>
      <c r="P538" s="24">
        <f t="shared" si="3"/>
        <v>0.2117647059</v>
      </c>
      <c r="Q538" s="24">
        <f t="shared" si="4"/>
        <v>0.7352941176</v>
      </c>
    </row>
    <row r="539">
      <c r="A539" s="32"/>
      <c r="B539" s="30"/>
      <c r="C539" s="33"/>
      <c r="D539" s="22"/>
      <c r="E539" s="31"/>
      <c r="F539" s="22"/>
      <c r="G539" s="33"/>
      <c r="H539" s="24">
        <v>30.0</v>
      </c>
      <c r="I539" s="24">
        <v>35.0</v>
      </c>
      <c r="J539" s="24">
        <v>36.0</v>
      </c>
      <c r="K539" s="24">
        <f>IF(H539=0,0,CAPITAL!$C$5/H539)
</f>
        <v>5000</v>
      </c>
      <c r="L539" s="24">
        <f>IF(I539=0,0,CAPITAL!$C$6/I539)
</f>
        <v>20000</v>
      </c>
      <c r="M539" s="24">
        <f>IF(J539=0,0,CAPITAL!$C$7/J539)
</f>
        <v>69444.44444</v>
      </c>
      <c r="N539" s="24">
        <f t="shared" si="1"/>
        <v>94444.44444</v>
      </c>
      <c r="O539" s="24">
        <f t="shared" si="2"/>
        <v>0.05294117647</v>
      </c>
      <c r="P539" s="24">
        <f t="shared" si="3"/>
        <v>0.2117647059</v>
      </c>
      <c r="Q539" s="24">
        <f t="shared" si="4"/>
        <v>0.7352941176</v>
      </c>
    </row>
    <row r="540">
      <c r="A540" s="32"/>
      <c r="B540" s="30"/>
      <c r="C540" s="33"/>
      <c r="D540" s="22"/>
      <c r="E540" s="31"/>
      <c r="F540" s="22"/>
      <c r="G540" s="33"/>
      <c r="H540" s="24">
        <v>30.0</v>
      </c>
      <c r="I540" s="24">
        <v>35.0</v>
      </c>
      <c r="J540" s="24">
        <v>36.0</v>
      </c>
      <c r="K540" s="24">
        <f>IF(H540=0,0,CAPITAL!$C$5/H540)
</f>
        <v>5000</v>
      </c>
      <c r="L540" s="24">
        <f>IF(I540=0,0,CAPITAL!$C$6/I540)
</f>
        <v>20000</v>
      </c>
      <c r="M540" s="24">
        <f>IF(J540=0,0,CAPITAL!$C$7/J540)
</f>
        <v>69444.44444</v>
      </c>
      <c r="N540" s="24">
        <f t="shared" si="1"/>
        <v>94444.44444</v>
      </c>
      <c r="O540" s="24">
        <f t="shared" si="2"/>
        <v>0.05294117647</v>
      </c>
      <c r="P540" s="24">
        <f t="shared" si="3"/>
        <v>0.2117647059</v>
      </c>
      <c r="Q540" s="24">
        <f t="shared" si="4"/>
        <v>0.7352941176</v>
      </c>
    </row>
    <row r="541">
      <c r="A541" s="32"/>
      <c r="B541" s="30"/>
      <c r="C541" s="33"/>
      <c r="D541" s="22"/>
      <c r="E541" s="31"/>
      <c r="F541" s="22"/>
      <c r="G541" s="33"/>
      <c r="H541" s="24">
        <v>30.0</v>
      </c>
      <c r="I541" s="24">
        <v>35.0</v>
      </c>
      <c r="J541" s="24">
        <v>36.0</v>
      </c>
      <c r="K541" s="24">
        <f>IF(H541=0,0,CAPITAL!$C$5/H541)
</f>
        <v>5000</v>
      </c>
      <c r="L541" s="24">
        <f>IF(I541=0,0,CAPITAL!$C$6/I541)
</f>
        <v>20000</v>
      </c>
      <c r="M541" s="24">
        <f>IF(J541=0,0,CAPITAL!$C$7/J541)
</f>
        <v>69444.44444</v>
      </c>
      <c r="N541" s="24">
        <f t="shared" si="1"/>
        <v>94444.44444</v>
      </c>
      <c r="O541" s="24">
        <f t="shared" si="2"/>
        <v>0.05294117647</v>
      </c>
      <c r="P541" s="24">
        <f t="shared" si="3"/>
        <v>0.2117647059</v>
      </c>
      <c r="Q541" s="24">
        <f t="shared" si="4"/>
        <v>0.7352941176</v>
      </c>
    </row>
    <row r="542">
      <c r="A542" s="32"/>
      <c r="B542" s="30"/>
      <c r="C542" s="33"/>
      <c r="D542" s="22"/>
      <c r="E542" s="31"/>
      <c r="F542" s="22"/>
      <c r="G542" s="33"/>
      <c r="H542" s="24">
        <v>30.0</v>
      </c>
      <c r="I542" s="24">
        <v>35.0</v>
      </c>
      <c r="J542" s="24">
        <v>36.0</v>
      </c>
      <c r="K542" s="24">
        <f>IF(H542=0,0,CAPITAL!$C$5/H542)
</f>
        <v>5000</v>
      </c>
      <c r="L542" s="24">
        <f>IF(I542=0,0,CAPITAL!$C$6/I542)
</f>
        <v>20000</v>
      </c>
      <c r="M542" s="24">
        <f>IF(J542=0,0,CAPITAL!$C$7/J542)
</f>
        <v>69444.44444</v>
      </c>
      <c r="N542" s="24">
        <f t="shared" si="1"/>
        <v>94444.44444</v>
      </c>
      <c r="O542" s="24">
        <f t="shared" si="2"/>
        <v>0.05294117647</v>
      </c>
      <c r="P542" s="24">
        <f t="shared" si="3"/>
        <v>0.2117647059</v>
      </c>
      <c r="Q542" s="24">
        <f t="shared" si="4"/>
        <v>0.7352941176</v>
      </c>
    </row>
    <row r="543">
      <c r="A543" s="32"/>
      <c r="B543" s="30"/>
      <c r="C543" s="33"/>
      <c r="D543" s="22"/>
      <c r="E543" s="31"/>
      <c r="F543" s="22"/>
      <c r="G543" s="33"/>
      <c r="H543" s="24">
        <v>30.0</v>
      </c>
      <c r="I543" s="24">
        <v>35.0</v>
      </c>
      <c r="J543" s="24">
        <v>36.0</v>
      </c>
      <c r="K543" s="24">
        <f>IF(H543=0,0,CAPITAL!$C$5/H543)
</f>
        <v>5000</v>
      </c>
      <c r="L543" s="24">
        <f>IF(I543=0,0,CAPITAL!$C$6/I543)
</f>
        <v>20000</v>
      </c>
      <c r="M543" s="24">
        <f>IF(J543=0,0,CAPITAL!$C$7/J543)
</f>
        <v>69444.44444</v>
      </c>
      <c r="N543" s="24">
        <f t="shared" si="1"/>
        <v>94444.44444</v>
      </c>
      <c r="O543" s="24">
        <f t="shared" si="2"/>
        <v>0.05294117647</v>
      </c>
      <c r="P543" s="24">
        <f t="shared" si="3"/>
        <v>0.2117647059</v>
      </c>
      <c r="Q543" s="24">
        <f t="shared" si="4"/>
        <v>0.7352941176</v>
      </c>
    </row>
    <row r="544">
      <c r="A544" s="32"/>
      <c r="B544" s="30"/>
      <c r="C544" s="33"/>
      <c r="D544" s="22"/>
      <c r="E544" s="31"/>
      <c r="F544" s="22"/>
      <c r="G544" s="33"/>
      <c r="H544" s="24">
        <v>30.0</v>
      </c>
      <c r="I544" s="24">
        <v>35.0</v>
      </c>
      <c r="J544" s="24">
        <v>36.0</v>
      </c>
      <c r="K544" s="24">
        <f>IF(H544=0,0,CAPITAL!$C$5/H544)
</f>
        <v>5000</v>
      </c>
      <c r="L544" s="24">
        <f>IF(I544=0,0,CAPITAL!$C$6/I544)
</f>
        <v>20000</v>
      </c>
      <c r="M544" s="24">
        <f>IF(J544=0,0,CAPITAL!$C$7/J544)
</f>
        <v>69444.44444</v>
      </c>
      <c r="N544" s="24">
        <f t="shared" si="1"/>
        <v>94444.44444</v>
      </c>
      <c r="O544" s="24">
        <f t="shared" si="2"/>
        <v>0.05294117647</v>
      </c>
      <c r="P544" s="24">
        <f t="shared" si="3"/>
        <v>0.2117647059</v>
      </c>
      <c r="Q544" s="24">
        <f t="shared" si="4"/>
        <v>0.7352941176</v>
      </c>
    </row>
    <row r="545">
      <c r="A545" s="32"/>
      <c r="B545" s="30"/>
      <c r="C545" s="33"/>
      <c r="D545" s="22"/>
      <c r="E545" s="31"/>
      <c r="F545" s="22"/>
      <c r="G545" s="33"/>
      <c r="H545" s="24">
        <v>30.0</v>
      </c>
      <c r="I545" s="24">
        <v>35.0</v>
      </c>
      <c r="J545" s="24">
        <v>36.0</v>
      </c>
      <c r="K545" s="24">
        <f>IF(H545=0,0,CAPITAL!$C$5/H545)
</f>
        <v>5000</v>
      </c>
      <c r="L545" s="24">
        <f>IF(I545=0,0,CAPITAL!$C$6/I545)
</f>
        <v>20000</v>
      </c>
      <c r="M545" s="24">
        <f>IF(J545=0,0,CAPITAL!$C$7/J545)
</f>
        <v>69444.44444</v>
      </c>
      <c r="N545" s="24">
        <f t="shared" si="1"/>
        <v>94444.44444</v>
      </c>
      <c r="O545" s="24">
        <f t="shared" si="2"/>
        <v>0.05294117647</v>
      </c>
      <c r="P545" s="24">
        <f t="shared" si="3"/>
        <v>0.2117647059</v>
      </c>
      <c r="Q545" s="24">
        <f t="shared" si="4"/>
        <v>0.7352941176</v>
      </c>
    </row>
    <row r="546">
      <c r="A546" s="32"/>
      <c r="B546" s="30"/>
      <c r="C546" s="33"/>
      <c r="D546" s="22"/>
      <c r="E546" s="31"/>
      <c r="F546" s="22"/>
      <c r="G546" s="33"/>
      <c r="H546" s="24">
        <v>30.0</v>
      </c>
      <c r="I546" s="24">
        <v>35.0</v>
      </c>
      <c r="J546" s="24">
        <v>36.0</v>
      </c>
      <c r="K546" s="24">
        <f>IF(H546=0,0,CAPITAL!$C$5/H546)
</f>
        <v>5000</v>
      </c>
      <c r="L546" s="24">
        <f>IF(I546=0,0,CAPITAL!$C$6/I546)
</f>
        <v>20000</v>
      </c>
      <c r="M546" s="24">
        <f>IF(J546=0,0,CAPITAL!$C$7/J546)
</f>
        <v>69444.44444</v>
      </c>
      <c r="N546" s="24">
        <f t="shared" si="1"/>
        <v>94444.44444</v>
      </c>
      <c r="O546" s="24">
        <f t="shared" si="2"/>
        <v>0.05294117647</v>
      </c>
      <c r="P546" s="24">
        <f t="shared" si="3"/>
        <v>0.2117647059</v>
      </c>
      <c r="Q546" s="24">
        <f t="shared" si="4"/>
        <v>0.7352941176</v>
      </c>
    </row>
    <row r="547">
      <c r="A547" s="32"/>
      <c r="B547" s="30"/>
      <c r="C547" s="33"/>
      <c r="D547" s="22"/>
      <c r="E547" s="31"/>
      <c r="F547" s="22"/>
      <c r="G547" s="33"/>
      <c r="H547" s="24">
        <v>30.0</v>
      </c>
      <c r="I547" s="24">
        <v>35.0</v>
      </c>
      <c r="J547" s="24">
        <v>36.0</v>
      </c>
      <c r="K547" s="24">
        <f>IF(H547=0,0,CAPITAL!$C$5/H547)
</f>
        <v>5000</v>
      </c>
      <c r="L547" s="24">
        <f>IF(I547=0,0,CAPITAL!$C$6/I547)
</f>
        <v>20000</v>
      </c>
      <c r="M547" s="24">
        <f>IF(J547=0,0,CAPITAL!$C$7/J547)
</f>
        <v>69444.44444</v>
      </c>
      <c r="N547" s="24">
        <f t="shared" si="1"/>
        <v>94444.44444</v>
      </c>
      <c r="O547" s="24">
        <f t="shared" si="2"/>
        <v>0.05294117647</v>
      </c>
      <c r="P547" s="24">
        <f t="shared" si="3"/>
        <v>0.2117647059</v>
      </c>
      <c r="Q547" s="24">
        <f t="shared" si="4"/>
        <v>0.7352941176</v>
      </c>
    </row>
    <row r="548">
      <c r="A548" s="32"/>
      <c r="B548" s="30"/>
      <c r="C548" s="33"/>
      <c r="D548" s="22"/>
      <c r="E548" s="31"/>
      <c r="F548" s="22"/>
      <c r="G548" s="33"/>
      <c r="H548" s="24">
        <v>30.0</v>
      </c>
      <c r="I548" s="24">
        <v>35.0</v>
      </c>
      <c r="J548" s="24">
        <v>36.0</v>
      </c>
      <c r="K548" s="24">
        <f>IF(H548=0,0,CAPITAL!$C$5/H548)
</f>
        <v>5000</v>
      </c>
      <c r="L548" s="24">
        <f>IF(I548=0,0,CAPITAL!$C$6/I548)
</f>
        <v>20000</v>
      </c>
      <c r="M548" s="24">
        <f>IF(J548=0,0,CAPITAL!$C$7/J548)
</f>
        <v>69444.44444</v>
      </c>
      <c r="N548" s="24">
        <f t="shared" si="1"/>
        <v>94444.44444</v>
      </c>
      <c r="O548" s="24">
        <f t="shared" si="2"/>
        <v>0.05294117647</v>
      </c>
      <c r="P548" s="24">
        <f t="shared" si="3"/>
        <v>0.2117647059</v>
      </c>
      <c r="Q548" s="24">
        <f t="shared" si="4"/>
        <v>0.7352941176</v>
      </c>
    </row>
    <row r="549">
      <c r="A549" s="32"/>
      <c r="B549" s="30"/>
      <c r="C549" s="33"/>
      <c r="D549" s="22"/>
      <c r="E549" s="31"/>
      <c r="F549" s="22"/>
      <c r="G549" s="33"/>
      <c r="H549" s="24">
        <v>30.0</v>
      </c>
      <c r="I549" s="24">
        <v>35.0</v>
      </c>
      <c r="J549" s="24">
        <v>36.0</v>
      </c>
      <c r="K549" s="24">
        <f>IF(H549=0,0,CAPITAL!$C$5/H549)
</f>
        <v>5000</v>
      </c>
      <c r="L549" s="24">
        <f>IF(I549=0,0,CAPITAL!$C$6/I549)
</f>
        <v>20000</v>
      </c>
      <c r="M549" s="24">
        <f>IF(J549=0,0,CAPITAL!$C$7/J549)
</f>
        <v>69444.44444</v>
      </c>
      <c r="N549" s="24">
        <f t="shared" si="1"/>
        <v>94444.44444</v>
      </c>
      <c r="O549" s="24">
        <f t="shared" si="2"/>
        <v>0.05294117647</v>
      </c>
      <c r="P549" s="24">
        <f t="shared" si="3"/>
        <v>0.2117647059</v>
      </c>
      <c r="Q549" s="24">
        <f t="shared" si="4"/>
        <v>0.7352941176</v>
      </c>
    </row>
    <row r="550">
      <c r="A550" s="32"/>
      <c r="B550" s="30"/>
      <c r="C550" s="33"/>
      <c r="D550" s="22"/>
      <c r="E550" s="31"/>
      <c r="F550" s="22"/>
      <c r="G550" s="33"/>
      <c r="H550" s="24">
        <v>30.0</v>
      </c>
      <c r="I550" s="24">
        <v>35.0</v>
      </c>
      <c r="J550" s="24">
        <v>36.0</v>
      </c>
      <c r="K550" s="24">
        <f>IF(H550=0,0,CAPITAL!$C$5/H550)
</f>
        <v>5000</v>
      </c>
      <c r="L550" s="24">
        <f>IF(I550=0,0,CAPITAL!$C$6/I550)
</f>
        <v>20000</v>
      </c>
      <c r="M550" s="24">
        <f>IF(J550=0,0,CAPITAL!$C$7/J550)
</f>
        <v>69444.44444</v>
      </c>
      <c r="N550" s="24">
        <f t="shared" si="1"/>
        <v>94444.44444</v>
      </c>
      <c r="O550" s="24">
        <f t="shared" si="2"/>
        <v>0.05294117647</v>
      </c>
      <c r="P550" s="24">
        <f t="shared" si="3"/>
        <v>0.2117647059</v>
      </c>
      <c r="Q550" s="24">
        <f t="shared" si="4"/>
        <v>0.7352941176</v>
      </c>
    </row>
    <row r="551">
      <c r="A551" s="32"/>
      <c r="B551" s="30"/>
      <c r="C551" s="33"/>
      <c r="D551" s="22"/>
      <c r="E551" s="31"/>
      <c r="F551" s="22"/>
      <c r="G551" s="33"/>
      <c r="H551" s="24">
        <v>30.0</v>
      </c>
      <c r="I551" s="24">
        <v>35.0</v>
      </c>
      <c r="J551" s="24">
        <v>36.0</v>
      </c>
      <c r="K551" s="24">
        <f>IF(H551=0,0,CAPITAL!$C$5/H551)
</f>
        <v>5000</v>
      </c>
      <c r="L551" s="24">
        <f>IF(I551=0,0,CAPITAL!$C$6/I551)
</f>
        <v>20000</v>
      </c>
      <c r="M551" s="24">
        <f>IF(J551=0,0,CAPITAL!$C$7/J551)
</f>
        <v>69444.44444</v>
      </c>
      <c r="N551" s="24">
        <f t="shared" si="1"/>
        <v>94444.44444</v>
      </c>
      <c r="O551" s="24">
        <f t="shared" si="2"/>
        <v>0.05294117647</v>
      </c>
      <c r="P551" s="24">
        <f t="shared" si="3"/>
        <v>0.2117647059</v>
      </c>
      <c r="Q551" s="24">
        <f t="shared" si="4"/>
        <v>0.7352941176</v>
      </c>
    </row>
    <row r="552">
      <c r="A552" s="32"/>
      <c r="B552" s="30"/>
      <c r="C552" s="33"/>
      <c r="D552" s="22"/>
      <c r="E552" s="31"/>
      <c r="F552" s="22"/>
      <c r="G552" s="33"/>
      <c r="H552" s="24">
        <v>30.0</v>
      </c>
      <c r="I552" s="24">
        <v>35.0</v>
      </c>
      <c r="J552" s="24">
        <v>36.0</v>
      </c>
      <c r="K552" s="24">
        <f>IF(H552=0,0,CAPITAL!$C$5/H552)
</f>
        <v>5000</v>
      </c>
      <c r="L552" s="24">
        <f>IF(I552=0,0,CAPITAL!$C$6/I552)
</f>
        <v>20000</v>
      </c>
      <c r="M552" s="24">
        <f>IF(J552=0,0,CAPITAL!$C$7/J552)
</f>
        <v>69444.44444</v>
      </c>
      <c r="N552" s="24">
        <f t="shared" si="1"/>
        <v>94444.44444</v>
      </c>
      <c r="O552" s="24">
        <f t="shared" si="2"/>
        <v>0.05294117647</v>
      </c>
      <c r="P552" s="24">
        <f t="shared" si="3"/>
        <v>0.2117647059</v>
      </c>
      <c r="Q552" s="24">
        <f t="shared" si="4"/>
        <v>0.7352941176</v>
      </c>
    </row>
    <row r="553">
      <c r="A553" s="32"/>
      <c r="B553" s="30"/>
      <c r="C553" s="33"/>
      <c r="D553" s="22"/>
      <c r="E553" s="31"/>
      <c r="F553" s="22"/>
      <c r="G553" s="33"/>
      <c r="H553" s="24">
        <v>30.0</v>
      </c>
      <c r="I553" s="24">
        <v>35.0</v>
      </c>
      <c r="J553" s="24">
        <v>36.0</v>
      </c>
      <c r="K553" s="24">
        <f>IF(H553=0,0,CAPITAL!$C$5/H553)
</f>
        <v>5000</v>
      </c>
      <c r="L553" s="24">
        <f>IF(I553=0,0,CAPITAL!$C$6/I553)
</f>
        <v>20000</v>
      </c>
      <c r="M553" s="24">
        <f>IF(J553=0,0,CAPITAL!$C$7/J553)
</f>
        <v>69444.44444</v>
      </c>
      <c r="N553" s="24">
        <f t="shared" si="1"/>
        <v>94444.44444</v>
      </c>
      <c r="O553" s="24">
        <f t="shared" si="2"/>
        <v>0.05294117647</v>
      </c>
      <c r="P553" s="24">
        <f t="shared" si="3"/>
        <v>0.2117647059</v>
      </c>
      <c r="Q553" s="24">
        <f t="shared" si="4"/>
        <v>0.7352941176</v>
      </c>
    </row>
    <row r="554">
      <c r="A554" s="32"/>
      <c r="B554" s="30"/>
      <c r="C554" s="33"/>
      <c r="D554" s="22"/>
      <c r="E554" s="31"/>
      <c r="F554" s="22"/>
      <c r="G554" s="33"/>
      <c r="H554" s="24">
        <v>30.0</v>
      </c>
      <c r="I554" s="24">
        <v>35.0</v>
      </c>
      <c r="J554" s="24">
        <v>36.0</v>
      </c>
      <c r="K554" s="24">
        <f>IF(H554=0,0,CAPITAL!$C$5/H554)
</f>
        <v>5000</v>
      </c>
      <c r="L554" s="24">
        <f>IF(I554=0,0,CAPITAL!$C$6/I554)
</f>
        <v>20000</v>
      </c>
      <c r="M554" s="24">
        <f>IF(J554=0,0,CAPITAL!$C$7/J554)
</f>
        <v>69444.44444</v>
      </c>
      <c r="N554" s="24">
        <f t="shared" si="1"/>
        <v>94444.44444</v>
      </c>
      <c r="O554" s="24">
        <f t="shared" si="2"/>
        <v>0.05294117647</v>
      </c>
      <c r="P554" s="24">
        <f t="shared" si="3"/>
        <v>0.2117647059</v>
      </c>
      <c r="Q554" s="24">
        <f t="shared" si="4"/>
        <v>0.7352941176</v>
      </c>
    </row>
    <row r="555">
      <c r="A555" s="32"/>
      <c r="B555" s="30"/>
      <c r="C555" s="33"/>
      <c r="D555" s="22"/>
      <c r="E555" s="31"/>
      <c r="F555" s="22"/>
      <c r="G555" s="33"/>
      <c r="H555" s="24">
        <v>30.0</v>
      </c>
      <c r="I555" s="24">
        <v>35.0</v>
      </c>
      <c r="J555" s="24">
        <v>36.0</v>
      </c>
      <c r="K555" s="24">
        <f>IF(H555=0,0,CAPITAL!$C$5/H555)
</f>
        <v>5000</v>
      </c>
      <c r="L555" s="24">
        <f>IF(I555=0,0,CAPITAL!$C$6/I555)
</f>
        <v>20000</v>
      </c>
      <c r="M555" s="24">
        <f>IF(J555=0,0,CAPITAL!$C$7/J555)
</f>
        <v>69444.44444</v>
      </c>
      <c r="N555" s="24">
        <f t="shared" si="1"/>
        <v>94444.44444</v>
      </c>
      <c r="O555" s="24">
        <f t="shared" si="2"/>
        <v>0.05294117647</v>
      </c>
      <c r="P555" s="24">
        <f t="shared" si="3"/>
        <v>0.2117647059</v>
      </c>
      <c r="Q555" s="24">
        <f t="shared" si="4"/>
        <v>0.7352941176</v>
      </c>
    </row>
    <row r="556">
      <c r="A556" s="32"/>
      <c r="B556" s="30"/>
      <c r="C556" s="33"/>
      <c r="D556" s="22"/>
      <c r="E556" s="31"/>
      <c r="F556" s="22"/>
      <c r="G556" s="33"/>
      <c r="H556" s="24">
        <v>30.0</v>
      </c>
      <c r="I556" s="24">
        <v>35.0</v>
      </c>
      <c r="J556" s="24">
        <v>36.0</v>
      </c>
      <c r="K556" s="24">
        <f>IF(H556=0,0,CAPITAL!$C$5/H556)
</f>
        <v>5000</v>
      </c>
      <c r="L556" s="24">
        <f>IF(I556=0,0,CAPITAL!$C$6/I556)
</f>
        <v>20000</v>
      </c>
      <c r="M556" s="24">
        <f>IF(J556=0,0,CAPITAL!$C$7/J556)
</f>
        <v>69444.44444</v>
      </c>
      <c r="N556" s="24">
        <f t="shared" si="1"/>
        <v>94444.44444</v>
      </c>
      <c r="O556" s="24">
        <f t="shared" si="2"/>
        <v>0.05294117647</v>
      </c>
      <c r="P556" s="24">
        <f t="shared" si="3"/>
        <v>0.2117647059</v>
      </c>
      <c r="Q556" s="24">
        <f t="shared" si="4"/>
        <v>0.7352941176</v>
      </c>
    </row>
    <row r="557">
      <c r="A557" s="32"/>
      <c r="B557" s="30"/>
      <c r="C557" s="33"/>
      <c r="D557" s="22"/>
      <c r="E557" s="31"/>
      <c r="F557" s="22"/>
      <c r="G557" s="33"/>
      <c r="H557" s="24">
        <v>30.0</v>
      </c>
      <c r="I557" s="24">
        <v>35.0</v>
      </c>
      <c r="J557" s="24">
        <v>36.0</v>
      </c>
      <c r="K557" s="24">
        <f>IF(H557=0,0,CAPITAL!$C$5/H557)
</f>
        <v>5000</v>
      </c>
      <c r="L557" s="24">
        <f>IF(I557=0,0,CAPITAL!$C$6/I557)
</f>
        <v>20000</v>
      </c>
      <c r="M557" s="24">
        <f>IF(J557=0,0,CAPITAL!$C$7/J557)
</f>
        <v>69444.44444</v>
      </c>
      <c r="N557" s="24">
        <f t="shared" si="1"/>
        <v>94444.44444</v>
      </c>
      <c r="O557" s="24">
        <f t="shared" si="2"/>
        <v>0.05294117647</v>
      </c>
      <c r="P557" s="24">
        <f t="shared" si="3"/>
        <v>0.2117647059</v>
      </c>
      <c r="Q557" s="24">
        <f t="shared" si="4"/>
        <v>0.7352941176</v>
      </c>
    </row>
    <row r="558">
      <c r="A558" s="32"/>
      <c r="B558" s="30"/>
      <c r="C558" s="33"/>
      <c r="D558" s="22"/>
      <c r="E558" s="31"/>
      <c r="F558" s="22"/>
      <c r="G558" s="33"/>
      <c r="H558" s="24">
        <v>30.0</v>
      </c>
      <c r="I558" s="24">
        <v>35.0</v>
      </c>
      <c r="J558" s="24">
        <v>36.0</v>
      </c>
      <c r="K558" s="24">
        <f>IF(H558=0,0,CAPITAL!$C$5/H558)
</f>
        <v>5000</v>
      </c>
      <c r="L558" s="24">
        <f>IF(I558=0,0,CAPITAL!$C$6/I558)
</f>
        <v>20000</v>
      </c>
      <c r="M558" s="24">
        <f>IF(J558=0,0,CAPITAL!$C$7/J558)
</f>
        <v>69444.44444</v>
      </c>
      <c r="N558" s="24">
        <f t="shared" si="1"/>
        <v>94444.44444</v>
      </c>
      <c r="O558" s="24">
        <f t="shared" si="2"/>
        <v>0.05294117647</v>
      </c>
      <c r="P558" s="24">
        <f t="shared" si="3"/>
        <v>0.2117647059</v>
      </c>
      <c r="Q558" s="24">
        <f t="shared" si="4"/>
        <v>0.7352941176</v>
      </c>
    </row>
    <row r="559">
      <c r="A559" s="32"/>
      <c r="B559" s="30"/>
      <c r="C559" s="33"/>
      <c r="D559" s="22"/>
      <c r="E559" s="31"/>
      <c r="F559" s="22"/>
      <c r="G559" s="33"/>
      <c r="H559" s="24">
        <v>30.0</v>
      </c>
      <c r="I559" s="24">
        <v>35.0</v>
      </c>
      <c r="J559" s="24">
        <v>36.0</v>
      </c>
      <c r="K559" s="24">
        <f>IF(H559=0,0,CAPITAL!$C$5/H559)
</f>
        <v>5000</v>
      </c>
      <c r="L559" s="24">
        <f>IF(I559=0,0,CAPITAL!$C$6/I559)
</f>
        <v>20000</v>
      </c>
      <c r="M559" s="24">
        <f>IF(J559=0,0,CAPITAL!$C$7/J559)
</f>
        <v>69444.44444</v>
      </c>
      <c r="N559" s="24">
        <f t="shared" si="1"/>
        <v>94444.44444</v>
      </c>
      <c r="O559" s="24">
        <f t="shared" si="2"/>
        <v>0.05294117647</v>
      </c>
      <c r="P559" s="24">
        <f t="shared" si="3"/>
        <v>0.2117647059</v>
      </c>
      <c r="Q559" s="24">
        <f t="shared" si="4"/>
        <v>0.7352941176</v>
      </c>
    </row>
    <row r="560">
      <c r="A560" s="32"/>
      <c r="B560" s="30"/>
      <c r="C560" s="33"/>
      <c r="D560" s="22"/>
      <c r="E560" s="31"/>
      <c r="F560" s="22"/>
      <c r="G560" s="33"/>
      <c r="H560" s="24">
        <v>30.0</v>
      </c>
      <c r="I560" s="24">
        <v>35.0</v>
      </c>
      <c r="J560" s="24">
        <v>36.0</v>
      </c>
      <c r="K560" s="24">
        <f>IF(H560=0,0,CAPITAL!$C$5/H560)
</f>
        <v>5000</v>
      </c>
      <c r="L560" s="24">
        <f>IF(I560=0,0,CAPITAL!$C$6/I560)
</f>
        <v>20000</v>
      </c>
      <c r="M560" s="24">
        <f>IF(J560=0,0,CAPITAL!$C$7/J560)
</f>
        <v>69444.44444</v>
      </c>
      <c r="N560" s="24">
        <f t="shared" si="1"/>
        <v>94444.44444</v>
      </c>
      <c r="O560" s="24">
        <f t="shared" si="2"/>
        <v>0.05294117647</v>
      </c>
      <c r="P560" s="24">
        <f t="shared" si="3"/>
        <v>0.2117647059</v>
      </c>
      <c r="Q560" s="24">
        <f t="shared" si="4"/>
        <v>0.7352941176</v>
      </c>
    </row>
    <row r="561">
      <c r="A561" s="32"/>
      <c r="B561" s="30"/>
      <c r="C561" s="33"/>
      <c r="D561" s="22"/>
      <c r="E561" s="31"/>
      <c r="F561" s="22"/>
      <c r="G561" s="33"/>
      <c r="H561" s="24">
        <v>30.0</v>
      </c>
      <c r="I561" s="24">
        <v>35.0</v>
      </c>
      <c r="J561" s="24">
        <v>36.0</v>
      </c>
      <c r="K561" s="24">
        <f>IF(H561=0,0,CAPITAL!$C$5/H561)
</f>
        <v>5000</v>
      </c>
      <c r="L561" s="24">
        <f>IF(I561=0,0,CAPITAL!$C$6/I561)
</f>
        <v>20000</v>
      </c>
      <c r="M561" s="24">
        <f>IF(J561=0,0,CAPITAL!$C$7/J561)
</f>
        <v>69444.44444</v>
      </c>
      <c r="N561" s="24">
        <f t="shared" si="1"/>
        <v>94444.44444</v>
      </c>
      <c r="O561" s="24">
        <f t="shared" si="2"/>
        <v>0.05294117647</v>
      </c>
      <c r="P561" s="24">
        <f t="shared" si="3"/>
        <v>0.2117647059</v>
      </c>
      <c r="Q561" s="24">
        <f t="shared" si="4"/>
        <v>0.7352941176</v>
      </c>
    </row>
    <row r="562">
      <c r="A562" s="32"/>
      <c r="B562" s="30"/>
      <c r="C562" s="33"/>
      <c r="D562" s="22"/>
      <c r="E562" s="31"/>
      <c r="F562" s="22"/>
      <c r="G562" s="33"/>
      <c r="H562" s="24">
        <v>30.0</v>
      </c>
      <c r="I562" s="24">
        <v>35.0</v>
      </c>
      <c r="J562" s="24">
        <v>36.0</v>
      </c>
      <c r="K562" s="24">
        <f>IF(H562=0,0,CAPITAL!$C$5/H562)
</f>
        <v>5000</v>
      </c>
      <c r="L562" s="24">
        <f>IF(I562=0,0,CAPITAL!$C$6/I562)
</f>
        <v>20000</v>
      </c>
      <c r="M562" s="24">
        <f>IF(J562=0,0,CAPITAL!$C$7/J562)
</f>
        <v>69444.44444</v>
      </c>
      <c r="N562" s="24">
        <f t="shared" si="1"/>
        <v>94444.44444</v>
      </c>
      <c r="O562" s="24">
        <f t="shared" si="2"/>
        <v>0.05294117647</v>
      </c>
      <c r="P562" s="24">
        <f t="shared" si="3"/>
        <v>0.2117647059</v>
      </c>
      <c r="Q562" s="24">
        <f t="shared" si="4"/>
        <v>0.7352941176</v>
      </c>
    </row>
    <row r="563">
      <c r="A563" s="32"/>
      <c r="B563" s="30"/>
      <c r="C563" s="33"/>
      <c r="D563" s="22"/>
      <c r="E563" s="31"/>
      <c r="F563" s="22"/>
      <c r="G563" s="33"/>
      <c r="H563" s="24">
        <v>30.0</v>
      </c>
      <c r="I563" s="24">
        <v>35.0</v>
      </c>
      <c r="J563" s="24">
        <v>36.0</v>
      </c>
      <c r="K563" s="24">
        <f>IF(H563=0,0,CAPITAL!$C$5/H563)
</f>
        <v>5000</v>
      </c>
      <c r="L563" s="24">
        <f>IF(I563=0,0,CAPITAL!$C$6/I563)
</f>
        <v>20000</v>
      </c>
      <c r="M563" s="24">
        <f>IF(J563=0,0,CAPITAL!$C$7/J563)
</f>
        <v>69444.44444</v>
      </c>
      <c r="N563" s="24">
        <f t="shared" si="1"/>
        <v>94444.44444</v>
      </c>
      <c r="O563" s="24">
        <f t="shared" si="2"/>
        <v>0.05294117647</v>
      </c>
      <c r="P563" s="24">
        <f t="shared" si="3"/>
        <v>0.2117647059</v>
      </c>
      <c r="Q563" s="24">
        <f t="shared" si="4"/>
        <v>0.7352941176</v>
      </c>
    </row>
    <row r="564">
      <c r="A564" s="32"/>
      <c r="B564" s="30"/>
      <c r="C564" s="33"/>
      <c r="D564" s="22"/>
      <c r="E564" s="31"/>
      <c r="F564" s="22"/>
      <c r="G564" s="33"/>
      <c r="H564" s="24">
        <v>30.0</v>
      </c>
      <c r="I564" s="24">
        <v>35.0</v>
      </c>
      <c r="J564" s="24">
        <v>36.0</v>
      </c>
      <c r="K564" s="24">
        <f>IF(H564=0,0,CAPITAL!$C$5/H564)
</f>
        <v>5000</v>
      </c>
      <c r="L564" s="24">
        <f>IF(I564=0,0,CAPITAL!$C$6/I564)
</f>
        <v>20000</v>
      </c>
      <c r="M564" s="24">
        <f>IF(J564=0,0,CAPITAL!$C$7/J564)
</f>
        <v>69444.44444</v>
      </c>
      <c r="N564" s="24">
        <f t="shared" si="1"/>
        <v>94444.44444</v>
      </c>
      <c r="O564" s="24">
        <f t="shared" si="2"/>
        <v>0.05294117647</v>
      </c>
      <c r="P564" s="24">
        <f t="shared" si="3"/>
        <v>0.2117647059</v>
      </c>
      <c r="Q564" s="24">
        <f t="shared" si="4"/>
        <v>0.7352941176</v>
      </c>
    </row>
    <row r="565">
      <c r="A565" s="32"/>
      <c r="B565" s="30"/>
      <c r="C565" s="33"/>
      <c r="D565" s="22"/>
      <c r="E565" s="31"/>
      <c r="F565" s="22"/>
      <c r="G565" s="33"/>
      <c r="H565" s="24">
        <v>30.0</v>
      </c>
      <c r="I565" s="24">
        <v>35.0</v>
      </c>
      <c r="J565" s="24">
        <v>36.0</v>
      </c>
      <c r="K565" s="24">
        <f>IF(H565=0,0,CAPITAL!$C$5/H565)
</f>
        <v>5000</v>
      </c>
      <c r="L565" s="24">
        <f>IF(I565=0,0,CAPITAL!$C$6/I565)
</f>
        <v>20000</v>
      </c>
      <c r="M565" s="24">
        <f>IF(J565=0,0,CAPITAL!$C$7/J565)
</f>
        <v>69444.44444</v>
      </c>
      <c r="N565" s="24">
        <f t="shared" si="1"/>
        <v>94444.44444</v>
      </c>
      <c r="O565" s="24">
        <f t="shared" si="2"/>
        <v>0.05294117647</v>
      </c>
      <c r="P565" s="24">
        <f t="shared" si="3"/>
        <v>0.2117647059</v>
      </c>
      <c r="Q565" s="24">
        <f t="shared" si="4"/>
        <v>0.7352941176</v>
      </c>
    </row>
    <row r="566">
      <c r="A566" s="32"/>
      <c r="B566" s="30"/>
      <c r="C566" s="33"/>
      <c r="D566" s="22"/>
      <c r="E566" s="31"/>
      <c r="F566" s="22"/>
      <c r="G566" s="33"/>
      <c r="H566" s="24">
        <v>30.0</v>
      </c>
      <c r="I566" s="24">
        <v>35.0</v>
      </c>
      <c r="J566" s="24">
        <v>36.0</v>
      </c>
      <c r="K566" s="24">
        <f>IF(H566=0,0,CAPITAL!$C$5/H566)
</f>
        <v>5000</v>
      </c>
      <c r="L566" s="24">
        <f>IF(I566=0,0,CAPITAL!$C$6/I566)
</f>
        <v>20000</v>
      </c>
      <c r="M566" s="24">
        <f>IF(J566=0,0,CAPITAL!$C$7/J566)
</f>
        <v>69444.44444</v>
      </c>
      <c r="N566" s="24">
        <f t="shared" si="1"/>
        <v>94444.44444</v>
      </c>
      <c r="O566" s="24">
        <f t="shared" si="2"/>
        <v>0.05294117647</v>
      </c>
      <c r="P566" s="24">
        <f t="shared" si="3"/>
        <v>0.2117647059</v>
      </c>
      <c r="Q566" s="24">
        <f t="shared" si="4"/>
        <v>0.7352941176</v>
      </c>
    </row>
    <row r="567">
      <c r="A567" s="32"/>
      <c r="B567" s="30"/>
      <c r="C567" s="33"/>
      <c r="D567" s="22"/>
      <c r="E567" s="31"/>
      <c r="F567" s="22"/>
      <c r="G567" s="33"/>
      <c r="H567" s="24">
        <v>30.0</v>
      </c>
      <c r="I567" s="24">
        <v>35.0</v>
      </c>
      <c r="J567" s="24">
        <v>36.0</v>
      </c>
      <c r="K567" s="24">
        <f>IF(H567=0,0,CAPITAL!$C$5/H567)
</f>
        <v>5000</v>
      </c>
      <c r="L567" s="24">
        <f>IF(I567=0,0,CAPITAL!$C$6/I567)
</f>
        <v>20000</v>
      </c>
      <c r="M567" s="24">
        <f>IF(J567=0,0,CAPITAL!$C$7/J567)
</f>
        <v>69444.44444</v>
      </c>
      <c r="N567" s="24">
        <f t="shared" si="1"/>
        <v>94444.44444</v>
      </c>
      <c r="O567" s="24">
        <f t="shared" si="2"/>
        <v>0.05294117647</v>
      </c>
      <c r="P567" s="24">
        <f t="shared" si="3"/>
        <v>0.2117647059</v>
      </c>
      <c r="Q567" s="24">
        <f t="shared" si="4"/>
        <v>0.7352941176</v>
      </c>
    </row>
    <row r="568">
      <c r="A568" s="32"/>
      <c r="B568" s="30"/>
      <c r="C568" s="33"/>
      <c r="D568" s="22"/>
      <c r="E568" s="31"/>
      <c r="F568" s="22"/>
      <c r="G568" s="33"/>
      <c r="H568" s="24">
        <v>30.0</v>
      </c>
      <c r="I568" s="24">
        <v>35.0</v>
      </c>
      <c r="J568" s="24">
        <v>36.0</v>
      </c>
      <c r="K568" s="24">
        <f>IF(H568=0,0,CAPITAL!$C$5/H568)
</f>
        <v>5000</v>
      </c>
      <c r="L568" s="24">
        <f>IF(I568=0,0,CAPITAL!$C$6/I568)
</f>
        <v>20000</v>
      </c>
      <c r="M568" s="24">
        <f>IF(J568=0,0,CAPITAL!$C$7/J568)
</f>
        <v>69444.44444</v>
      </c>
      <c r="N568" s="24">
        <f t="shared" si="1"/>
        <v>94444.44444</v>
      </c>
      <c r="O568" s="24">
        <f t="shared" si="2"/>
        <v>0.05294117647</v>
      </c>
      <c r="P568" s="24">
        <f t="shared" si="3"/>
        <v>0.2117647059</v>
      </c>
      <c r="Q568" s="24">
        <f t="shared" si="4"/>
        <v>0.7352941176</v>
      </c>
    </row>
    <row r="569">
      <c r="A569" s="32"/>
      <c r="B569" s="30"/>
      <c r="C569" s="33"/>
      <c r="D569" s="22"/>
      <c r="E569" s="31"/>
      <c r="F569" s="22"/>
      <c r="G569" s="33"/>
      <c r="H569" s="24">
        <v>30.0</v>
      </c>
      <c r="I569" s="24">
        <v>35.0</v>
      </c>
      <c r="J569" s="24">
        <v>36.0</v>
      </c>
      <c r="K569" s="24">
        <f>IF(H569=0,0,CAPITAL!$C$5/H569)
</f>
        <v>5000</v>
      </c>
      <c r="L569" s="24">
        <f>IF(I569=0,0,CAPITAL!$C$6/I569)
</f>
        <v>20000</v>
      </c>
      <c r="M569" s="24">
        <f>IF(J569=0,0,CAPITAL!$C$7/J569)
</f>
        <v>69444.44444</v>
      </c>
      <c r="N569" s="24">
        <f t="shared" si="1"/>
        <v>94444.44444</v>
      </c>
      <c r="O569" s="24">
        <f t="shared" si="2"/>
        <v>0.05294117647</v>
      </c>
      <c r="P569" s="24">
        <f t="shared" si="3"/>
        <v>0.2117647059</v>
      </c>
      <c r="Q569" s="24">
        <f t="shared" si="4"/>
        <v>0.7352941176</v>
      </c>
    </row>
    <row r="570">
      <c r="A570" s="32"/>
      <c r="B570" s="30"/>
      <c r="C570" s="33"/>
      <c r="D570" s="22"/>
      <c r="E570" s="31"/>
      <c r="F570" s="22"/>
      <c r="G570" s="33"/>
      <c r="H570" s="24">
        <v>30.0</v>
      </c>
      <c r="I570" s="24">
        <v>35.0</v>
      </c>
      <c r="J570" s="24">
        <v>36.0</v>
      </c>
      <c r="K570" s="24">
        <f>IF(H570=0,0,CAPITAL!$C$5/H570)
</f>
        <v>5000</v>
      </c>
      <c r="L570" s="24">
        <f>IF(I570=0,0,CAPITAL!$C$6/I570)
</f>
        <v>20000</v>
      </c>
      <c r="M570" s="24">
        <f>IF(J570=0,0,CAPITAL!$C$7/J570)
</f>
        <v>69444.44444</v>
      </c>
      <c r="N570" s="24">
        <f t="shared" si="1"/>
        <v>94444.44444</v>
      </c>
      <c r="O570" s="24">
        <f t="shared" si="2"/>
        <v>0.05294117647</v>
      </c>
      <c r="P570" s="24">
        <f t="shared" si="3"/>
        <v>0.2117647059</v>
      </c>
      <c r="Q570" s="24">
        <f t="shared" si="4"/>
        <v>0.7352941176</v>
      </c>
    </row>
    <row r="571">
      <c r="A571" s="32"/>
      <c r="B571" s="30"/>
      <c r="C571" s="33"/>
      <c r="D571" s="22"/>
      <c r="E571" s="31"/>
      <c r="F571" s="22"/>
      <c r="G571" s="33"/>
      <c r="H571" s="24">
        <v>30.0</v>
      </c>
      <c r="I571" s="24">
        <v>35.0</v>
      </c>
      <c r="J571" s="24">
        <v>36.0</v>
      </c>
      <c r="K571" s="24">
        <f>IF(H571=0,0,CAPITAL!$C$5/H571)
</f>
        <v>5000</v>
      </c>
      <c r="L571" s="24">
        <f>IF(I571=0,0,CAPITAL!$C$6/I571)
</f>
        <v>20000</v>
      </c>
      <c r="M571" s="24">
        <f>IF(J571=0,0,CAPITAL!$C$7/J571)
</f>
        <v>69444.44444</v>
      </c>
      <c r="N571" s="24">
        <f t="shared" si="1"/>
        <v>94444.44444</v>
      </c>
      <c r="O571" s="24">
        <f t="shared" si="2"/>
        <v>0.05294117647</v>
      </c>
      <c r="P571" s="24">
        <f t="shared" si="3"/>
        <v>0.2117647059</v>
      </c>
      <c r="Q571" s="24">
        <f t="shared" si="4"/>
        <v>0.7352941176</v>
      </c>
    </row>
    <row r="572">
      <c r="A572" s="32"/>
      <c r="B572" s="30"/>
      <c r="C572" s="33"/>
      <c r="D572" s="22"/>
      <c r="E572" s="31"/>
      <c r="F572" s="22"/>
      <c r="G572" s="33"/>
      <c r="H572" s="24">
        <v>30.0</v>
      </c>
      <c r="I572" s="24">
        <v>35.0</v>
      </c>
      <c r="J572" s="24">
        <v>36.0</v>
      </c>
      <c r="K572" s="24">
        <f>IF(H572=0,0,CAPITAL!$C$5/H572)
</f>
        <v>5000</v>
      </c>
      <c r="L572" s="24">
        <f>IF(I572=0,0,CAPITAL!$C$6/I572)
</f>
        <v>20000</v>
      </c>
      <c r="M572" s="24">
        <f>IF(J572=0,0,CAPITAL!$C$7/J572)
</f>
        <v>69444.44444</v>
      </c>
      <c r="N572" s="24">
        <f t="shared" si="1"/>
        <v>94444.44444</v>
      </c>
      <c r="O572" s="24">
        <f t="shared" si="2"/>
        <v>0.05294117647</v>
      </c>
      <c r="P572" s="24">
        <f t="shared" si="3"/>
        <v>0.2117647059</v>
      </c>
      <c r="Q572" s="24">
        <f t="shared" si="4"/>
        <v>0.7352941176</v>
      </c>
    </row>
    <row r="573">
      <c r="A573" s="32"/>
      <c r="B573" s="30"/>
      <c r="C573" s="33"/>
      <c r="D573" s="22"/>
      <c r="E573" s="31"/>
      <c r="F573" s="22"/>
      <c r="G573" s="33"/>
      <c r="H573" s="24">
        <v>30.0</v>
      </c>
      <c r="I573" s="24">
        <v>35.0</v>
      </c>
      <c r="J573" s="24">
        <v>36.0</v>
      </c>
      <c r="K573" s="24">
        <f>IF(H573=0,0,CAPITAL!$C$5/H573)
</f>
        <v>5000</v>
      </c>
      <c r="L573" s="24">
        <f>IF(I573=0,0,CAPITAL!$C$6/I573)
</f>
        <v>20000</v>
      </c>
      <c r="M573" s="24">
        <f>IF(J573=0,0,CAPITAL!$C$7/J573)
</f>
        <v>69444.44444</v>
      </c>
      <c r="N573" s="24">
        <f t="shared" si="1"/>
        <v>94444.44444</v>
      </c>
      <c r="O573" s="24">
        <f t="shared" si="2"/>
        <v>0.05294117647</v>
      </c>
      <c r="P573" s="24">
        <f t="shared" si="3"/>
        <v>0.2117647059</v>
      </c>
      <c r="Q573" s="24">
        <f t="shared" si="4"/>
        <v>0.7352941176</v>
      </c>
    </row>
    <row r="574">
      <c r="A574" s="32"/>
      <c r="B574" s="30"/>
      <c r="C574" s="33"/>
      <c r="D574" s="22"/>
      <c r="E574" s="31"/>
      <c r="F574" s="22"/>
      <c r="G574" s="33"/>
      <c r="H574" s="24">
        <v>30.0</v>
      </c>
      <c r="I574" s="24">
        <v>35.0</v>
      </c>
      <c r="J574" s="24">
        <v>36.0</v>
      </c>
      <c r="K574" s="24">
        <f>IF(H574=0,0,CAPITAL!$C$5/H574)
</f>
        <v>5000</v>
      </c>
      <c r="L574" s="24">
        <f>IF(I574=0,0,CAPITAL!$C$6/I574)
</f>
        <v>20000</v>
      </c>
      <c r="M574" s="24">
        <f>IF(J574=0,0,CAPITAL!$C$7/J574)
</f>
        <v>69444.44444</v>
      </c>
      <c r="N574" s="24">
        <f t="shared" si="1"/>
        <v>94444.44444</v>
      </c>
      <c r="O574" s="24">
        <f t="shared" si="2"/>
        <v>0.05294117647</v>
      </c>
      <c r="P574" s="24">
        <f t="shared" si="3"/>
        <v>0.2117647059</v>
      </c>
      <c r="Q574" s="24">
        <f t="shared" si="4"/>
        <v>0.7352941176</v>
      </c>
    </row>
    <row r="575">
      <c r="A575" s="32"/>
      <c r="B575" s="30"/>
      <c r="C575" s="33"/>
      <c r="D575" s="22"/>
      <c r="E575" s="31"/>
      <c r="F575" s="22"/>
      <c r="G575" s="33"/>
      <c r="H575" s="24">
        <v>30.0</v>
      </c>
      <c r="I575" s="24">
        <v>35.0</v>
      </c>
      <c r="J575" s="24">
        <v>36.0</v>
      </c>
      <c r="K575" s="24">
        <f>IF(H575=0,0,CAPITAL!$C$5/H575)
</f>
        <v>5000</v>
      </c>
      <c r="L575" s="24">
        <f>IF(I575=0,0,CAPITAL!$C$6/I575)
</f>
        <v>20000</v>
      </c>
      <c r="M575" s="24">
        <f>IF(J575=0,0,CAPITAL!$C$7/J575)
</f>
        <v>69444.44444</v>
      </c>
      <c r="N575" s="24">
        <f t="shared" si="1"/>
        <v>94444.44444</v>
      </c>
      <c r="O575" s="24">
        <f t="shared" si="2"/>
        <v>0.05294117647</v>
      </c>
      <c r="P575" s="24">
        <f t="shared" si="3"/>
        <v>0.2117647059</v>
      </c>
      <c r="Q575" s="24">
        <f t="shared" si="4"/>
        <v>0.7352941176</v>
      </c>
    </row>
    <row r="576">
      <c r="A576" s="32"/>
      <c r="B576" s="30"/>
      <c r="C576" s="33"/>
      <c r="D576" s="22"/>
      <c r="E576" s="31"/>
      <c r="F576" s="22"/>
      <c r="G576" s="33"/>
      <c r="H576" s="24">
        <v>30.0</v>
      </c>
      <c r="I576" s="24">
        <v>35.0</v>
      </c>
      <c r="J576" s="24">
        <v>36.0</v>
      </c>
      <c r="K576" s="24">
        <f>IF(H576=0,0,CAPITAL!$C$5/H576)
</f>
        <v>5000</v>
      </c>
      <c r="L576" s="24">
        <f>IF(I576=0,0,CAPITAL!$C$6/I576)
</f>
        <v>20000</v>
      </c>
      <c r="M576" s="24">
        <f>IF(J576=0,0,CAPITAL!$C$7/J576)
</f>
        <v>69444.44444</v>
      </c>
      <c r="N576" s="24">
        <f t="shared" si="1"/>
        <v>94444.44444</v>
      </c>
      <c r="O576" s="24">
        <f t="shared" si="2"/>
        <v>0.05294117647</v>
      </c>
      <c r="P576" s="24">
        <f t="shared" si="3"/>
        <v>0.2117647059</v>
      </c>
      <c r="Q576" s="24">
        <f t="shared" si="4"/>
        <v>0.7352941176</v>
      </c>
    </row>
    <row r="577">
      <c r="A577" s="32"/>
      <c r="B577" s="30"/>
      <c r="C577" s="33"/>
      <c r="D577" s="22"/>
      <c r="E577" s="31"/>
      <c r="F577" s="22"/>
      <c r="G577" s="33"/>
      <c r="H577" s="24">
        <v>30.0</v>
      </c>
      <c r="I577" s="24">
        <v>35.0</v>
      </c>
      <c r="J577" s="24">
        <v>36.0</v>
      </c>
      <c r="K577" s="24">
        <f>IF(H577=0,0,CAPITAL!$C$5/H577)
</f>
        <v>5000</v>
      </c>
      <c r="L577" s="24">
        <f>IF(I577=0,0,CAPITAL!$C$6/I577)
</f>
        <v>20000</v>
      </c>
      <c r="M577" s="24">
        <f>IF(J577=0,0,CAPITAL!$C$7/J577)
</f>
        <v>69444.44444</v>
      </c>
      <c r="N577" s="24">
        <f t="shared" si="1"/>
        <v>94444.44444</v>
      </c>
      <c r="O577" s="24">
        <f t="shared" si="2"/>
        <v>0.05294117647</v>
      </c>
      <c r="P577" s="24">
        <f t="shared" si="3"/>
        <v>0.2117647059</v>
      </c>
      <c r="Q577" s="24">
        <f t="shared" si="4"/>
        <v>0.7352941176</v>
      </c>
    </row>
    <row r="578">
      <c r="A578" s="32"/>
      <c r="B578" s="30"/>
      <c r="C578" s="33"/>
      <c r="D578" s="22"/>
      <c r="E578" s="31"/>
      <c r="F578" s="22"/>
      <c r="G578" s="33"/>
      <c r="H578" s="24">
        <v>30.0</v>
      </c>
      <c r="I578" s="24">
        <v>35.0</v>
      </c>
      <c r="J578" s="24">
        <v>36.0</v>
      </c>
      <c r="K578" s="24">
        <f>IF(H578=0,0,CAPITAL!$C$5/H578)
</f>
        <v>5000</v>
      </c>
      <c r="L578" s="24">
        <f>IF(I578=0,0,CAPITAL!$C$6/I578)
</f>
        <v>20000</v>
      </c>
      <c r="M578" s="24">
        <f>IF(J578=0,0,CAPITAL!$C$7/J578)
</f>
        <v>69444.44444</v>
      </c>
      <c r="N578" s="24">
        <f t="shared" si="1"/>
        <v>94444.44444</v>
      </c>
      <c r="O578" s="24">
        <f t="shared" si="2"/>
        <v>0.05294117647</v>
      </c>
      <c r="P578" s="24">
        <f t="shared" si="3"/>
        <v>0.2117647059</v>
      </c>
      <c r="Q578" s="24">
        <f t="shared" si="4"/>
        <v>0.7352941176</v>
      </c>
    </row>
    <row r="579">
      <c r="A579" s="32"/>
      <c r="B579" s="30"/>
      <c r="C579" s="33"/>
      <c r="D579" s="22"/>
      <c r="E579" s="31"/>
      <c r="F579" s="22"/>
      <c r="G579" s="33"/>
      <c r="H579" s="24">
        <v>30.0</v>
      </c>
      <c r="I579" s="24">
        <v>35.0</v>
      </c>
      <c r="J579" s="24">
        <v>36.0</v>
      </c>
      <c r="K579" s="24">
        <f>IF(H579=0,0,CAPITAL!$C$5/H579)
</f>
        <v>5000</v>
      </c>
      <c r="L579" s="24">
        <f>IF(I579=0,0,CAPITAL!$C$6/I579)
</f>
        <v>20000</v>
      </c>
      <c r="M579" s="24">
        <f>IF(J579=0,0,CAPITAL!$C$7/J579)
</f>
        <v>69444.44444</v>
      </c>
      <c r="N579" s="24">
        <f t="shared" si="1"/>
        <v>94444.44444</v>
      </c>
      <c r="O579" s="24">
        <f t="shared" si="2"/>
        <v>0.05294117647</v>
      </c>
      <c r="P579" s="24">
        <f t="shared" si="3"/>
        <v>0.2117647059</v>
      </c>
      <c r="Q579" s="24">
        <f t="shared" si="4"/>
        <v>0.7352941176</v>
      </c>
    </row>
    <row r="580">
      <c r="A580" s="32"/>
      <c r="B580" s="30"/>
      <c r="C580" s="33"/>
      <c r="D580" s="22"/>
      <c r="E580" s="31"/>
      <c r="F580" s="22"/>
      <c r="G580" s="33"/>
      <c r="H580" s="24">
        <v>30.0</v>
      </c>
      <c r="I580" s="24">
        <v>35.0</v>
      </c>
      <c r="J580" s="24">
        <v>36.0</v>
      </c>
      <c r="K580" s="24">
        <f>IF(H580=0,0,CAPITAL!$C$5/H580)
</f>
        <v>5000</v>
      </c>
      <c r="L580" s="24">
        <f>IF(I580=0,0,CAPITAL!$C$6/I580)
</f>
        <v>20000</v>
      </c>
      <c r="M580" s="24">
        <f>IF(J580=0,0,CAPITAL!$C$7/J580)
</f>
        <v>69444.44444</v>
      </c>
      <c r="N580" s="24">
        <f t="shared" si="1"/>
        <v>94444.44444</v>
      </c>
      <c r="O580" s="24">
        <f t="shared" si="2"/>
        <v>0.05294117647</v>
      </c>
      <c r="P580" s="24">
        <f t="shared" si="3"/>
        <v>0.2117647059</v>
      </c>
      <c r="Q580" s="24">
        <f t="shared" si="4"/>
        <v>0.7352941176</v>
      </c>
    </row>
    <row r="581">
      <c r="A581" s="32"/>
      <c r="B581" s="30"/>
      <c r="C581" s="33"/>
      <c r="D581" s="22"/>
      <c r="E581" s="31"/>
      <c r="F581" s="22"/>
      <c r="G581" s="33"/>
      <c r="H581" s="24">
        <v>30.0</v>
      </c>
      <c r="I581" s="24">
        <v>35.0</v>
      </c>
      <c r="J581" s="24">
        <v>36.0</v>
      </c>
      <c r="K581" s="24">
        <f>IF(H581=0,0,CAPITAL!$C$5/H581)
</f>
        <v>5000</v>
      </c>
      <c r="L581" s="24">
        <f>IF(I581=0,0,CAPITAL!$C$6/I581)
</f>
        <v>20000</v>
      </c>
      <c r="M581" s="24">
        <f>IF(J581=0,0,CAPITAL!$C$7/J581)
</f>
        <v>69444.44444</v>
      </c>
      <c r="N581" s="24">
        <f t="shared" si="1"/>
        <v>94444.44444</v>
      </c>
      <c r="O581" s="24">
        <f t="shared" si="2"/>
        <v>0.05294117647</v>
      </c>
      <c r="P581" s="24">
        <f t="shared" si="3"/>
        <v>0.2117647059</v>
      </c>
      <c r="Q581" s="24">
        <f t="shared" si="4"/>
        <v>0.7352941176</v>
      </c>
    </row>
    <row r="582">
      <c r="A582" s="32"/>
      <c r="B582" s="30"/>
      <c r="C582" s="33"/>
      <c r="D582" s="22"/>
      <c r="E582" s="31"/>
      <c r="F582" s="22"/>
      <c r="G582" s="33"/>
      <c r="H582" s="24">
        <v>30.0</v>
      </c>
      <c r="I582" s="24">
        <v>35.0</v>
      </c>
      <c r="J582" s="24">
        <v>36.0</v>
      </c>
      <c r="K582" s="24">
        <f>IF(H582=0,0,CAPITAL!$C$5/H582)
</f>
        <v>5000</v>
      </c>
      <c r="L582" s="24">
        <f>IF(I582=0,0,CAPITAL!$C$6/I582)
</f>
        <v>20000</v>
      </c>
      <c r="M582" s="24">
        <f>IF(J582=0,0,CAPITAL!$C$7/J582)
</f>
        <v>69444.44444</v>
      </c>
      <c r="N582" s="24">
        <f t="shared" si="1"/>
        <v>94444.44444</v>
      </c>
      <c r="O582" s="24">
        <f t="shared" si="2"/>
        <v>0.05294117647</v>
      </c>
      <c r="P582" s="24">
        <f t="shared" si="3"/>
        <v>0.2117647059</v>
      </c>
      <c r="Q582" s="24">
        <f t="shared" si="4"/>
        <v>0.7352941176</v>
      </c>
    </row>
    <row r="583">
      <c r="A583" s="32"/>
      <c r="B583" s="30"/>
      <c r="C583" s="33"/>
      <c r="D583" s="22"/>
      <c r="E583" s="31"/>
      <c r="F583" s="22"/>
      <c r="G583" s="33"/>
      <c r="H583" s="24">
        <v>30.0</v>
      </c>
      <c r="I583" s="24">
        <v>35.0</v>
      </c>
      <c r="J583" s="24">
        <v>36.0</v>
      </c>
      <c r="K583" s="24">
        <f>IF(H583=0,0,CAPITAL!$C$5/H583)
</f>
        <v>5000</v>
      </c>
      <c r="L583" s="24">
        <f>IF(I583=0,0,CAPITAL!$C$6/I583)
</f>
        <v>20000</v>
      </c>
      <c r="M583" s="24">
        <f>IF(J583=0,0,CAPITAL!$C$7/J583)
</f>
        <v>69444.44444</v>
      </c>
      <c r="N583" s="24">
        <f t="shared" si="1"/>
        <v>94444.44444</v>
      </c>
      <c r="O583" s="24">
        <f t="shared" si="2"/>
        <v>0.05294117647</v>
      </c>
      <c r="P583" s="24">
        <f t="shared" si="3"/>
        <v>0.2117647059</v>
      </c>
      <c r="Q583" s="24">
        <f t="shared" si="4"/>
        <v>0.7352941176</v>
      </c>
    </row>
    <row r="584">
      <c r="A584" s="32"/>
      <c r="B584" s="30"/>
      <c r="C584" s="33"/>
      <c r="D584" s="22"/>
      <c r="E584" s="31"/>
      <c r="F584" s="22"/>
      <c r="G584" s="33"/>
      <c r="H584" s="24">
        <v>30.0</v>
      </c>
      <c r="I584" s="24">
        <v>35.0</v>
      </c>
      <c r="J584" s="24">
        <v>36.0</v>
      </c>
      <c r="K584" s="24">
        <f>IF(H584=0,0,CAPITAL!$C$5/H584)
</f>
        <v>5000</v>
      </c>
      <c r="L584" s="24">
        <f>IF(I584=0,0,CAPITAL!$C$6/I584)
</f>
        <v>20000</v>
      </c>
      <c r="M584" s="24">
        <f>IF(J584=0,0,CAPITAL!$C$7/J584)
</f>
        <v>69444.44444</v>
      </c>
      <c r="N584" s="24">
        <f t="shared" si="1"/>
        <v>94444.44444</v>
      </c>
      <c r="O584" s="24">
        <f t="shared" si="2"/>
        <v>0.05294117647</v>
      </c>
      <c r="P584" s="24">
        <f t="shared" si="3"/>
        <v>0.2117647059</v>
      </c>
      <c r="Q584" s="24">
        <f t="shared" si="4"/>
        <v>0.7352941176</v>
      </c>
    </row>
    <row r="585">
      <c r="A585" s="32"/>
      <c r="B585" s="30"/>
      <c r="C585" s="33"/>
      <c r="D585" s="22"/>
      <c r="E585" s="31"/>
      <c r="F585" s="22"/>
      <c r="G585" s="33"/>
      <c r="H585" s="24">
        <v>30.0</v>
      </c>
      <c r="I585" s="24">
        <v>35.0</v>
      </c>
      <c r="J585" s="24">
        <v>36.0</v>
      </c>
      <c r="K585" s="24">
        <f>IF(H585=0,0,CAPITAL!$C$5/H585)
</f>
        <v>5000</v>
      </c>
      <c r="L585" s="24">
        <f>IF(I585=0,0,CAPITAL!$C$6/I585)
</f>
        <v>20000</v>
      </c>
      <c r="M585" s="24">
        <f>IF(J585=0,0,CAPITAL!$C$7/J585)
</f>
        <v>69444.44444</v>
      </c>
      <c r="N585" s="24">
        <f t="shared" si="1"/>
        <v>94444.44444</v>
      </c>
      <c r="O585" s="24">
        <f t="shared" si="2"/>
        <v>0.05294117647</v>
      </c>
      <c r="P585" s="24">
        <f t="shared" si="3"/>
        <v>0.2117647059</v>
      </c>
      <c r="Q585" s="24">
        <f t="shared" si="4"/>
        <v>0.7352941176</v>
      </c>
    </row>
    <row r="586">
      <c r="A586" s="32"/>
      <c r="B586" s="30"/>
      <c r="C586" s="33"/>
      <c r="D586" s="22"/>
      <c r="E586" s="31"/>
      <c r="F586" s="22"/>
      <c r="G586" s="33"/>
      <c r="H586" s="24">
        <v>30.0</v>
      </c>
      <c r="I586" s="24">
        <v>35.0</v>
      </c>
      <c r="J586" s="24">
        <v>36.0</v>
      </c>
      <c r="K586" s="24">
        <f>IF(H586=0,0,CAPITAL!$C$5/H586)
</f>
        <v>5000</v>
      </c>
      <c r="L586" s="24">
        <f>IF(I586=0,0,CAPITAL!$C$6/I586)
</f>
        <v>20000</v>
      </c>
      <c r="M586" s="24">
        <f>IF(J586=0,0,CAPITAL!$C$7/J586)
</f>
        <v>69444.44444</v>
      </c>
      <c r="N586" s="24">
        <f t="shared" si="1"/>
        <v>94444.44444</v>
      </c>
      <c r="O586" s="24">
        <f t="shared" si="2"/>
        <v>0.05294117647</v>
      </c>
      <c r="P586" s="24">
        <f t="shared" si="3"/>
        <v>0.2117647059</v>
      </c>
      <c r="Q586" s="24">
        <f t="shared" si="4"/>
        <v>0.7352941176</v>
      </c>
    </row>
    <row r="587">
      <c r="A587" s="32"/>
      <c r="B587" s="30"/>
      <c r="C587" s="33"/>
      <c r="D587" s="22"/>
      <c r="E587" s="31"/>
      <c r="F587" s="22"/>
      <c r="G587" s="33"/>
      <c r="H587" s="24">
        <v>30.0</v>
      </c>
      <c r="I587" s="24">
        <v>35.0</v>
      </c>
      <c r="J587" s="24">
        <v>36.0</v>
      </c>
      <c r="K587" s="24">
        <f>IF(H587=0,0,CAPITAL!$C$5/H587)
</f>
        <v>5000</v>
      </c>
      <c r="L587" s="24">
        <f>IF(I587=0,0,CAPITAL!$C$6/I587)
</f>
        <v>20000</v>
      </c>
      <c r="M587" s="24">
        <f>IF(J587=0,0,CAPITAL!$C$7/J587)
</f>
        <v>69444.44444</v>
      </c>
      <c r="N587" s="24">
        <f t="shared" si="1"/>
        <v>94444.44444</v>
      </c>
      <c r="O587" s="24">
        <f t="shared" si="2"/>
        <v>0.05294117647</v>
      </c>
      <c r="P587" s="24">
        <f t="shared" si="3"/>
        <v>0.2117647059</v>
      </c>
      <c r="Q587" s="24">
        <f t="shared" si="4"/>
        <v>0.7352941176</v>
      </c>
    </row>
    <row r="588">
      <c r="A588" s="32"/>
      <c r="B588" s="30"/>
      <c r="C588" s="33"/>
      <c r="D588" s="22"/>
      <c r="E588" s="31"/>
      <c r="F588" s="22"/>
      <c r="G588" s="33"/>
      <c r="H588" s="24">
        <v>30.0</v>
      </c>
      <c r="I588" s="24">
        <v>35.0</v>
      </c>
      <c r="J588" s="24">
        <v>36.0</v>
      </c>
      <c r="K588" s="24">
        <f>IF(H588=0,0,CAPITAL!$C$5/H588)
</f>
        <v>5000</v>
      </c>
      <c r="L588" s="24">
        <f>IF(I588=0,0,CAPITAL!$C$6/I588)
</f>
        <v>20000</v>
      </c>
      <c r="M588" s="24">
        <f>IF(J588=0,0,CAPITAL!$C$7/J588)
</f>
        <v>69444.44444</v>
      </c>
      <c r="N588" s="24">
        <f t="shared" si="1"/>
        <v>94444.44444</v>
      </c>
      <c r="O588" s="24">
        <f t="shared" si="2"/>
        <v>0.05294117647</v>
      </c>
      <c r="P588" s="24">
        <f t="shared" si="3"/>
        <v>0.2117647059</v>
      </c>
      <c r="Q588" s="24">
        <f t="shared" si="4"/>
        <v>0.7352941176</v>
      </c>
    </row>
    <row r="589">
      <c r="A589" s="32"/>
      <c r="B589" s="30"/>
      <c r="C589" s="33"/>
      <c r="D589" s="22"/>
      <c r="E589" s="31"/>
      <c r="F589" s="22"/>
      <c r="G589" s="33"/>
      <c r="H589" s="24">
        <v>30.0</v>
      </c>
      <c r="I589" s="24">
        <v>35.0</v>
      </c>
      <c r="J589" s="24">
        <v>36.0</v>
      </c>
      <c r="K589" s="24">
        <f>IF(H589=0,0,CAPITAL!$C$5/H589)
</f>
        <v>5000</v>
      </c>
      <c r="L589" s="24">
        <f>IF(I589=0,0,CAPITAL!$C$6/I589)
</f>
        <v>20000</v>
      </c>
      <c r="M589" s="24">
        <f>IF(J589=0,0,CAPITAL!$C$7/J589)
</f>
        <v>69444.44444</v>
      </c>
      <c r="N589" s="24">
        <f t="shared" si="1"/>
        <v>94444.44444</v>
      </c>
      <c r="O589" s="24">
        <f t="shared" si="2"/>
        <v>0.05294117647</v>
      </c>
      <c r="P589" s="24">
        <f t="shared" si="3"/>
        <v>0.2117647059</v>
      </c>
      <c r="Q589" s="24">
        <f t="shared" si="4"/>
        <v>0.7352941176</v>
      </c>
    </row>
    <row r="590">
      <c r="A590" s="32"/>
      <c r="B590" s="30"/>
      <c r="C590" s="33"/>
      <c r="D590" s="22"/>
      <c r="E590" s="31"/>
      <c r="F590" s="22"/>
      <c r="G590" s="33"/>
      <c r="H590" s="24">
        <v>30.0</v>
      </c>
      <c r="I590" s="24">
        <v>35.0</v>
      </c>
      <c r="J590" s="24">
        <v>36.0</v>
      </c>
      <c r="K590" s="24">
        <f>IF(H590=0,0,CAPITAL!$C$5/H590)
</f>
        <v>5000</v>
      </c>
      <c r="L590" s="24">
        <f>IF(I590=0,0,CAPITAL!$C$6/I590)
</f>
        <v>20000</v>
      </c>
      <c r="M590" s="24">
        <f>IF(J590=0,0,CAPITAL!$C$7/J590)
</f>
        <v>69444.44444</v>
      </c>
      <c r="N590" s="24">
        <f t="shared" si="1"/>
        <v>94444.44444</v>
      </c>
      <c r="O590" s="24">
        <f t="shared" si="2"/>
        <v>0.05294117647</v>
      </c>
      <c r="P590" s="24">
        <f t="shared" si="3"/>
        <v>0.2117647059</v>
      </c>
      <c r="Q590" s="24">
        <f t="shared" si="4"/>
        <v>0.7352941176</v>
      </c>
    </row>
    <row r="591">
      <c r="A591" s="32"/>
      <c r="B591" s="30"/>
      <c r="C591" s="33"/>
      <c r="D591" s="22"/>
      <c r="E591" s="31"/>
      <c r="F591" s="22"/>
      <c r="G591" s="33"/>
      <c r="H591" s="24">
        <v>30.0</v>
      </c>
      <c r="I591" s="24">
        <v>35.0</v>
      </c>
      <c r="J591" s="24">
        <v>36.0</v>
      </c>
      <c r="K591" s="24">
        <f>IF(H591=0,0,CAPITAL!$C$5/H591)
</f>
        <v>5000</v>
      </c>
      <c r="L591" s="24">
        <f>IF(I591=0,0,CAPITAL!$C$6/I591)
</f>
        <v>20000</v>
      </c>
      <c r="M591" s="24">
        <f>IF(J591=0,0,CAPITAL!$C$7/J591)
</f>
        <v>69444.44444</v>
      </c>
      <c r="N591" s="24">
        <f t="shared" si="1"/>
        <v>94444.44444</v>
      </c>
      <c r="O591" s="24">
        <f t="shared" si="2"/>
        <v>0.05294117647</v>
      </c>
      <c r="P591" s="24">
        <f t="shared" si="3"/>
        <v>0.2117647059</v>
      </c>
      <c r="Q591" s="24">
        <f t="shared" si="4"/>
        <v>0.7352941176</v>
      </c>
    </row>
    <row r="592">
      <c r="A592" s="32"/>
      <c r="B592" s="30"/>
      <c r="C592" s="33"/>
      <c r="D592" s="22"/>
      <c r="E592" s="31"/>
      <c r="F592" s="22"/>
      <c r="G592" s="33"/>
      <c r="H592" s="24">
        <v>30.0</v>
      </c>
      <c r="I592" s="24">
        <v>35.0</v>
      </c>
      <c r="J592" s="24">
        <v>36.0</v>
      </c>
      <c r="K592" s="24">
        <f>IF(H592=0,0,CAPITAL!$C$5/H592)
</f>
        <v>5000</v>
      </c>
      <c r="L592" s="24">
        <f>IF(I592=0,0,CAPITAL!$C$6/I592)
</f>
        <v>20000</v>
      </c>
      <c r="M592" s="24">
        <f>IF(J592=0,0,CAPITAL!$C$7/J592)
</f>
        <v>69444.44444</v>
      </c>
      <c r="N592" s="24">
        <f t="shared" si="1"/>
        <v>94444.44444</v>
      </c>
      <c r="O592" s="24">
        <f t="shared" si="2"/>
        <v>0.05294117647</v>
      </c>
      <c r="P592" s="24">
        <f t="shared" si="3"/>
        <v>0.2117647059</v>
      </c>
      <c r="Q592" s="24">
        <f t="shared" si="4"/>
        <v>0.7352941176</v>
      </c>
    </row>
    <row r="593">
      <c r="A593" s="32"/>
      <c r="B593" s="30"/>
      <c r="C593" s="33"/>
      <c r="D593" s="22"/>
      <c r="E593" s="31"/>
      <c r="F593" s="22"/>
      <c r="G593" s="33"/>
      <c r="H593" s="24">
        <v>30.0</v>
      </c>
      <c r="I593" s="24">
        <v>35.0</v>
      </c>
      <c r="J593" s="24">
        <v>36.0</v>
      </c>
      <c r="K593" s="24">
        <f>IF(H593=0,0,CAPITAL!$C$5/H593)
</f>
        <v>5000</v>
      </c>
      <c r="L593" s="24">
        <f>IF(I593=0,0,CAPITAL!$C$6/I593)
</f>
        <v>20000</v>
      </c>
      <c r="M593" s="24">
        <f>IF(J593=0,0,CAPITAL!$C$7/J593)
</f>
        <v>69444.44444</v>
      </c>
      <c r="N593" s="24">
        <f t="shared" si="1"/>
        <v>94444.44444</v>
      </c>
      <c r="O593" s="24">
        <f t="shared" si="2"/>
        <v>0.05294117647</v>
      </c>
      <c r="P593" s="24">
        <f t="shared" si="3"/>
        <v>0.2117647059</v>
      </c>
      <c r="Q593" s="24">
        <f t="shared" si="4"/>
        <v>0.7352941176</v>
      </c>
    </row>
    <row r="594">
      <c r="A594" s="32"/>
      <c r="B594" s="30"/>
      <c r="C594" s="33"/>
      <c r="D594" s="22"/>
      <c r="E594" s="31"/>
      <c r="F594" s="22"/>
      <c r="G594" s="33"/>
      <c r="H594" s="24">
        <v>30.0</v>
      </c>
      <c r="I594" s="24">
        <v>35.0</v>
      </c>
      <c r="J594" s="24">
        <v>36.0</v>
      </c>
      <c r="K594" s="24">
        <f>IF(H594=0,0,CAPITAL!$C$5/H594)
</f>
        <v>5000</v>
      </c>
      <c r="L594" s="24">
        <f>IF(I594=0,0,CAPITAL!$C$6/I594)
</f>
        <v>20000</v>
      </c>
      <c r="M594" s="24">
        <f>IF(J594=0,0,CAPITAL!$C$7/J594)
</f>
        <v>69444.44444</v>
      </c>
      <c r="N594" s="24">
        <f t="shared" si="1"/>
        <v>94444.44444</v>
      </c>
      <c r="O594" s="24">
        <f t="shared" si="2"/>
        <v>0.05294117647</v>
      </c>
      <c r="P594" s="24">
        <f t="shared" si="3"/>
        <v>0.2117647059</v>
      </c>
      <c r="Q594" s="24">
        <f t="shared" si="4"/>
        <v>0.7352941176</v>
      </c>
    </row>
    <row r="595">
      <c r="A595" s="32"/>
      <c r="B595" s="30"/>
      <c r="C595" s="33"/>
      <c r="D595" s="22"/>
      <c r="E595" s="31"/>
      <c r="F595" s="22"/>
      <c r="G595" s="33"/>
      <c r="H595" s="24">
        <v>30.0</v>
      </c>
      <c r="I595" s="24">
        <v>35.0</v>
      </c>
      <c r="J595" s="24">
        <v>36.0</v>
      </c>
      <c r="K595" s="24">
        <f>IF(H595=0,0,CAPITAL!$C$5/H595)
</f>
        <v>5000</v>
      </c>
      <c r="L595" s="24">
        <f>IF(I595=0,0,CAPITAL!$C$6/I595)
</f>
        <v>20000</v>
      </c>
      <c r="M595" s="24">
        <f>IF(J595=0,0,CAPITAL!$C$7/J595)
</f>
        <v>69444.44444</v>
      </c>
      <c r="N595" s="24">
        <f t="shared" si="1"/>
        <v>94444.44444</v>
      </c>
      <c r="O595" s="24">
        <f t="shared" si="2"/>
        <v>0.05294117647</v>
      </c>
      <c r="P595" s="24">
        <f t="shared" si="3"/>
        <v>0.2117647059</v>
      </c>
      <c r="Q595" s="24">
        <f t="shared" si="4"/>
        <v>0.7352941176</v>
      </c>
    </row>
    <row r="596">
      <c r="A596" s="32"/>
      <c r="B596" s="30"/>
      <c r="C596" s="33"/>
      <c r="D596" s="22"/>
      <c r="E596" s="31"/>
      <c r="F596" s="22"/>
      <c r="G596" s="33"/>
      <c r="H596" s="24">
        <v>30.0</v>
      </c>
      <c r="I596" s="24">
        <v>35.0</v>
      </c>
      <c r="J596" s="24">
        <v>36.0</v>
      </c>
      <c r="K596" s="24">
        <f>IF(H596=0,0,CAPITAL!$C$5/H596)
</f>
        <v>5000</v>
      </c>
      <c r="L596" s="24">
        <f>IF(I596=0,0,CAPITAL!$C$6/I596)
</f>
        <v>20000</v>
      </c>
      <c r="M596" s="24">
        <f>IF(J596=0,0,CAPITAL!$C$7/J596)
</f>
        <v>69444.44444</v>
      </c>
      <c r="N596" s="24">
        <f t="shared" si="1"/>
        <v>94444.44444</v>
      </c>
      <c r="O596" s="24">
        <f t="shared" si="2"/>
        <v>0.05294117647</v>
      </c>
      <c r="P596" s="24">
        <f t="shared" si="3"/>
        <v>0.2117647059</v>
      </c>
      <c r="Q596" s="24">
        <f t="shared" si="4"/>
        <v>0.7352941176</v>
      </c>
    </row>
    <row r="597">
      <c r="A597" s="32"/>
      <c r="B597" s="30"/>
      <c r="C597" s="33"/>
      <c r="D597" s="22"/>
      <c r="E597" s="31"/>
      <c r="F597" s="22"/>
      <c r="G597" s="33"/>
      <c r="H597" s="24">
        <v>30.0</v>
      </c>
      <c r="I597" s="24">
        <v>35.0</v>
      </c>
      <c r="J597" s="24">
        <v>36.0</v>
      </c>
      <c r="K597" s="24">
        <f>IF(H597=0,0,CAPITAL!$C$5/H597)
</f>
        <v>5000</v>
      </c>
      <c r="L597" s="24">
        <f>IF(I597=0,0,CAPITAL!$C$6/I597)
</f>
        <v>20000</v>
      </c>
      <c r="M597" s="24">
        <f>IF(J597=0,0,CAPITAL!$C$7/J597)
</f>
        <v>69444.44444</v>
      </c>
      <c r="N597" s="24">
        <f t="shared" si="1"/>
        <v>94444.44444</v>
      </c>
      <c r="O597" s="24">
        <f t="shared" si="2"/>
        <v>0.05294117647</v>
      </c>
      <c r="P597" s="24">
        <f t="shared" si="3"/>
        <v>0.2117647059</v>
      </c>
      <c r="Q597" s="24">
        <f t="shared" si="4"/>
        <v>0.7352941176</v>
      </c>
    </row>
    <row r="598">
      <c r="A598" s="32"/>
      <c r="B598" s="30"/>
      <c r="C598" s="33"/>
      <c r="D598" s="22"/>
      <c r="E598" s="31"/>
      <c r="F598" s="22"/>
      <c r="G598" s="33"/>
      <c r="H598" s="24">
        <v>30.0</v>
      </c>
      <c r="I598" s="24">
        <v>35.0</v>
      </c>
      <c r="J598" s="24">
        <v>36.0</v>
      </c>
      <c r="K598" s="24">
        <f>IF(H598=0,0,CAPITAL!$C$5/H598)
</f>
        <v>5000</v>
      </c>
      <c r="L598" s="24">
        <f>IF(I598=0,0,CAPITAL!$C$6/I598)
</f>
        <v>20000</v>
      </c>
      <c r="M598" s="24">
        <f>IF(J598=0,0,CAPITAL!$C$7/J598)
</f>
        <v>69444.44444</v>
      </c>
      <c r="N598" s="24">
        <f t="shared" si="1"/>
        <v>94444.44444</v>
      </c>
      <c r="O598" s="24">
        <f t="shared" si="2"/>
        <v>0.05294117647</v>
      </c>
      <c r="P598" s="24">
        <f t="shared" si="3"/>
        <v>0.2117647059</v>
      </c>
      <c r="Q598" s="24">
        <f t="shared" si="4"/>
        <v>0.7352941176</v>
      </c>
    </row>
    <row r="599">
      <c r="A599" s="32"/>
      <c r="B599" s="30"/>
      <c r="C599" s="33"/>
      <c r="D599" s="22"/>
      <c r="E599" s="31"/>
      <c r="F599" s="22"/>
      <c r="G599" s="33"/>
      <c r="H599" s="24">
        <v>30.0</v>
      </c>
      <c r="I599" s="24">
        <v>35.0</v>
      </c>
      <c r="J599" s="24">
        <v>36.0</v>
      </c>
      <c r="K599" s="24">
        <f>IF(H599=0,0,CAPITAL!$C$5/H599)
</f>
        <v>5000</v>
      </c>
      <c r="L599" s="24">
        <f>IF(I599=0,0,CAPITAL!$C$6/I599)
</f>
        <v>20000</v>
      </c>
      <c r="M599" s="24">
        <f>IF(J599=0,0,CAPITAL!$C$7/J599)
</f>
        <v>69444.44444</v>
      </c>
      <c r="N599" s="24">
        <f t="shared" si="1"/>
        <v>94444.44444</v>
      </c>
      <c r="O599" s="24">
        <f t="shared" si="2"/>
        <v>0.05294117647</v>
      </c>
      <c r="P599" s="24">
        <f t="shared" si="3"/>
        <v>0.2117647059</v>
      </c>
      <c r="Q599" s="24">
        <f t="shared" si="4"/>
        <v>0.7352941176</v>
      </c>
    </row>
    <row r="600">
      <c r="A600" s="32"/>
      <c r="B600" s="30"/>
      <c r="C600" s="33"/>
      <c r="D600" s="22"/>
      <c r="E600" s="31"/>
      <c r="F600" s="22"/>
      <c r="G600" s="33"/>
      <c r="H600" s="24">
        <v>30.0</v>
      </c>
      <c r="I600" s="24">
        <v>35.0</v>
      </c>
      <c r="J600" s="24">
        <v>36.0</v>
      </c>
      <c r="K600" s="24">
        <f>IF(H600=0,0,CAPITAL!$C$5/H600)
</f>
        <v>5000</v>
      </c>
      <c r="L600" s="24">
        <f>IF(I600=0,0,CAPITAL!$C$6/I600)
</f>
        <v>20000</v>
      </c>
      <c r="M600" s="24">
        <f>IF(J600=0,0,CAPITAL!$C$7/J600)
</f>
        <v>69444.44444</v>
      </c>
      <c r="N600" s="24">
        <f t="shared" si="1"/>
        <v>94444.44444</v>
      </c>
      <c r="O600" s="24">
        <f t="shared" si="2"/>
        <v>0.05294117647</v>
      </c>
      <c r="P600" s="24">
        <f t="shared" si="3"/>
        <v>0.2117647059</v>
      </c>
      <c r="Q600" s="24">
        <f t="shared" si="4"/>
        <v>0.7352941176</v>
      </c>
    </row>
    <row r="601">
      <c r="A601" s="32"/>
      <c r="B601" s="30"/>
      <c r="C601" s="33"/>
      <c r="D601" s="22"/>
      <c r="E601" s="31"/>
      <c r="F601" s="22"/>
      <c r="G601" s="33"/>
      <c r="H601" s="24">
        <v>30.0</v>
      </c>
      <c r="I601" s="24">
        <v>35.0</v>
      </c>
      <c r="J601" s="24">
        <v>36.0</v>
      </c>
      <c r="K601" s="24">
        <f>IF(H601=0,0,CAPITAL!$C$5/H601)
</f>
        <v>5000</v>
      </c>
      <c r="L601" s="24">
        <f>IF(I601=0,0,CAPITAL!$C$6/I601)
</f>
        <v>20000</v>
      </c>
      <c r="M601" s="24">
        <f>IF(J601=0,0,CAPITAL!$C$7/J601)
</f>
        <v>69444.44444</v>
      </c>
      <c r="N601" s="24">
        <f t="shared" si="1"/>
        <v>94444.44444</v>
      </c>
      <c r="O601" s="24">
        <f t="shared" si="2"/>
        <v>0.05294117647</v>
      </c>
      <c r="P601" s="24">
        <f t="shared" si="3"/>
        <v>0.2117647059</v>
      </c>
      <c r="Q601" s="24">
        <f t="shared" si="4"/>
        <v>0.7352941176</v>
      </c>
    </row>
    <row r="602">
      <c r="A602" s="32"/>
      <c r="B602" s="30"/>
      <c r="C602" s="33"/>
      <c r="D602" s="22"/>
      <c r="E602" s="31"/>
      <c r="F602" s="22"/>
      <c r="G602" s="33"/>
      <c r="H602" s="24">
        <v>30.0</v>
      </c>
      <c r="I602" s="24">
        <v>35.0</v>
      </c>
      <c r="J602" s="24">
        <v>36.0</v>
      </c>
      <c r="K602" s="24">
        <f>IF(H602=0,0,CAPITAL!$C$5/H602)
</f>
        <v>5000</v>
      </c>
      <c r="L602" s="24">
        <f>IF(I602=0,0,CAPITAL!$C$6/I602)
</f>
        <v>20000</v>
      </c>
      <c r="M602" s="24">
        <f>IF(J602=0,0,CAPITAL!$C$7/J602)
</f>
        <v>69444.44444</v>
      </c>
      <c r="N602" s="24">
        <f t="shared" si="1"/>
        <v>94444.44444</v>
      </c>
      <c r="O602" s="24">
        <f t="shared" si="2"/>
        <v>0.05294117647</v>
      </c>
      <c r="P602" s="24">
        <f t="shared" si="3"/>
        <v>0.2117647059</v>
      </c>
      <c r="Q602" s="24">
        <f t="shared" si="4"/>
        <v>0.7352941176</v>
      </c>
    </row>
    <row r="603">
      <c r="A603" s="32"/>
      <c r="B603" s="30"/>
      <c r="C603" s="33"/>
      <c r="D603" s="22"/>
      <c r="E603" s="31"/>
      <c r="F603" s="22"/>
      <c r="G603" s="33"/>
      <c r="H603" s="24">
        <v>30.0</v>
      </c>
      <c r="I603" s="24">
        <v>35.0</v>
      </c>
      <c r="J603" s="24">
        <v>36.0</v>
      </c>
      <c r="K603" s="24">
        <f>IF(H603=0,0,CAPITAL!$C$5/H603)
</f>
        <v>5000</v>
      </c>
      <c r="L603" s="24">
        <f>IF(I603=0,0,CAPITAL!$C$6/I603)
</f>
        <v>20000</v>
      </c>
      <c r="M603" s="24">
        <f>IF(J603=0,0,CAPITAL!$C$7/J603)
</f>
        <v>69444.44444</v>
      </c>
      <c r="N603" s="24">
        <f t="shared" si="1"/>
        <v>94444.44444</v>
      </c>
      <c r="O603" s="24">
        <f t="shared" si="2"/>
        <v>0.05294117647</v>
      </c>
      <c r="P603" s="24">
        <f t="shared" si="3"/>
        <v>0.2117647059</v>
      </c>
      <c r="Q603" s="24">
        <f t="shared" si="4"/>
        <v>0.7352941176</v>
      </c>
    </row>
    <row r="604">
      <c r="A604" s="32"/>
      <c r="B604" s="30"/>
      <c r="C604" s="33"/>
      <c r="D604" s="22"/>
      <c r="E604" s="31"/>
      <c r="F604" s="22"/>
      <c r="G604" s="33"/>
      <c r="H604" s="24">
        <v>30.0</v>
      </c>
      <c r="I604" s="24">
        <v>35.0</v>
      </c>
      <c r="J604" s="24">
        <v>36.0</v>
      </c>
      <c r="K604" s="24">
        <f>IF(H604=0,0,CAPITAL!$C$5/H604)
</f>
        <v>5000</v>
      </c>
      <c r="L604" s="24">
        <f>IF(I604=0,0,CAPITAL!$C$6/I604)
</f>
        <v>20000</v>
      </c>
      <c r="M604" s="24">
        <f>IF(J604=0,0,CAPITAL!$C$7/J604)
</f>
        <v>69444.44444</v>
      </c>
      <c r="N604" s="24">
        <f t="shared" si="1"/>
        <v>94444.44444</v>
      </c>
      <c r="O604" s="24">
        <f t="shared" si="2"/>
        <v>0.05294117647</v>
      </c>
      <c r="P604" s="24">
        <f t="shared" si="3"/>
        <v>0.2117647059</v>
      </c>
      <c r="Q604" s="24">
        <f t="shared" si="4"/>
        <v>0.7352941176</v>
      </c>
    </row>
    <row r="605">
      <c r="A605" s="32"/>
      <c r="B605" s="30"/>
      <c r="C605" s="33"/>
      <c r="D605" s="22"/>
      <c r="E605" s="31"/>
      <c r="F605" s="22"/>
      <c r="G605" s="33"/>
      <c r="H605" s="24">
        <v>30.0</v>
      </c>
      <c r="I605" s="24">
        <v>35.0</v>
      </c>
      <c r="J605" s="24">
        <v>36.0</v>
      </c>
      <c r="K605" s="24">
        <f>IF(H605=0,0,CAPITAL!$C$5/H605)
</f>
        <v>5000</v>
      </c>
      <c r="L605" s="24">
        <f>IF(I605=0,0,CAPITAL!$C$6/I605)
</f>
        <v>20000</v>
      </c>
      <c r="M605" s="24">
        <f>IF(J605=0,0,CAPITAL!$C$7/J605)
</f>
        <v>69444.44444</v>
      </c>
      <c r="N605" s="24">
        <f t="shared" si="1"/>
        <v>94444.44444</v>
      </c>
      <c r="O605" s="24">
        <f t="shared" si="2"/>
        <v>0.05294117647</v>
      </c>
      <c r="P605" s="24">
        <f t="shared" si="3"/>
        <v>0.2117647059</v>
      </c>
      <c r="Q605" s="24">
        <f t="shared" si="4"/>
        <v>0.7352941176</v>
      </c>
    </row>
    <row r="606">
      <c r="A606" s="32"/>
      <c r="B606" s="30"/>
      <c r="C606" s="33"/>
      <c r="D606" s="22"/>
      <c r="E606" s="31"/>
      <c r="F606" s="22"/>
      <c r="G606" s="33"/>
      <c r="H606" s="24">
        <v>30.0</v>
      </c>
      <c r="I606" s="24">
        <v>35.0</v>
      </c>
      <c r="J606" s="24">
        <v>36.0</v>
      </c>
      <c r="K606" s="24">
        <f>IF(H606=0,0,CAPITAL!$C$5/H606)
</f>
        <v>5000</v>
      </c>
      <c r="L606" s="24">
        <f>IF(I606=0,0,CAPITAL!$C$6/I606)
</f>
        <v>20000</v>
      </c>
      <c r="M606" s="24">
        <f>IF(J606=0,0,CAPITAL!$C$7/J606)
</f>
        <v>69444.44444</v>
      </c>
      <c r="N606" s="24">
        <f t="shared" si="1"/>
        <v>94444.44444</v>
      </c>
      <c r="O606" s="24">
        <f t="shared" si="2"/>
        <v>0.05294117647</v>
      </c>
      <c r="P606" s="24">
        <f t="shared" si="3"/>
        <v>0.2117647059</v>
      </c>
      <c r="Q606" s="24">
        <f t="shared" si="4"/>
        <v>0.7352941176</v>
      </c>
    </row>
    <row r="607">
      <c r="A607" s="32"/>
      <c r="B607" s="30"/>
      <c r="C607" s="33"/>
      <c r="D607" s="22"/>
      <c r="E607" s="31"/>
      <c r="F607" s="22"/>
      <c r="G607" s="33"/>
      <c r="H607" s="24">
        <v>30.0</v>
      </c>
      <c r="I607" s="24">
        <v>35.0</v>
      </c>
      <c r="J607" s="24">
        <v>36.0</v>
      </c>
      <c r="K607" s="24">
        <f>IF(H607=0,0,CAPITAL!$C$5/H607)
</f>
        <v>5000</v>
      </c>
      <c r="L607" s="24">
        <f>IF(I607=0,0,CAPITAL!$C$6/I607)
</f>
        <v>20000</v>
      </c>
      <c r="M607" s="24">
        <f>IF(J607=0,0,CAPITAL!$C$7/J607)
</f>
        <v>69444.44444</v>
      </c>
      <c r="N607" s="24">
        <f t="shared" si="1"/>
        <v>94444.44444</v>
      </c>
      <c r="O607" s="24">
        <f t="shared" si="2"/>
        <v>0.05294117647</v>
      </c>
      <c r="P607" s="24">
        <f t="shared" si="3"/>
        <v>0.2117647059</v>
      </c>
      <c r="Q607" s="24">
        <f t="shared" si="4"/>
        <v>0.7352941176</v>
      </c>
    </row>
    <row r="608">
      <c r="A608" s="32"/>
      <c r="B608" s="30"/>
      <c r="C608" s="33"/>
      <c r="D608" s="22"/>
      <c r="E608" s="31"/>
      <c r="F608" s="22"/>
      <c r="G608" s="33"/>
      <c r="H608" s="24">
        <v>30.0</v>
      </c>
      <c r="I608" s="24">
        <v>35.0</v>
      </c>
      <c r="J608" s="24">
        <v>36.0</v>
      </c>
      <c r="K608" s="24">
        <f>IF(H608=0,0,CAPITAL!$C$5/H608)
</f>
        <v>5000</v>
      </c>
      <c r="L608" s="24">
        <f>IF(I608=0,0,CAPITAL!$C$6/I608)
</f>
        <v>20000</v>
      </c>
      <c r="M608" s="24">
        <f>IF(J608=0,0,CAPITAL!$C$7/J608)
</f>
        <v>69444.44444</v>
      </c>
      <c r="N608" s="24">
        <f t="shared" si="1"/>
        <v>94444.44444</v>
      </c>
      <c r="O608" s="24">
        <f t="shared" si="2"/>
        <v>0.05294117647</v>
      </c>
      <c r="P608" s="24">
        <f t="shared" si="3"/>
        <v>0.2117647059</v>
      </c>
      <c r="Q608" s="24">
        <f t="shared" si="4"/>
        <v>0.7352941176</v>
      </c>
    </row>
    <row r="609">
      <c r="A609" s="32"/>
      <c r="B609" s="30"/>
      <c r="C609" s="33"/>
      <c r="D609" s="22"/>
      <c r="E609" s="31"/>
      <c r="F609" s="22"/>
      <c r="G609" s="33"/>
      <c r="H609" s="24">
        <v>30.0</v>
      </c>
      <c r="I609" s="24">
        <v>35.0</v>
      </c>
      <c r="J609" s="24">
        <v>36.0</v>
      </c>
      <c r="K609" s="24">
        <f>IF(H609=0,0,CAPITAL!$C$5/H609)
</f>
        <v>5000</v>
      </c>
      <c r="L609" s="24">
        <f>IF(I609=0,0,CAPITAL!$C$6/I609)
</f>
        <v>20000</v>
      </c>
      <c r="M609" s="24">
        <f>IF(J609=0,0,CAPITAL!$C$7/J609)
</f>
        <v>69444.44444</v>
      </c>
      <c r="N609" s="24">
        <f t="shared" si="1"/>
        <v>94444.44444</v>
      </c>
      <c r="O609" s="24">
        <f t="shared" si="2"/>
        <v>0.05294117647</v>
      </c>
      <c r="P609" s="24">
        <f t="shared" si="3"/>
        <v>0.2117647059</v>
      </c>
      <c r="Q609" s="24">
        <f t="shared" si="4"/>
        <v>0.7352941176</v>
      </c>
    </row>
    <row r="610">
      <c r="A610" s="32"/>
      <c r="B610" s="30"/>
      <c r="C610" s="33"/>
      <c r="D610" s="22"/>
      <c r="E610" s="31"/>
      <c r="F610" s="22"/>
      <c r="G610" s="33"/>
      <c r="H610" s="24">
        <v>30.0</v>
      </c>
      <c r="I610" s="24">
        <v>35.0</v>
      </c>
      <c r="J610" s="24">
        <v>36.0</v>
      </c>
      <c r="K610" s="24">
        <f>IF(H610=0,0,CAPITAL!$C$5/H610)
</f>
        <v>5000</v>
      </c>
      <c r="L610" s="24">
        <f>IF(I610=0,0,CAPITAL!$C$6/I610)
</f>
        <v>20000</v>
      </c>
      <c r="M610" s="24">
        <f>IF(J610=0,0,CAPITAL!$C$7/J610)
</f>
        <v>69444.44444</v>
      </c>
      <c r="N610" s="24">
        <f t="shared" si="1"/>
        <v>94444.44444</v>
      </c>
      <c r="O610" s="24">
        <f t="shared" si="2"/>
        <v>0.05294117647</v>
      </c>
      <c r="P610" s="24">
        <f t="shared" si="3"/>
        <v>0.2117647059</v>
      </c>
      <c r="Q610" s="24">
        <f t="shared" si="4"/>
        <v>0.7352941176</v>
      </c>
    </row>
    <row r="611">
      <c r="A611" s="32"/>
      <c r="B611" s="30"/>
      <c r="C611" s="33"/>
      <c r="D611" s="22"/>
      <c r="E611" s="31"/>
      <c r="F611" s="22"/>
      <c r="G611" s="33"/>
      <c r="H611" s="24">
        <v>30.0</v>
      </c>
      <c r="I611" s="24">
        <v>35.0</v>
      </c>
      <c r="J611" s="24">
        <v>36.0</v>
      </c>
      <c r="K611" s="24">
        <f>IF(H611=0,0,CAPITAL!$C$5/H611)
</f>
        <v>5000</v>
      </c>
      <c r="L611" s="24">
        <f>IF(I611=0,0,CAPITAL!$C$6/I611)
</f>
        <v>20000</v>
      </c>
      <c r="M611" s="24">
        <f>IF(J611=0,0,CAPITAL!$C$7/J611)
</f>
        <v>69444.44444</v>
      </c>
      <c r="N611" s="24">
        <f t="shared" si="1"/>
        <v>94444.44444</v>
      </c>
      <c r="O611" s="24">
        <f t="shared" si="2"/>
        <v>0.05294117647</v>
      </c>
      <c r="P611" s="24">
        <f t="shared" si="3"/>
        <v>0.2117647059</v>
      </c>
      <c r="Q611" s="24">
        <f t="shared" si="4"/>
        <v>0.7352941176</v>
      </c>
    </row>
    <row r="612">
      <c r="A612" s="32"/>
      <c r="B612" s="30"/>
      <c r="C612" s="33"/>
      <c r="D612" s="22"/>
      <c r="E612" s="31"/>
      <c r="F612" s="22"/>
      <c r="G612" s="33"/>
      <c r="H612" s="24">
        <v>30.0</v>
      </c>
      <c r="I612" s="24">
        <v>35.0</v>
      </c>
      <c r="J612" s="24">
        <v>36.0</v>
      </c>
      <c r="K612" s="24">
        <f>IF(H612=0,0,CAPITAL!$C$5/H612)
</f>
        <v>5000</v>
      </c>
      <c r="L612" s="24">
        <f>IF(I612=0,0,CAPITAL!$C$6/I612)
</f>
        <v>20000</v>
      </c>
      <c r="M612" s="24">
        <f>IF(J612=0,0,CAPITAL!$C$7/J612)
</f>
        <v>69444.44444</v>
      </c>
      <c r="N612" s="24">
        <f t="shared" si="1"/>
        <v>94444.44444</v>
      </c>
      <c r="O612" s="24">
        <f t="shared" si="2"/>
        <v>0.05294117647</v>
      </c>
      <c r="P612" s="24">
        <f t="shared" si="3"/>
        <v>0.2117647059</v>
      </c>
      <c r="Q612" s="24">
        <f t="shared" si="4"/>
        <v>0.7352941176</v>
      </c>
    </row>
    <row r="613">
      <c r="A613" s="32"/>
      <c r="B613" s="30"/>
      <c r="C613" s="33"/>
      <c r="D613" s="22"/>
      <c r="E613" s="31"/>
      <c r="F613" s="22"/>
      <c r="G613" s="33"/>
      <c r="H613" s="24">
        <v>30.0</v>
      </c>
      <c r="I613" s="24">
        <v>35.0</v>
      </c>
      <c r="J613" s="24">
        <v>36.0</v>
      </c>
      <c r="K613" s="24">
        <f>IF(H613=0,0,CAPITAL!$C$5/H613)
</f>
        <v>5000</v>
      </c>
      <c r="L613" s="24">
        <f>IF(I613=0,0,CAPITAL!$C$6/I613)
</f>
        <v>20000</v>
      </c>
      <c r="M613" s="24">
        <f>IF(J613=0,0,CAPITAL!$C$7/J613)
</f>
        <v>69444.44444</v>
      </c>
      <c r="N613" s="24">
        <f t="shared" si="1"/>
        <v>94444.44444</v>
      </c>
      <c r="O613" s="24">
        <f t="shared" si="2"/>
        <v>0.05294117647</v>
      </c>
      <c r="P613" s="24">
        <f t="shared" si="3"/>
        <v>0.2117647059</v>
      </c>
      <c r="Q613" s="24">
        <f t="shared" si="4"/>
        <v>0.7352941176</v>
      </c>
    </row>
    <row r="614">
      <c r="A614" s="32"/>
      <c r="B614" s="30"/>
      <c r="C614" s="33"/>
      <c r="D614" s="22"/>
      <c r="E614" s="31"/>
      <c r="F614" s="22"/>
      <c r="G614" s="33"/>
      <c r="H614" s="24">
        <v>30.0</v>
      </c>
      <c r="I614" s="24">
        <v>35.0</v>
      </c>
      <c r="J614" s="24">
        <v>36.0</v>
      </c>
      <c r="K614" s="24">
        <f>IF(H614=0,0,CAPITAL!$C$5/H614)
</f>
        <v>5000</v>
      </c>
      <c r="L614" s="24">
        <f>IF(I614=0,0,CAPITAL!$C$6/I614)
</f>
        <v>20000</v>
      </c>
      <c r="M614" s="24">
        <f>IF(J614=0,0,CAPITAL!$C$7/J614)
</f>
        <v>69444.44444</v>
      </c>
      <c r="N614" s="24">
        <f t="shared" si="1"/>
        <v>94444.44444</v>
      </c>
      <c r="O614" s="24">
        <f t="shared" si="2"/>
        <v>0.05294117647</v>
      </c>
      <c r="P614" s="24">
        <f t="shared" si="3"/>
        <v>0.2117647059</v>
      </c>
      <c r="Q614" s="24">
        <f t="shared" si="4"/>
        <v>0.7352941176</v>
      </c>
    </row>
    <row r="615">
      <c r="A615" s="32"/>
      <c r="B615" s="30"/>
      <c r="C615" s="33"/>
      <c r="D615" s="22"/>
      <c r="E615" s="31"/>
      <c r="F615" s="22"/>
      <c r="G615" s="33"/>
      <c r="H615" s="24">
        <v>30.0</v>
      </c>
      <c r="I615" s="24">
        <v>35.0</v>
      </c>
      <c r="J615" s="24">
        <v>36.0</v>
      </c>
      <c r="K615" s="24">
        <f>IF(H615=0,0,CAPITAL!$C$5/H615)
</f>
        <v>5000</v>
      </c>
      <c r="L615" s="24">
        <f>IF(I615=0,0,CAPITAL!$C$6/I615)
</f>
        <v>20000</v>
      </c>
      <c r="M615" s="24">
        <f>IF(J615=0,0,CAPITAL!$C$7/J615)
</f>
        <v>69444.44444</v>
      </c>
      <c r="N615" s="24">
        <f t="shared" si="1"/>
        <v>94444.44444</v>
      </c>
      <c r="O615" s="24">
        <f t="shared" si="2"/>
        <v>0.05294117647</v>
      </c>
      <c r="P615" s="24">
        <f t="shared" si="3"/>
        <v>0.2117647059</v>
      </c>
      <c r="Q615" s="24">
        <f t="shared" si="4"/>
        <v>0.7352941176</v>
      </c>
    </row>
    <row r="616">
      <c r="A616" s="32"/>
      <c r="B616" s="30"/>
      <c r="C616" s="33"/>
      <c r="D616" s="22"/>
      <c r="E616" s="31"/>
      <c r="F616" s="22"/>
      <c r="G616" s="33"/>
      <c r="H616" s="24">
        <v>30.0</v>
      </c>
      <c r="I616" s="24">
        <v>35.0</v>
      </c>
      <c r="J616" s="24">
        <v>36.0</v>
      </c>
      <c r="K616" s="24">
        <f>IF(H616=0,0,CAPITAL!$C$5/H616)
</f>
        <v>5000</v>
      </c>
      <c r="L616" s="24">
        <f>IF(I616=0,0,CAPITAL!$C$6/I616)
</f>
        <v>20000</v>
      </c>
      <c r="M616" s="24">
        <f>IF(J616=0,0,CAPITAL!$C$7/J616)
</f>
        <v>69444.44444</v>
      </c>
      <c r="N616" s="24">
        <f t="shared" si="1"/>
        <v>94444.44444</v>
      </c>
      <c r="O616" s="24">
        <f t="shared" si="2"/>
        <v>0.05294117647</v>
      </c>
      <c r="P616" s="24">
        <f t="shared" si="3"/>
        <v>0.2117647059</v>
      </c>
      <c r="Q616" s="24">
        <f t="shared" si="4"/>
        <v>0.7352941176</v>
      </c>
    </row>
    <row r="617">
      <c r="A617" s="32"/>
      <c r="B617" s="30"/>
      <c r="C617" s="33"/>
      <c r="D617" s="22"/>
      <c r="E617" s="31"/>
      <c r="F617" s="22"/>
      <c r="G617" s="33"/>
      <c r="H617" s="24">
        <v>30.0</v>
      </c>
      <c r="I617" s="24">
        <v>35.0</v>
      </c>
      <c r="J617" s="24">
        <v>36.0</v>
      </c>
      <c r="K617" s="24">
        <f>IF(H617=0,0,CAPITAL!$C$5/H617)
</f>
        <v>5000</v>
      </c>
      <c r="L617" s="24">
        <f>IF(I617=0,0,CAPITAL!$C$6/I617)
</f>
        <v>20000</v>
      </c>
      <c r="M617" s="24">
        <f>IF(J617=0,0,CAPITAL!$C$7/J617)
</f>
        <v>69444.44444</v>
      </c>
      <c r="N617" s="24">
        <f t="shared" si="1"/>
        <v>94444.44444</v>
      </c>
      <c r="O617" s="24">
        <f t="shared" si="2"/>
        <v>0.05294117647</v>
      </c>
      <c r="P617" s="24">
        <f t="shared" si="3"/>
        <v>0.2117647059</v>
      </c>
      <c r="Q617" s="24">
        <f t="shared" si="4"/>
        <v>0.7352941176</v>
      </c>
    </row>
    <row r="618">
      <c r="A618" s="32"/>
      <c r="B618" s="30"/>
      <c r="C618" s="33"/>
      <c r="D618" s="22"/>
      <c r="E618" s="31"/>
      <c r="F618" s="22"/>
      <c r="G618" s="33"/>
      <c r="H618" s="24">
        <v>30.0</v>
      </c>
      <c r="I618" s="24">
        <v>35.0</v>
      </c>
      <c r="J618" s="24">
        <v>36.0</v>
      </c>
      <c r="K618" s="24">
        <f>IF(H618=0,0,CAPITAL!$C$5/H618)
</f>
        <v>5000</v>
      </c>
      <c r="L618" s="24">
        <f>IF(I618=0,0,CAPITAL!$C$6/I618)
</f>
        <v>20000</v>
      </c>
      <c r="M618" s="24">
        <f>IF(J618=0,0,CAPITAL!$C$7/J618)
</f>
        <v>69444.44444</v>
      </c>
      <c r="N618" s="24">
        <f t="shared" si="1"/>
        <v>94444.44444</v>
      </c>
      <c r="O618" s="24">
        <f t="shared" si="2"/>
        <v>0.05294117647</v>
      </c>
      <c r="P618" s="24">
        <f t="shared" si="3"/>
        <v>0.2117647059</v>
      </c>
      <c r="Q618" s="24">
        <f t="shared" si="4"/>
        <v>0.7352941176</v>
      </c>
    </row>
    <row r="619">
      <c r="A619" s="32"/>
      <c r="B619" s="30"/>
      <c r="C619" s="33"/>
      <c r="D619" s="22"/>
      <c r="E619" s="31"/>
      <c r="F619" s="22"/>
      <c r="G619" s="33"/>
      <c r="H619" s="24">
        <v>30.0</v>
      </c>
      <c r="I619" s="24">
        <v>35.0</v>
      </c>
      <c r="J619" s="24">
        <v>36.0</v>
      </c>
      <c r="K619" s="24">
        <f>IF(H619=0,0,CAPITAL!$C$5/H619)
</f>
        <v>5000</v>
      </c>
      <c r="L619" s="24">
        <f>IF(I619=0,0,CAPITAL!$C$6/I619)
</f>
        <v>20000</v>
      </c>
      <c r="M619" s="24">
        <f>IF(J619=0,0,CAPITAL!$C$7/J619)
</f>
        <v>69444.44444</v>
      </c>
      <c r="N619" s="24">
        <f t="shared" si="1"/>
        <v>94444.44444</v>
      </c>
      <c r="O619" s="24">
        <f t="shared" si="2"/>
        <v>0.05294117647</v>
      </c>
      <c r="P619" s="24">
        <f t="shared" si="3"/>
        <v>0.2117647059</v>
      </c>
      <c r="Q619" s="24">
        <f t="shared" si="4"/>
        <v>0.7352941176</v>
      </c>
    </row>
    <row r="620">
      <c r="A620" s="32"/>
      <c r="B620" s="30"/>
      <c r="C620" s="33"/>
      <c r="D620" s="22"/>
      <c r="E620" s="31"/>
      <c r="F620" s="22"/>
      <c r="G620" s="33"/>
      <c r="H620" s="24">
        <v>30.0</v>
      </c>
      <c r="I620" s="24">
        <v>35.0</v>
      </c>
      <c r="J620" s="24">
        <v>36.0</v>
      </c>
      <c r="K620" s="24">
        <f>IF(H620=0,0,CAPITAL!$C$5/H620)
</f>
        <v>5000</v>
      </c>
      <c r="L620" s="24">
        <f>IF(I620=0,0,CAPITAL!$C$6/I620)
</f>
        <v>20000</v>
      </c>
      <c r="M620" s="24">
        <f>IF(J620=0,0,CAPITAL!$C$7/J620)
</f>
        <v>69444.44444</v>
      </c>
      <c r="N620" s="24">
        <f t="shared" si="1"/>
        <v>94444.44444</v>
      </c>
      <c r="O620" s="24">
        <f t="shared" si="2"/>
        <v>0.05294117647</v>
      </c>
      <c r="P620" s="24">
        <f t="shared" si="3"/>
        <v>0.2117647059</v>
      </c>
      <c r="Q620" s="24">
        <f t="shared" si="4"/>
        <v>0.7352941176</v>
      </c>
    </row>
    <row r="621">
      <c r="A621" s="32"/>
      <c r="B621" s="30"/>
      <c r="C621" s="33"/>
      <c r="D621" s="22"/>
      <c r="E621" s="31"/>
      <c r="F621" s="22"/>
      <c r="G621" s="33"/>
      <c r="H621" s="24">
        <v>30.0</v>
      </c>
      <c r="I621" s="24">
        <v>35.0</v>
      </c>
      <c r="J621" s="24">
        <v>36.0</v>
      </c>
      <c r="K621" s="24">
        <f>IF(H621=0,0,CAPITAL!$C$5/H621)
</f>
        <v>5000</v>
      </c>
      <c r="L621" s="24">
        <f>IF(I621=0,0,CAPITAL!$C$6/I621)
</f>
        <v>20000</v>
      </c>
      <c r="M621" s="24">
        <f>IF(J621=0,0,CAPITAL!$C$7/J621)
</f>
        <v>69444.44444</v>
      </c>
      <c r="N621" s="24">
        <f t="shared" si="1"/>
        <v>94444.44444</v>
      </c>
      <c r="O621" s="24">
        <f t="shared" si="2"/>
        <v>0.05294117647</v>
      </c>
      <c r="P621" s="24">
        <f t="shared" si="3"/>
        <v>0.2117647059</v>
      </c>
      <c r="Q621" s="24">
        <f t="shared" si="4"/>
        <v>0.7352941176</v>
      </c>
    </row>
    <row r="622">
      <c r="A622" s="32"/>
      <c r="B622" s="30"/>
      <c r="C622" s="33"/>
      <c r="D622" s="22"/>
      <c r="E622" s="31"/>
      <c r="F622" s="22"/>
      <c r="G622" s="33"/>
      <c r="H622" s="24">
        <v>30.0</v>
      </c>
      <c r="I622" s="24">
        <v>35.0</v>
      </c>
      <c r="J622" s="24">
        <v>36.0</v>
      </c>
      <c r="K622" s="24">
        <f>IF(H622=0,0,CAPITAL!$C$5/H622)
</f>
        <v>5000</v>
      </c>
      <c r="L622" s="24">
        <f>IF(I622=0,0,CAPITAL!$C$6/I622)
</f>
        <v>20000</v>
      </c>
      <c r="M622" s="24">
        <f>IF(J622=0,0,CAPITAL!$C$7/J622)
</f>
        <v>69444.44444</v>
      </c>
      <c r="N622" s="24">
        <f t="shared" si="1"/>
        <v>94444.44444</v>
      </c>
      <c r="O622" s="24">
        <f t="shared" si="2"/>
        <v>0.05294117647</v>
      </c>
      <c r="P622" s="24">
        <f t="shared" si="3"/>
        <v>0.2117647059</v>
      </c>
      <c r="Q622" s="24">
        <f t="shared" si="4"/>
        <v>0.7352941176</v>
      </c>
    </row>
    <row r="623">
      <c r="A623" s="32"/>
      <c r="B623" s="30"/>
      <c r="C623" s="33"/>
      <c r="D623" s="22"/>
      <c r="E623" s="31"/>
      <c r="F623" s="22"/>
      <c r="G623" s="33"/>
      <c r="H623" s="24">
        <v>30.0</v>
      </c>
      <c r="I623" s="24">
        <v>35.0</v>
      </c>
      <c r="J623" s="24">
        <v>36.0</v>
      </c>
      <c r="K623" s="24">
        <f>IF(H623=0,0,CAPITAL!$C$5/H623)
</f>
        <v>5000</v>
      </c>
      <c r="L623" s="24">
        <f>IF(I623=0,0,CAPITAL!$C$6/I623)
</f>
        <v>20000</v>
      </c>
      <c r="M623" s="24">
        <f>IF(J623=0,0,CAPITAL!$C$7/J623)
</f>
        <v>69444.44444</v>
      </c>
      <c r="N623" s="24">
        <f t="shared" si="1"/>
        <v>94444.44444</v>
      </c>
      <c r="O623" s="24">
        <f t="shared" si="2"/>
        <v>0.05294117647</v>
      </c>
      <c r="P623" s="24">
        <f t="shared" si="3"/>
        <v>0.2117647059</v>
      </c>
      <c r="Q623" s="24">
        <f t="shared" si="4"/>
        <v>0.7352941176</v>
      </c>
    </row>
    <row r="624">
      <c r="A624" s="32"/>
      <c r="B624" s="30"/>
      <c r="C624" s="33"/>
      <c r="D624" s="22"/>
      <c r="E624" s="31"/>
      <c r="F624" s="22"/>
      <c r="G624" s="33"/>
      <c r="H624" s="24">
        <v>30.0</v>
      </c>
      <c r="I624" s="24">
        <v>35.0</v>
      </c>
      <c r="J624" s="24">
        <v>36.0</v>
      </c>
      <c r="K624" s="24">
        <f>IF(H624=0,0,CAPITAL!$C$5/H624)
</f>
        <v>5000</v>
      </c>
      <c r="L624" s="24">
        <f>IF(I624=0,0,CAPITAL!$C$6/I624)
</f>
        <v>20000</v>
      </c>
      <c r="M624" s="24">
        <f>IF(J624=0,0,CAPITAL!$C$7/J624)
</f>
        <v>69444.44444</v>
      </c>
      <c r="N624" s="24">
        <f t="shared" si="1"/>
        <v>94444.44444</v>
      </c>
      <c r="O624" s="24">
        <f t="shared" si="2"/>
        <v>0.05294117647</v>
      </c>
      <c r="P624" s="24">
        <f t="shared" si="3"/>
        <v>0.2117647059</v>
      </c>
      <c r="Q624" s="24">
        <f t="shared" si="4"/>
        <v>0.7352941176</v>
      </c>
    </row>
    <row r="625">
      <c r="A625" s="32"/>
      <c r="B625" s="30"/>
      <c r="C625" s="33"/>
      <c r="D625" s="22"/>
      <c r="E625" s="31"/>
      <c r="F625" s="22"/>
      <c r="G625" s="33"/>
      <c r="H625" s="24">
        <v>30.0</v>
      </c>
      <c r="I625" s="24">
        <v>35.0</v>
      </c>
      <c r="J625" s="24">
        <v>36.0</v>
      </c>
      <c r="K625" s="24">
        <f>IF(H625=0,0,CAPITAL!$C$5/H625)
</f>
        <v>5000</v>
      </c>
      <c r="L625" s="24">
        <f>IF(I625=0,0,CAPITAL!$C$6/I625)
</f>
        <v>20000</v>
      </c>
      <c r="M625" s="24">
        <f>IF(J625=0,0,CAPITAL!$C$7/J625)
</f>
        <v>69444.44444</v>
      </c>
      <c r="N625" s="24">
        <f t="shared" si="1"/>
        <v>94444.44444</v>
      </c>
      <c r="O625" s="24">
        <f t="shared" si="2"/>
        <v>0.05294117647</v>
      </c>
      <c r="P625" s="24">
        <f t="shared" si="3"/>
        <v>0.2117647059</v>
      </c>
      <c r="Q625" s="24">
        <f t="shared" si="4"/>
        <v>0.7352941176</v>
      </c>
    </row>
    <row r="626">
      <c r="A626" s="32"/>
      <c r="B626" s="30"/>
      <c r="C626" s="33"/>
      <c r="D626" s="22"/>
      <c r="E626" s="31"/>
      <c r="F626" s="22"/>
      <c r="G626" s="33"/>
      <c r="H626" s="24">
        <v>30.0</v>
      </c>
      <c r="I626" s="24">
        <v>35.0</v>
      </c>
      <c r="J626" s="24">
        <v>36.0</v>
      </c>
      <c r="K626" s="24">
        <f>IF(H626=0,0,CAPITAL!$C$5/H626)
</f>
        <v>5000</v>
      </c>
      <c r="L626" s="24">
        <f>IF(I626=0,0,CAPITAL!$C$6/I626)
</f>
        <v>20000</v>
      </c>
      <c r="M626" s="24">
        <f>IF(J626=0,0,CAPITAL!$C$7/J626)
</f>
        <v>69444.44444</v>
      </c>
      <c r="N626" s="24">
        <f t="shared" si="1"/>
        <v>94444.44444</v>
      </c>
      <c r="O626" s="24">
        <f t="shared" si="2"/>
        <v>0.05294117647</v>
      </c>
      <c r="P626" s="24">
        <f t="shared" si="3"/>
        <v>0.2117647059</v>
      </c>
      <c r="Q626" s="24">
        <f t="shared" si="4"/>
        <v>0.7352941176</v>
      </c>
    </row>
    <row r="627">
      <c r="A627" s="32"/>
      <c r="B627" s="30"/>
      <c r="C627" s="33"/>
      <c r="D627" s="22"/>
      <c r="E627" s="31"/>
      <c r="F627" s="22"/>
      <c r="G627" s="33"/>
      <c r="H627" s="24">
        <v>30.0</v>
      </c>
      <c r="I627" s="24">
        <v>35.0</v>
      </c>
      <c r="J627" s="24">
        <v>36.0</v>
      </c>
      <c r="K627" s="24">
        <f>IF(H627=0,0,CAPITAL!$C$5/H627)
</f>
        <v>5000</v>
      </c>
      <c r="L627" s="24">
        <f>IF(I627=0,0,CAPITAL!$C$6/I627)
</f>
        <v>20000</v>
      </c>
      <c r="M627" s="24">
        <f>IF(J627=0,0,CAPITAL!$C$7/J627)
</f>
        <v>69444.44444</v>
      </c>
      <c r="N627" s="24">
        <f t="shared" si="1"/>
        <v>94444.44444</v>
      </c>
      <c r="O627" s="24">
        <f t="shared" si="2"/>
        <v>0.05294117647</v>
      </c>
      <c r="P627" s="24">
        <f t="shared" si="3"/>
        <v>0.2117647059</v>
      </c>
      <c r="Q627" s="24">
        <f t="shared" si="4"/>
        <v>0.7352941176</v>
      </c>
    </row>
    <row r="628">
      <c r="A628" s="32"/>
      <c r="B628" s="30"/>
      <c r="C628" s="33"/>
      <c r="D628" s="22"/>
      <c r="E628" s="31"/>
      <c r="F628" s="22"/>
      <c r="G628" s="33"/>
      <c r="H628" s="24">
        <v>30.0</v>
      </c>
      <c r="I628" s="24">
        <v>35.0</v>
      </c>
      <c r="J628" s="24">
        <v>36.0</v>
      </c>
      <c r="K628" s="24">
        <f>IF(H628=0,0,CAPITAL!$C$5/H628)
</f>
        <v>5000</v>
      </c>
      <c r="L628" s="24">
        <f>IF(I628=0,0,CAPITAL!$C$6/I628)
</f>
        <v>20000</v>
      </c>
      <c r="M628" s="24">
        <f>IF(J628=0,0,CAPITAL!$C$7/J628)
</f>
        <v>69444.44444</v>
      </c>
      <c r="N628" s="24">
        <f t="shared" si="1"/>
        <v>94444.44444</v>
      </c>
      <c r="O628" s="24">
        <f t="shared" si="2"/>
        <v>0.05294117647</v>
      </c>
      <c r="P628" s="24">
        <f t="shared" si="3"/>
        <v>0.2117647059</v>
      </c>
      <c r="Q628" s="24">
        <f t="shared" si="4"/>
        <v>0.7352941176</v>
      </c>
    </row>
    <row r="629">
      <c r="A629" s="32"/>
      <c r="B629" s="30"/>
      <c r="C629" s="33"/>
      <c r="D629" s="22"/>
      <c r="E629" s="31"/>
      <c r="F629" s="22"/>
      <c r="G629" s="33"/>
      <c r="H629" s="24">
        <v>30.0</v>
      </c>
      <c r="I629" s="24">
        <v>35.0</v>
      </c>
      <c r="J629" s="24">
        <v>36.0</v>
      </c>
      <c r="K629" s="24">
        <f>IF(H629=0,0,CAPITAL!$C$5/H629)
</f>
        <v>5000</v>
      </c>
      <c r="L629" s="24">
        <f>IF(I629=0,0,CAPITAL!$C$6/I629)
</f>
        <v>20000</v>
      </c>
      <c r="M629" s="24">
        <f>IF(J629=0,0,CAPITAL!$C$7/J629)
</f>
        <v>69444.44444</v>
      </c>
      <c r="N629" s="24">
        <f t="shared" si="1"/>
        <v>94444.44444</v>
      </c>
      <c r="O629" s="24">
        <f t="shared" si="2"/>
        <v>0.05294117647</v>
      </c>
      <c r="P629" s="24">
        <f t="shared" si="3"/>
        <v>0.2117647059</v>
      </c>
      <c r="Q629" s="24">
        <f t="shared" si="4"/>
        <v>0.7352941176</v>
      </c>
    </row>
    <row r="630">
      <c r="A630" s="32"/>
      <c r="B630" s="30"/>
      <c r="C630" s="33"/>
      <c r="D630" s="22"/>
      <c r="E630" s="31"/>
      <c r="F630" s="22"/>
      <c r="G630" s="33"/>
      <c r="H630" s="24">
        <v>30.0</v>
      </c>
      <c r="I630" s="24">
        <v>35.0</v>
      </c>
      <c r="J630" s="24">
        <v>36.0</v>
      </c>
      <c r="K630" s="24">
        <f>IF(H630=0,0,CAPITAL!$C$5/H630)
</f>
        <v>5000</v>
      </c>
      <c r="L630" s="24">
        <f>IF(I630=0,0,CAPITAL!$C$6/I630)
</f>
        <v>20000</v>
      </c>
      <c r="M630" s="24">
        <f>IF(J630=0,0,CAPITAL!$C$7/J630)
</f>
        <v>69444.44444</v>
      </c>
      <c r="N630" s="24">
        <f t="shared" si="1"/>
        <v>94444.44444</v>
      </c>
      <c r="O630" s="24">
        <f t="shared" si="2"/>
        <v>0.05294117647</v>
      </c>
      <c r="P630" s="24">
        <f t="shared" si="3"/>
        <v>0.2117647059</v>
      </c>
      <c r="Q630" s="24">
        <f t="shared" si="4"/>
        <v>0.7352941176</v>
      </c>
    </row>
    <row r="631">
      <c r="A631" s="32"/>
      <c r="B631" s="30"/>
      <c r="C631" s="33"/>
      <c r="D631" s="22"/>
      <c r="E631" s="31"/>
      <c r="F631" s="22"/>
      <c r="G631" s="33"/>
      <c r="H631" s="24">
        <v>30.0</v>
      </c>
      <c r="I631" s="24">
        <v>35.0</v>
      </c>
      <c r="J631" s="24">
        <v>36.0</v>
      </c>
      <c r="K631" s="24">
        <f>IF(H631=0,0,CAPITAL!$C$5/H631)
</f>
        <v>5000</v>
      </c>
      <c r="L631" s="24">
        <f>IF(I631=0,0,CAPITAL!$C$6/I631)
</f>
        <v>20000</v>
      </c>
      <c r="M631" s="24">
        <f>IF(J631=0,0,CAPITAL!$C$7/J631)
</f>
        <v>69444.44444</v>
      </c>
      <c r="N631" s="24">
        <f t="shared" si="1"/>
        <v>94444.44444</v>
      </c>
      <c r="O631" s="24">
        <f t="shared" si="2"/>
        <v>0.05294117647</v>
      </c>
      <c r="P631" s="24">
        <f t="shared" si="3"/>
        <v>0.2117647059</v>
      </c>
      <c r="Q631" s="24">
        <f t="shared" si="4"/>
        <v>0.7352941176</v>
      </c>
    </row>
    <row r="632">
      <c r="A632" s="32"/>
      <c r="B632" s="30"/>
      <c r="C632" s="33"/>
      <c r="D632" s="22"/>
      <c r="E632" s="31"/>
      <c r="F632" s="22"/>
      <c r="G632" s="33"/>
      <c r="H632" s="24">
        <v>30.0</v>
      </c>
      <c r="I632" s="24">
        <v>35.0</v>
      </c>
      <c r="J632" s="24">
        <v>36.0</v>
      </c>
      <c r="K632" s="24">
        <f>IF(H632=0,0,CAPITAL!$C$5/H632)
</f>
        <v>5000</v>
      </c>
      <c r="L632" s="24">
        <f>IF(I632=0,0,CAPITAL!$C$6/I632)
</f>
        <v>20000</v>
      </c>
      <c r="M632" s="24">
        <f>IF(J632=0,0,CAPITAL!$C$7/J632)
</f>
        <v>69444.44444</v>
      </c>
      <c r="N632" s="24">
        <f t="shared" si="1"/>
        <v>94444.44444</v>
      </c>
      <c r="O632" s="24">
        <f t="shared" si="2"/>
        <v>0.05294117647</v>
      </c>
      <c r="P632" s="24">
        <f t="shared" si="3"/>
        <v>0.2117647059</v>
      </c>
      <c r="Q632" s="24">
        <f t="shared" si="4"/>
        <v>0.7352941176</v>
      </c>
    </row>
    <row r="633">
      <c r="A633" s="32"/>
      <c r="B633" s="30"/>
      <c r="C633" s="33"/>
      <c r="D633" s="22"/>
      <c r="E633" s="31"/>
      <c r="F633" s="22"/>
      <c r="G633" s="33"/>
      <c r="H633" s="24">
        <v>30.0</v>
      </c>
      <c r="I633" s="24">
        <v>35.0</v>
      </c>
      <c r="J633" s="24">
        <v>36.0</v>
      </c>
      <c r="K633" s="24">
        <f>IF(H633=0,0,CAPITAL!$C$5/H633)
</f>
        <v>5000</v>
      </c>
      <c r="L633" s="24">
        <f>IF(I633=0,0,CAPITAL!$C$6/I633)
</f>
        <v>20000</v>
      </c>
      <c r="M633" s="24">
        <f>IF(J633=0,0,CAPITAL!$C$7/J633)
</f>
        <v>69444.44444</v>
      </c>
      <c r="N633" s="24">
        <f t="shared" si="1"/>
        <v>94444.44444</v>
      </c>
      <c r="O633" s="24">
        <f t="shared" si="2"/>
        <v>0.05294117647</v>
      </c>
      <c r="P633" s="24">
        <f t="shared" si="3"/>
        <v>0.2117647059</v>
      </c>
      <c r="Q633" s="24">
        <f t="shared" si="4"/>
        <v>0.7352941176</v>
      </c>
    </row>
    <row r="634">
      <c r="A634" s="32"/>
      <c r="B634" s="30"/>
      <c r="C634" s="33"/>
      <c r="D634" s="22"/>
      <c r="E634" s="31"/>
      <c r="F634" s="22"/>
      <c r="G634" s="33"/>
      <c r="H634" s="24">
        <v>30.0</v>
      </c>
      <c r="I634" s="24">
        <v>35.0</v>
      </c>
      <c r="J634" s="24">
        <v>36.0</v>
      </c>
      <c r="K634" s="24">
        <f>IF(H634=0,0,CAPITAL!$C$5/H634)
</f>
        <v>5000</v>
      </c>
      <c r="L634" s="24">
        <f>IF(I634=0,0,CAPITAL!$C$6/I634)
</f>
        <v>20000</v>
      </c>
      <c r="M634" s="24">
        <f>IF(J634=0,0,CAPITAL!$C$7/J634)
</f>
        <v>69444.44444</v>
      </c>
      <c r="N634" s="24">
        <f t="shared" si="1"/>
        <v>94444.44444</v>
      </c>
      <c r="O634" s="24">
        <f t="shared" si="2"/>
        <v>0.05294117647</v>
      </c>
      <c r="P634" s="24">
        <f t="shared" si="3"/>
        <v>0.2117647059</v>
      </c>
      <c r="Q634" s="24">
        <f t="shared" si="4"/>
        <v>0.7352941176</v>
      </c>
    </row>
    <row r="635">
      <c r="A635" s="32"/>
      <c r="B635" s="30"/>
      <c r="C635" s="33"/>
      <c r="D635" s="22"/>
      <c r="E635" s="31"/>
      <c r="F635" s="22"/>
      <c r="G635" s="33"/>
      <c r="H635" s="24">
        <v>30.0</v>
      </c>
      <c r="I635" s="24">
        <v>35.0</v>
      </c>
      <c r="J635" s="24">
        <v>36.0</v>
      </c>
      <c r="K635" s="24">
        <f>IF(H635=0,0,CAPITAL!$C$5/H635)
</f>
        <v>5000</v>
      </c>
      <c r="L635" s="24">
        <f>IF(I635=0,0,CAPITAL!$C$6/I635)
</f>
        <v>20000</v>
      </c>
      <c r="M635" s="24">
        <f>IF(J635=0,0,CAPITAL!$C$7/J635)
</f>
        <v>69444.44444</v>
      </c>
      <c r="N635" s="24">
        <f t="shared" si="1"/>
        <v>94444.44444</v>
      </c>
      <c r="O635" s="24">
        <f t="shared" si="2"/>
        <v>0.05294117647</v>
      </c>
      <c r="P635" s="24">
        <f t="shared" si="3"/>
        <v>0.2117647059</v>
      </c>
      <c r="Q635" s="24">
        <f t="shared" si="4"/>
        <v>0.7352941176</v>
      </c>
    </row>
    <row r="636">
      <c r="A636" s="32"/>
      <c r="B636" s="30"/>
      <c r="C636" s="33"/>
      <c r="D636" s="22"/>
      <c r="E636" s="31"/>
      <c r="F636" s="22"/>
      <c r="G636" s="33"/>
      <c r="H636" s="24">
        <v>30.0</v>
      </c>
      <c r="I636" s="24">
        <v>35.0</v>
      </c>
      <c r="J636" s="24">
        <v>36.0</v>
      </c>
      <c r="K636" s="24">
        <f>IF(H636=0,0,CAPITAL!$C$5/H636)
</f>
        <v>5000</v>
      </c>
      <c r="L636" s="24">
        <f>IF(I636=0,0,CAPITAL!$C$6/I636)
</f>
        <v>20000</v>
      </c>
      <c r="M636" s="24">
        <f>IF(J636=0,0,CAPITAL!$C$7/J636)
</f>
        <v>69444.44444</v>
      </c>
      <c r="N636" s="24">
        <f t="shared" si="1"/>
        <v>94444.44444</v>
      </c>
      <c r="O636" s="24">
        <f t="shared" si="2"/>
        <v>0.05294117647</v>
      </c>
      <c r="P636" s="24">
        <f t="shared" si="3"/>
        <v>0.2117647059</v>
      </c>
      <c r="Q636" s="24">
        <f t="shared" si="4"/>
        <v>0.7352941176</v>
      </c>
    </row>
    <row r="637">
      <c r="A637" s="32"/>
      <c r="B637" s="30"/>
      <c r="C637" s="33"/>
      <c r="D637" s="22"/>
      <c r="E637" s="31"/>
      <c r="F637" s="22"/>
      <c r="G637" s="33"/>
      <c r="H637" s="24">
        <v>30.0</v>
      </c>
      <c r="I637" s="24">
        <v>35.0</v>
      </c>
      <c r="J637" s="24">
        <v>36.0</v>
      </c>
      <c r="K637" s="24">
        <f>IF(H637=0,0,CAPITAL!$C$5/H637)
</f>
        <v>5000</v>
      </c>
      <c r="L637" s="24">
        <f>IF(I637=0,0,CAPITAL!$C$6/I637)
</f>
        <v>20000</v>
      </c>
      <c r="M637" s="24">
        <f>IF(J637=0,0,CAPITAL!$C$7/J637)
</f>
        <v>69444.44444</v>
      </c>
      <c r="N637" s="24">
        <f t="shared" si="1"/>
        <v>94444.44444</v>
      </c>
      <c r="O637" s="24">
        <f t="shared" si="2"/>
        <v>0.05294117647</v>
      </c>
      <c r="P637" s="24">
        <f t="shared" si="3"/>
        <v>0.2117647059</v>
      </c>
      <c r="Q637" s="24">
        <f t="shared" si="4"/>
        <v>0.7352941176</v>
      </c>
    </row>
    <row r="638">
      <c r="A638" s="32"/>
      <c r="B638" s="30"/>
      <c r="C638" s="33"/>
      <c r="D638" s="22"/>
      <c r="E638" s="31"/>
      <c r="F638" s="22"/>
      <c r="G638" s="33"/>
      <c r="H638" s="24">
        <v>30.0</v>
      </c>
      <c r="I638" s="24">
        <v>35.0</v>
      </c>
      <c r="J638" s="24">
        <v>36.0</v>
      </c>
      <c r="K638" s="24">
        <f>IF(H638=0,0,CAPITAL!$C$5/H638)
</f>
        <v>5000</v>
      </c>
      <c r="L638" s="24">
        <f>IF(I638=0,0,CAPITAL!$C$6/I638)
</f>
        <v>20000</v>
      </c>
      <c r="M638" s="24">
        <f>IF(J638=0,0,CAPITAL!$C$7/J638)
</f>
        <v>69444.44444</v>
      </c>
      <c r="N638" s="24">
        <f t="shared" si="1"/>
        <v>94444.44444</v>
      </c>
      <c r="O638" s="24">
        <f t="shared" si="2"/>
        <v>0.05294117647</v>
      </c>
      <c r="P638" s="24">
        <f t="shared" si="3"/>
        <v>0.2117647059</v>
      </c>
      <c r="Q638" s="24">
        <f t="shared" si="4"/>
        <v>0.7352941176</v>
      </c>
    </row>
    <row r="639">
      <c r="A639" s="32"/>
      <c r="B639" s="30"/>
      <c r="C639" s="33"/>
      <c r="D639" s="22"/>
      <c r="E639" s="31"/>
      <c r="F639" s="22"/>
      <c r="G639" s="33"/>
      <c r="H639" s="24">
        <v>30.0</v>
      </c>
      <c r="I639" s="24">
        <v>35.0</v>
      </c>
      <c r="J639" s="24">
        <v>36.0</v>
      </c>
      <c r="K639" s="24">
        <f>IF(H639=0,0,CAPITAL!$C$5/H639)
</f>
        <v>5000</v>
      </c>
      <c r="L639" s="24">
        <f>IF(I639=0,0,CAPITAL!$C$6/I639)
</f>
        <v>20000</v>
      </c>
      <c r="M639" s="24">
        <f>IF(J639=0,0,CAPITAL!$C$7/J639)
</f>
        <v>69444.44444</v>
      </c>
      <c r="N639" s="24">
        <f t="shared" si="1"/>
        <v>94444.44444</v>
      </c>
      <c r="O639" s="24">
        <f t="shared" si="2"/>
        <v>0.05294117647</v>
      </c>
      <c r="P639" s="24">
        <f t="shared" si="3"/>
        <v>0.2117647059</v>
      </c>
      <c r="Q639" s="24">
        <f t="shared" si="4"/>
        <v>0.7352941176</v>
      </c>
    </row>
    <row r="640">
      <c r="A640" s="32"/>
      <c r="B640" s="30"/>
      <c r="C640" s="33"/>
      <c r="D640" s="22"/>
      <c r="E640" s="31"/>
      <c r="F640" s="22"/>
      <c r="G640" s="33"/>
      <c r="H640" s="24">
        <v>30.0</v>
      </c>
      <c r="I640" s="24">
        <v>35.0</v>
      </c>
      <c r="J640" s="24">
        <v>36.0</v>
      </c>
      <c r="K640" s="24">
        <f>IF(H640=0,0,CAPITAL!$C$5/H640)
</f>
        <v>5000</v>
      </c>
      <c r="L640" s="24">
        <f>IF(I640=0,0,CAPITAL!$C$6/I640)
</f>
        <v>20000</v>
      </c>
      <c r="M640" s="24">
        <f>IF(J640=0,0,CAPITAL!$C$7/J640)
</f>
        <v>69444.44444</v>
      </c>
      <c r="N640" s="24">
        <f t="shared" si="1"/>
        <v>94444.44444</v>
      </c>
      <c r="O640" s="24">
        <f t="shared" si="2"/>
        <v>0.05294117647</v>
      </c>
      <c r="P640" s="24">
        <f t="shared" si="3"/>
        <v>0.2117647059</v>
      </c>
      <c r="Q640" s="24">
        <f t="shared" si="4"/>
        <v>0.7352941176</v>
      </c>
    </row>
    <row r="641">
      <c r="A641" s="32"/>
      <c r="B641" s="30"/>
      <c r="C641" s="33"/>
      <c r="D641" s="22"/>
      <c r="E641" s="31"/>
      <c r="F641" s="22"/>
      <c r="G641" s="33"/>
      <c r="H641" s="24">
        <v>30.0</v>
      </c>
      <c r="I641" s="24">
        <v>35.0</v>
      </c>
      <c r="J641" s="24">
        <v>36.0</v>
      </c>
      <c r="K641" s="24">
        <f>IF(H641=0,0,CAPITAL!$C$5/H641)
</f>
        <v>5000</v>
      </c>
      <c r="L641" s="24">
        <f>IF(I641=0,0,CAPITAL!$C$6/I641)
</f>
        <v>20000</v>
      </c>
      <c r="M641" s="24">
        <f>IF(J641=0,0,CAPITAL!$C$7/J641)
</f>
        <v>69444.44444</v>
      </c>
      <c r="N641" s="24">
        <f t="shared" si="1"/>
        <v>94444.44444</v>
      </c>
      <c r="O641" s="24">
        <f t="shared" si="2"/>
        <v>0.05294117647</v>
      </c>
      <c r="P641" s="24">
        <f t="shared" si="3"/>
        <v>0.2117647059</v>
      </c>
      <c r="Q641" s="24">
        <f t="shared" si="4"/>
        <v>0.7352941176</v>
      </c>
    </row>
    <row r="642">
      <c r="A642" s="32"/>
      <c r="B642" s="30"/>
      <c r="C642" s="33"/>
      <c r="D642" s="22"/>
      <c r="E642" s="31"/>
      <c r="F642" s="22"/>
      <c r="G642" s="33"/>
      <c r="H642" s="24">
        <v>30.0</v>
      </c>
      <c r="I642" s="24">
        <v>35.0</v>
      </c>
      <c r="J642" s="24">
        <v>36.0</v>
      </c>
      <c r="K642" s="24">
        <f>IF(H642=0,0,CAPITAL!$C$5/H642)
</f>
        <v>5000</v>
      </c>
      <c r="L642" s="24">
        <f>IF(I642=0,0,CAPITAL!$C$6/I642)
</f>
        <v>20000</v>
      </c>
      <c r="M642" s="24">
        <f>IF(J642=0,0,CAPITAL!$C$7/J642)
</f>
        <v>69444.44444</v>
      </c>
      <c r="N642" s="24">
        <f t="shared" si="1"/>
        <v>94444.44444</v>
      </c>
      <c r="O642" s="24">
        <f t="shared" si="2"/>
        <v>0.05294117647</v>
      </c>
      <c r="P642" s="24">
        <f t="shared" si="3"/>
        <v>0.2117647059</v>
      </c>
      <c r="Q642" s="24">
        <f t="shared" si="4"/>
        <v>0.7352941176</v>
      </c>
    </row>
    <row r="643">
      <c r="A643" s="32"/>
      <c r="B643" s="30"/>
      <c r="C643" s="33"/>
      <c r="D643" s="22"/>
      <c r="E643" s="31"/>
      <c r="F643" s="22"/>
      <c r="G643" s="33"/>
      <c r="H643" s="24">
        <v>30.0</v>
      </c>
      <c r="I643" s="24">
        <v>35.0</v>
      </c>
      <c r="J643" s="24">
        <v>36.0</v>
      </c>
      <c r="K643" s="24">
        <f>IF(H643=0,0,CAPITAL!$C$5/H643)
</f>
        <v>5000</v>
      </c>
      <c r="L643" s="24">
        <f>IF(I643=0,0,CAPITAL!$C$6/I643)
</f>
        <v>20000</v>
      </c>
      <c r="M643" s="24">
        <f>IF(J643=0,0,CAPITAL!$C$7/J643)
</f>
        <v>69444.44444</v>
      </c>
      <c r="N643" s="24">
        <f t="shared" si="1"/>
        <v>94444.44444</v>
      </c>
      <c r="O643" s="24">
        <f t="shared" si="2"/>
        <v>0.05294117647</v>
      </c>
      <c r="P643" s="24">
        <f t="shared" si="3"/>
        <v>0.2117647059</v>
      </c>
      <c r="Q643" s="24">
        <f t="shared" si="4"/>
        <v>0.7352941176</v>
      </c>
    </row>
    <row r="644">
      <c r="A644" s="32"/>
      <c r="B644" s="30"/>
      <c r="C644" s="33"/>
      <c r="D644" s="22"/>
      <c r="E644" s="31"/>
      <c r="F644" s="22"/>
      <c r="G644" s="33"/>
      <c r="H644" s="24">
        <v>30.0</v>
      </c>
      <c r="I644" s="24">
        <v>35.0</v>
      </c>
      <c r="J644" s="24">
        <v>36.0</v>
      </c>
      <c r="K644" s="24">
        <f>IF(H644=0,0,CAPITAL!$C$5/H644)
</f>
        <v>5000</v>
      </c>
      <c r="L644" s="24">
        <f>IF(I644=0,0,CAPITAL!$C$6/I644)
</f>
        <v>20000</v>
      </c>
      <c r="M644" s="24">
        <f>IF(J644=0,0,CAPITAL!$C$7/J644)
</f>
        <v>69444.44444</v>
      </c>
      <c r="N644" s="24">
        <f t="shared" si="1"/>
        <v>94444.44444</v>
      </c>
      <c r="O644" s="24">
        <f t="shared" si="2"/>
        <v>0.05294117647</v>
      </c>
      <c r="P644" s="24">
        <f t="shared" si="3"/>
        <v>0.2117647059</v>
      </c>
      <c r="Q644" s="24">
        <f t="shared" si="4"/>
        <v>0.7352941176</v>
      </c>
    </row>
    <row r="645">
      <c r="A645" s="32"/>
      <c r="B645" s="30"/>
      <c r="C645" s="33"/>
      <c r="D645" s="22"/>
      <c r="E645" s="31"/>
      <c r="F645" s="22"/>
      <c r="G645" s="33"/>
      <c r="H645" s="24">
        <v>30.0</v>
      </c>
      <c r="I645" s="24">
        <v>35.0</v>
      </c>
      <c r="J645" s="24">
        <v>36.0</v>
      </c>
      <c r="K645" s="24">
        <f>IF(H645=0,0,CAPITAL!$C$5/H645)
</f>
        <v>5000</v>
      </c>
      <c r="L645" s="24">
        <f>IF(I645=0,0,CAPITAL!$C$6/I645)
</f>
        <v>20000</v>
      </c>
      <c r="M645" s="24">
        <f>IF(J645=0,0,CAPITAL!$C$7/J645)
</f>
        <v>69444.44444</v>
      </c>
      <c r="N645" s="24">
        <f t="shared" si="1"/>
        <v>94444.44444</v>
      </c>
      <c r="O645" s="24">
        <f t="shared" si="2"/>
        <v>0.05294117647</v>
      </c>
      <c r="P645" s="24">
        <f t="shared" si="3"/>
        <v>0.2117647059</v>
      </c>
      <c r="Q645" s="24">
        <f t="shared" si="4"/>
        <v>0.7352941176</v>
      </c>
    </row>
    <row r="646">
      <c r="A646" s="32"/>
      <c r="B646" s="30"/>
      <c r="C646" s="33"/>
      <c r="D646" s="22"/>
      <c r="E646" s="31"/>
      <c r="F646" s="22"/>
      <c r="G646" s="33"/>
      <c r="H646" s="24">
        <v>30.0</v>
      </c>
      <c r="I646" s="24">
        <v>35.0</v>
      </c>
      <c r="J646" s="24">
        <v>36.0</v>
      </c>
      <c r="K646" s="24">
        <f>IF(H646=0,0,CAPITAL!$C$5/H646)
</f>
        <v>5000</v>
      </c>
      <c r="L646" s="24">
        <f>IF(I646=0,0,CAPITAL!$C$6/I646)
</f>
        <v>20000</v>
      </c>
      <c r="M646" s="24">
        <f>IF(J646=0,0,CAPITAL!$C$7/J646)
</f>
        <v>69444.44444</v>
      </c>
      <c r="N646" s="24">
        <f t="shared" si="1"/>
        <v>94444.44444</v>
      </c>
      <c r="O646" s="24">
        <f t="shared" si="2"/>
        <v>0.05294117647</v>
      </c>
      <c r="P646" s="24">
        <f t="shared" si="3"/>
        <v>0.2117647059</v>
      </c>
      <c r="Q646" s="24">
        <f t="shared" si="4"/>
        <v>0.7352941176</v>
      </c>
    </row>
    <row r="647">
      <c r="A647" s="32"/>
      <c r="B647" s="30"/>
      <c r="C647" s="33"/>
      <c r="D647" s="22"/>
      <c r="E647" s="31"/>
      <c r="F647" s="22"/>
      <c r="G647" s="33"/>
      <c r="H647" s="24">
        <v>30.0</v>
      </c>
      <c r="I647" s="24">
        <v>35.0</v>
      </c>
      <c r="J647" s="24">
        <v>36.0</v>
      </c>
      <c r="K647" s="24">
        <f>IF(H647=0,0,CAPITAL!$C$5/H647)
</f>
        <v>5000</v>
      </c>
      <c r="L647" s="24">
        <f>IF(I647=0,0,CAPITAL!$C$6/I647)
</f>
        <v>20000</v>
      </c>
      <c r="M647" s="24">
        <f>IF(J647=0,0,CAPITAL!$C$7/J647)
</f>
        <v>69444.44444</v>
      </c>
      <c r="N647" s="24">
        <f t="shared" si="1"/>
        <v>94444.44444</v>
      </c>
      <c r="O647" s="24">
        <f t="shared" si="2"/>
        <v>0.05294117647</v>
      </c>
      <c r="P647" s="24">
        <f t="shared" si="3"/>
        <v>0.2117647059</v>
      </c>
      <c r="Q647" s="24">
        <f t="shared" si="4"/>
        <v>0.7352941176</v>
      </c>
    </row>
    <row r="648">
      <c r="A648" s="32"/>
      <c r="B648" s="30"/>
      <c r="C648" s="33"/>
      <c r="D648" s="22"/>
      <c r="E648" s="31"/>
      <c r="F648" s="22"/>
      <c r="G648" s="33"/>
      <c r="H648" s="24">
        <v>30.0</v>
      </c>
      <c r="I648" s="24">
        <v>35.0</v>
      </c>
      <c r="J648" s="24">
        <v>36.0</v>
      </c>
      <c r="K648" s="24">
        <f>IF(H648=0,0,CAPITAL!$C$5/H648)
</f>
        <v>5000</v>
      </c>
      <c r="L648" s="24">
        <f>IF(I648=0,0,CAPITAL!$C$6/I648)
</f>
        <v>20000</v>
      </c>
      <c r="M648" s="24">
        <f>IF(J648=0,0,CAPITAL!$C$7/J648)
</f>
        <v>69444.44444</v>
      </c>
      <c r="N648" s="24">
        <f t="shared" si="1"/>
        <v>94444.44444</v>
      </c>
      <c r="O648" s="24">
        <f t="shared" si="2"/>
        <v>0.05294117647</v>
      </c>
      <c r="P648" s="24">
        <f t="shared" si="3"/>
        <v>0.2117647059</v>
      </c>
      <c r="Q648" s="24">
        <f t="shared" si="4"/>
        <v>0.7352941176</v>
      </c>
    </row>
    <row r="649">
      <c r="A649" s="32"/>
      <c r="B649" s="30"/>
      <c r="C649" s="33"/>
      <c r="D649" s="22"/>
      <c r="E649" s="31"/>
      <c r="F649" s="22"/>
      <c r="G649" s="33"/>
      <c r="H649" s="24">
        <v>30.0</v>
      </c>
      <c r="I649" s="24">
        <v>35.0</v>
      </c>
      <c r="J649" s="24">
        <v>36.0</v>
      </c>
      <c r="K649" s="24">
        <f>IF(H649=0,0,CAPITAL!$C$5/H649)
</f>
        <v>5000</v>
      </c>
      <c r="L649" s="24">
        <f>IF(I649=0,0,CAPITAL!$C$6/I649)
</f>
        <v>20000</v>
      </c>
      <c r="M649" s="24">
        <f>IF(J649=0,0,CAPITAL!$C$7/J649)
</f>
        <v>69444.44444</v>
      </c>
      <c r="N649" s="24">
        <f t="shared" si="1"/>
        <v>94444.44444</v>
      </c>
      <c r="O649" s="24">
        <f t="shared" si="2"/>
        <v>0.05294117647</v>
      </c>
      <c r="P649" s="24">
        <f t="shared" si="3"/>
        <v>0.2117647059</v>
      </c>
      <c r="Q649" s="24">
        <f t="shared" si="4"/>
        <v>0.7352941176</v>
      </c>
    </row>
    <row r="650">
      <c r="A650" s="32"/>
      <c r="B650" s="30"/>
      <c r="C650" s="33"/>
      <c r="D650" s="22"/>
      <c r="E650" s="31"/>
      <c r="F650" s="22"/>
      <c r="G650" s="33"/>
      <c r="H650" s="24">
        <v>30.0</v>
      </c>
      <c r="I650" s="24">
        <v>35.0</v>
      </c>
      <c r="J650" s="24">
        <v>36.0</v>
      </c>
      <c r="K650" s="24">
        <f>IF(H650=0,0,CAPITAL!$C$5/H650)
</f>
        <v>5000</v>
      </c>
      <c r="L650" s="24">
        <f>IF(I650=0,0,CAPITAL!$C$6/I650)
</f>
        <v>20000</v>
      </c>
      <c r="M650" s="24">
        <f>IF(J650=0,0,CAPITAL!$C$7/J650)
</f>
        <v>69444.44444</v>
      </c>
      <c r="N650" s="24">
        <f t="shared" si="1"/>
        <v>94444.44444</v>
      </c>
      <c r="O650" s="24">
        <f t="shared" si="2"/>
        <v>0.05294117647</v>
      </c>
      <c r="P650" s="24">
        <f t="shared" si="3"/>
        <v>0.2117647059</v>
      </c>
      <c r="Q650" s="24">
        <f t="shared" si="4"/>
        <v>0.7352941176</v>
      </c>
    </row>
    <row r="651">
      <c r="A651" s="32"/>
      <c r="B651" s="30"/>
      <c r="C651" s="33"/>
      <c r="D651" s="22"/>
      <c r="E651" s="31"/>
      <c r="F651" s="22"/>
      <c r="G651" s="33"/>
      <c r="H651" s="24">
        <v>30.0</v>
      </c>
      <c r="I651" s="24">
        <v>35.0</v>
      </c>
      <c r="J651" s="24">
        <v>36.0</v>
      </c>
      <c r="K651" s="24">
        <f>IF(H651=0,0,CAPITAL!$C$5/H651)
</f>
        <v>5000</v>
      </c>
      <c r="L651" s="24">
        <f>IF(I651=0,0,CAPITAL!$C$6/I651)
</f>
        <v>20000</v>
      </c>
      <c r="M651" s="24">
        <f>IF(J651=0,0,CAPITAL!$C$7/J651)
</f>
        <v>69444.44444</v>
      </c>
      <c r="N651" s="24">
        <f t="shared" si="1"/>
        <v>94444.44444</v>
      </c>
      <c r="O651" s="24">
        <f t="shared" si="2"/>
        <v>0.05294117647</v>
      </c>
      <c r="P651" s="24">
        <f t="shared" si="3"/>
        <v>0.2117647059</v>
      </c>
      <c r="Q651" s="24">
        <f t="shared" si="4"/>
        <v>0.7352941176</v>
      </c>
    </row>
    <row r="652">
      <c r="A652" s="32"/>
      <c r="B652" s="30"/>
      <c r="C652" s="33"/>
      <c r="D652" s="22"/>
      <c r="E652" s="31"/>
      <c r="F652" s="22"/>
      <c r="G652" s="33"/>
      <c r="H652" s="24">
        <v>30.0</v>
      </c>
      <c r="I652" s="24">
        <v>35.0</v>
      </c>
      <c r="J652" s="24">
        <v>36.0</v>
      </c>
      <c r="K652" s="24">
        <f>IF(H652=0,0,CAPITAL!$C$5/H652)
</f>
        <v>5000</v>
      </c>
      <c r="L652" s="24">
        <f>IF(I652=0,0,CAPITAL!$C$6/I652)
</f>
        <v>20000</v>
      </c>
      <c r="M652" s="24">
        <f>IF(J652=0,0,CAPITAL!$C$7/J652)
</f>
        <v>69444.44444</v>
      </c>
      <c r="N652" s="24">
        <f t="shared" si="1"/>
        <v>94444.44444</v>
      </c>
      <c r="O652" s="24">
        <f t="shared" si="2"/>
        <v>0.05294117647</v>
      </c>
      <c r="P652" s="24">
        <f t="shared" si="3"/>
        <v>0.2117647059</v>
      </c>
      <c r="Q652" s="24">
        <f t="shared" si="4"/>
        <v>0.7352941176</v>
      </c>
    </row>
    <row r="653">
      <c r="A653" s="32"/>
      <c r="B653" s="30"/>
      <c r="C653" s="33"/>
      <c r="D653" s="22"/>
      <c r="E653" s="31"/>
      <c r="F653" s="22"/>
      <c r="G653" s="33"/>
      <c r="H653" s="24">
        <v>30.0</v>
      </c>
      <c r="I653" s="24">
        <v>35.0</v>
      </c>
      <c r="J653" s="24">
        <v>36.0</v>
      </c>
      <c r="K653" s="24">
        <f>IF(H653=0,0,CAPITAL!$C$5/H653)
</f>
        <v>5000</v>
      </c>
      <c r="L653" s="24">
        <f>IF(I653=0,0,CAPITAL!$C$6/I653)
</f>
        <v>20000</v>
      </c>
      <c r="M653" s="24">
        <f>IF(J653=0,0,CAPITAL!$C$7/J653)
</f>
        <v>69444.44444</v>
      </c>
      <c r="N653" s="24">
        <f t="shared" si="1"/>
        <v>94444.44444</v>
      </c>
      <c r="O653" s="24">
        <f t="shared" si="2"/>
        <v>0.05294117647</v>
      </c>
      <c r="P653" s="24">
        <f t="shared" si="3"/>
        <v>0.2117647059</v>
      </c>
      <c r="Q653" s="24">
        <f t="shared" si="4"/>
        <v>0.7352941176</v>
      </c>
    </row>
    <row r="654">
      <c r="A654" s="32"/>
      <c r="B654" s="30"/>
      <c r="C654" s="33"/>
      <c r="D654" s="22"/>
      <c r="E654" s="31"/>
      <c r="F654" s="22"/>
      <c r="G654" s="33"/>
      <c r="H654" s="24">
        <v>30.0</v>
      </c>
      <c r="I654" s="24">
        <v>35.0</v>
      </c>
      <c r="J654" s="24">
        <v>36.0</v>
      </c>
      <c r="K654" s="24">
        <f>IF(H654=0,0,CAPITAL!$C$5/H654)
</f>
        <v>5000</v>
      </c>
      <c r="L654" s="24">
        <f>IF(I654=0,0,CAPITAL!$C$6/I654)
</f>
        <v>20000</v>
      </c>
      <c r="M654" s="24">
        <f>IF(J654=0,0,CAPITAL!$C$7/J654)
</f>
        <v>69444.44444</v>
      </c>
      <c r="N654" s="24">
        <f t="shared" si="1"/>
        <v>94444.44444</v>
      </c>
      <c r="O654" s="24">
        <f t="shared" si="2"/>
        <v>0.05294117647</v>
      </c>
      <c r="P654" s="24">
        <f t="shared" si="3"/>
        <v>0.2117647059</v>
      </c>
      <c r="Q654" s="24">
        <f t="shared" si="4"/>
        <v>0.7352941176</v>
      </c>
    </row>
    <row r="655">
      <c r="A655" s="32"/>
      <c r="B655" s="30"/>
      <c r="C655" s="33"/>
      <c r="D655" s="22"/>
      <c r="E655" s="31"/>
      <c r="F655" s="22"/>
      <c r="G655" s="33"/>
      <c r="H655" s="24">
        <v>30.0</v>
      </c>
      <c r="I655" s="24">
        <v>35.0</v>
      </c>
      <c r="J655" s="24">
        <v>36.0</v>
      </c>
      <c r="K655" s="24">
        <f>IF(H655=0,0,CAPITAL!$C$5/H655)
</f>
        <v>5000</v>
      </c>
      <c r="L655" s="24">
        <f>IF(I655=0,0,CAPITAL!$C$6/I655)
</f>
        <v>20000</v>
      </c>
      <c r="M655" s="24">
        <f>IF(J655=0,0,CAPITAL!$C$7/J655)
</f>
        <v>69444.44444</v>
      </c>
      <c r="N655" s="24">
        <f t="shared" si="1"/>
        <v>94444.44444</v>
      </c>
      <c r="O655" s="24">
        <f t="shared" si="2"/>
        <v>0.05294117647</v>
      </c>
      <c r="P655" s="24">
        <f t="shared" si="3"/>
        <v>0.2117647059</v>
      </c>
      <c r="Q655" s="24">
        <f t="shared" si="4"/>
        <v>0.7352941176</v>
      </c>
    </row>
    <row r="656">
      <c r="A656" s="32"/>
      <c r="B656" s="30"/>
      <c r="C656" s="33"/>
      <c r="D656" s="22"/>
      <c r="E656" s="31"/>
      <c r="F656" s="22"/>
      <c r="G656" s="33"/>
      <c r="H656" s="24">
        <v>30.0</v>
      </c>
      <c r="I656" s="24">
        <v>35.0</v>
      </c>
      <c r="J656" s="24">
        <v>36.0</v>
      </c>
      <c r="K656" s="24">
        <f>IF(H656=0,0,CAPITAL!$C$5/H656)
</f>
        <v>5000</v>
      </c>
      <c r="L656" s="24">
        <f>IF(I656=0,0,CAPITAL!$C$6/I656)
</f>
        <v>20000</v>
      </c>
      <c r="M656" s="24">
        <f>IF(J656=0,0,CAPITAL!$C$7/J656)
</f>
        <v>69444.44444</v>
      </c>
      <c r="N656" s="24">
        <f t="shared" si="1"/>
        <v>94444.44444</v>
      </c>
      <c r="O656" s="24">
        <f t="shared" si="2"/>
        <v>0.05294117647</v>
      </c>
      <c r="P656" s="24">
        <f t="shared" si="3"/>
        <v>0.2117647059</v>
      </c>
      <c r="Q656" s="24">
        <f t="shared" si="4"/>
        <v>0.7352941176</v>
      </c>
    </row>
    <row r="657">
      <c r="A657" s="32"/>
      <c r="B657" s="30"/>
      <c r="C657" s="33"/>
      <c r="D657" s="22"/>
      <c r="E657" s="31"/>
      <c r="F657" s="22"/>
      <c r="G657" s="33"/>
      <c r="H657" s="24">
        <v>30.0</v>
      </c>
      <c r="I657" s="24">
        <v>35.0</v>
      </c>
      <c r="J657" s="24">
        <v>36.0</v>
      </c>
      <c r="K657" s="24">
        <f>IF(H657=0,0,CAPITAL!$C$5/H657)
</f>
        <v>5000</v>
      </c>
      <c r="L657" s="24">
        <f>IF(I657=0,0,CAPITAL!$C$6/I657)
</f>
        <v>20000</v>
      </c>
      <c r="M657" s="24">
        <f>IF(J657=0,0,CAPITAL!$C$7/J657)
</f>
        <v>69444.44444</v>
      </c>
      <c r="N657" s="24">
        <f t="shared" si="1"/>
        <v>94444.44444</v>
      </c>
      <c r="O657" s="24">
        <f t="shared" si="2"/>
        <v>0.05294117647</v>
      </c>
      <c r="P657" s="24">
        <f t="shared" si="3"/>
        <v>0.2117647059</v>
      </c>
      <c r="Q657" s="24">
        <f t="shared" si="4"/>
        <v>0.7352941176</v>
      </c>
    </row>
    <row r="658">
      <c r="A658" s="32"/>
      <c r="B658" s="30"/>
      <c r="C658" s="33"/>
      <c r="D658" s="22"/>
      <c r="E658" s="31"/>
      <c r="F658" s="22"/>
      <c r="G658" s="33"/>
      <c r="H658" s="24">
        <v>30.0</v>
      </c>
      <c r="I658" s="24">
        <v>35.0</v>
      </c>
      <c r="J658" s="24">
        <v>36.0</v>
      </c>
      <c r="K658" s="24">
        <f>IF(H658=0,0,CAPITAL!$C$5/H658)
</f>
        <v>5000</v>
      </c>
      <c r="L658" s="24">
        <f>IF(I658=0,0,CAPITAL!$C$6/I658)
</f>
        <v>20000</v>
      </c>
      <c r="M658" s="24">
        <f>IF(J658=0,0,CAPITAL!$C$7/J658)
</f>
        <v>69444.44444</v>
      </c>
      <c r="N658" s="24">
        <f t="shared" si="1"/>
        <v>94444.44444</v>
      </c>
      <c r="O658" s="24">
        <f t="shared" si="2"/>
        <v>0.05294117647</v>
      </c>
      <c r="P658" s="24">
        <f t="shared" si="3"/>
        <v>0.2117647059</v>
      </c>
      <c r="Q658" s="24">
        <f t="shared" si="4"/>
        <v>0.7352941176</v>
      </c>
    </row>
    <row r="659">
      <c r="A659" s="32"/>
      <c r="B659" s="30"/>
      <c r="C659" s="33"/>
      <c r="D659" s="22"/>
      <c r="E659" s="31"/>
      <c r="F659" s="22"/>
      <c r="G659" s="33"/>
      <c r="H659" s="24">
        <v>30.0</v>
      </c>
      <c r="I659" s="24">
        <v>35.0</v>
      </c>
      <c r="J659" s="24">
        <v>36.0</v>
      </c>
      <c r="K659" s="24">
        <f>IF(H659=0,0,CAPITAL!$C$5/H659)
</f>
        <v>5000</v>
      </c>
      <c r="L659" s="24">
        <f>IF(I659=0,0,CAPITAL!$C$6/I659)
</f>
        <v>20000</v>
      </c>
      <c r="M659" s="24">
        <f>IF(J659=0,0,CAPITAL!$C$7/J659)
</f>
        <v>69444.44444</v>
      </c>
      <c r="N659" s="24">
        <f t="shared" si="1"/>
        <v>94444.44444</v>
      </c>
      <c r="O659" s="24">
        <f t="shared" si="2"/>
        <v>0.05294117647</v>
      </c>
      <c r="P659" s="24">
        <f t="shared" si="3"/>
        <v>0.2117647059</v>
      </c>
      <c r="Q659" s="24">
        <f t="shared" si="4"/>
        <v>0.7352941176</v>
      </c>
    </row>
    <row r="660">
      <c r="A660" s="32"/>
      <c r="B660" s="30"/>
      <c r="C660" s="33"/>
      <c r="D660" s="22"/>
      <c r="E660" s="31"/>
      <c r="F660" s="22"/>
      <c r="G660" s="33"/>
      <c r="H660" s="24">
        <v>30.0</v>
      </c>
      <c r="I660" s="24">
        <v>35.0</v>
      </c>
      <c r="J660" s="24">
        <v>36.0</v>
      </c>
      <c r="K660" s="24">
        <f>IF(H660=0,0,CAPITAL!$C$5/H660)
</f>
        <v>5000</v>
      </c>
      <c r="L660" s="24">
        <f>IF(I660=0,0,CAPITAL!$C$6/I660)
</f>
        <v>20000</v>
      </c>
      <c r="M660" s="24">
        <f>IF(J660=0,0,CAPITAL!$C$7/J660)
</f>
        <v>69444.44444</v>
      </c>
      <c r="N660" s="24">
        <f t="shared" si="1"/>
        <v>94444.44444</v>
      </c>
      <c r="O660" s="24">
        <f t="shared" si="2"/>
        <v>0.05294117647</v>
      </c>
      <c r="P660" s="24">
        <f t="shared" si="3"/>
        <v>0.2117647059</v>
      </c>
      <c r="Q660" s="24">
        <f t="shared" si="4"/>
        <v>0.7352941176</v>
      </c>
    </row>
    <row r="661">
      <c r="A661" s="32"/>
      <c r="B661" s="30"/>
      <c r="C661" s="33"/>
      <c r="D661" s="22"/>
      <c r="E661" s="31"/>
      <c r="F661" s="22"/>
      <c r="G661" s="33"/>
      <c r="H661" s="24">
        <v>30.0</v>
      </c>
      <c r="I661" s="24">
        <v>35.0</v>
      </c>
      <c r="J661" s="24">
        <v>36.0</v>
      </c>
      <c r="K661" s="24">
        <f>IF(H661=0,0,CAPITAL!$C$5/H661)
</f>
        <v>5000</v>
      </c>
      <c r="L661" s="24">
        <f>IF(I661=0,0,CAPITAL!$C$6/I661)
</f>
        <v>20000</v>
      </c>
      <c r="M661" s="24">
        <f>IF(J661=0,0,CAPITAL!$C$7/J661)
</f>
        <v>69444.44444</v>
      </c>
      <c r="N661" s="24">
        <f t="shared" si="1"/>
        <v>94444.44444</v>
      </c>
      <c r="O661" s="24">
        <f t="shared" si="2"/>
        <v>0.05294117647</v>
      </c>
      <c r="P661" s="24">
        <f t="shared" si="3"/>
        <v>0.2117647059</v>
      </c>
      <c r="Q661" s="24">
        <f t="shared" si="4"/>
        <v>0.7352941176</v>
      </c>
    </row>
    <row r="662">
      <c r="A662" s="32"/>
      <c r="B662" s="30"/>
      <c r="C662" s="33"/>
      <c r="D662" s="22"/>
      <c r="E662" s="31"/>
      <c r="F662" s="22"/>
      <c r="G662" s="33"/>
      <c r="H662" s="24">
        <v>30.0</v>
      </c>
      <c r="I662" s="24">
        <v>35.0</v>
      </c>
      <c r="J662" s="24">
        <v>36.0</v>
      </c>
      <c r="K662" s="24">
        <f>IF(H662=0,0,CAPITAL!$C$5/H662)
</f>
        <v>5000</v>
      </c>
      <c r="L662" s="24">
        <f>IF(I662=0,0,CAPITAL!$C$6/I662)
</f>
        <v>20000</v>
      </c>
      <c r="M662" s="24">
        <f>IF(J662=0,0,CAPITAL!$C$7/J662)
</f>
        <v>69444.44444</v>
      </c>
      <c r="N662" s="24">
        <f t="shared" si="1"/>
        <v>94444.44444</v>
      </c>
      <c r="O662" s="24">
        <f t="shared" si="2"/>
        <v>0.05294117647</v>
      </c>
      <c r="P662" s="24">
        <f t="shared" si="3"/>
        <v>0.2117647059</v>
      </c>
      <c r="Q662" s="24">
        <f t="shared" si="4"/>
        <v>0.7352941176</v>
      </c>
    </row>
    <row r="663">
      <c r="A663" s="32"/>
      <c r="B663" s="30"/>
      <c r="C663" s="33"/>
      <c r="D663" s="22"/>
      <c r="E663" s="31"/>
      <c r="F663" s="22"/>
      <c r="G663" s="33"/>
      <c r="H663" s="24">
        <v>30.0</v>
      </c>
      <c r="I663" s="24">
        <v>35.0</v>
      </c>
      <c r="J663" s="24">
        <v>36.0</v>
      </c>
      <c r="K663" s="24">
        <f>IF(H663=0,0,CAPITAL!$C$5/H663)
</f>
        <v>5000</v>
      </c>
      <c r="L663" s="24">
        <f>IF(I663=0,0,CAPITAL!$C$6/I663)
</f>
        <v>20000</v>
      </c>
      <c r="M663" s="24">
        <f>IF(J663=0,0,CAPITAL!$C$7/J663)
</f>
        <v>69444.44444</v>
      </c>
      <c r="N663" s="24">
        <f t="shared" si="1"/>
        <v>94444.44444</v>
      </c>
      <c r="O663" s="24">
        <f t="shared" si="2"/>
        <v>0.05294117647</v>
      </c>
      <c r="P663" s="24">
        <f t="shared" si="3"/>
        <v>0.2117647059</v>
      </c>
      <c r="Q663" s="24">
        <f t="shared" si="4"/>
        <v>0.7352941176</v>
      </c>
    </row>
    <row r="664">
      <c r="A664" s="32"/>
      <c r="B664" s="30"/>
      <c r="C664" s="33"/>
      <c r="D664" s="22"/>
      <c r="E664" s="31"/>
      <c r="F664" s="22"/>
      <c r="G664" s="33"/>
      <c r="H664" s="24">
        <v>30.0</v>
      </c>
      <c r="I664" s="24">
        <v>35.0</v>
      </c>
      <c r="J664" s="24">
        <v>36.0</v>
      </c>
      <c r="K664" s="24">
        <f>IF(H664=0,0,CAPITAL!$C$5/H664)
</f>
        <v>5000</v>
      </c>
      <c r="L664" s="24">
        <f>IF(I664=0,0,CAPITAL!$C$6/I664)
</f>
        <v>20000</v>
      </c>
      <c r="M664" s="24">
        <f>IF(J664=0,0,CAPITAL!$C$7/J664)
</f>
        <v>69444.44444</v>
      </c>
      <c r="N664" s="24">
        <f t="shared" si="1"/>
        <v>94444.44444</v>
      </c>
      <c r="O664" s="24">
        <f t="shared" si="2"/>
        <v>0.05294117647</v>
      </c>
      <c r="P664" s="24">
        <f t="shared" si="3"/>
        <v>0.2117647059</v>
      </c>
      <c r="Q664" s="24">
        <f t="shared" si="4"/>
        <v>0.7352941176</v>
      </c>
    </row>
    <row r="665">
      <c r="A665" s="32"/>
      <c r="B665" s="30"/>
      <c r="C665" s="33"/>
      <c r="D665" s="22"/>
      <c r="E665" s="31"/>
      <c r="F665" s="22"/>
      <c r="G665" s="33"/>
      <c r="H665" s="24">
        <v>30.0</v>
      </c>
      <c r="I665" s="24">
        <v>35.0</v>
      </c>
      <c r="J665" s="24">
        <v>36.0</v>
      </c>
      <c r="K665" s="24">
        <f>IF(H665=0,0,CAPITAL!$C$5/H665)
</f>
        <v>5000</v>
      </c>
      <c r="L665" s="24">
        <f>IF(I665=0,0,CAPITAL!$C$6/I665)
</f>
        <v>20000</v>
      </c>
      <c r="M665" s="24">
        <f>IF(J665=0,0,CAPITAL!$C$7/J665)
</f>
        <v>69444.44444</v>
      </c>
      <c r="N665" s="24">
        <f t="shared" si="1"/>
        <v>94444.44444</v>
      </c>
      <c r="O665" s="24">
        <f t="shared" si="2"/>
        <v>0.05294117647</v>
      </c>
      <c r="P665" s="24">
        <f t="shared" si="3"/>
        <v>0.2117647059</v>
      </c>
      <c r="Q665" s="24">
        <f t="shared" si="4"/>
        <v>0.7352941176</v>
      </c>
    </row>
    <row r="666">
      <c r="A666" s="32"/>
      <c r="B666" s="30"/>
      <c r="C666" s="33"/>
      <c r="D666" s="22"/>
      <c r="E666" s="31"/>
      <c r="F666" s="22"/>
      <c r="G666" s="33"/>
      <c r="H666" s="24">
        <v>30.0</v>
      </c>
      <c r="I666" s="24">
        <v>35.0</v>
      </c>
      <c r="J666" s="24">
        <v>36.0</v>
      </c>
      <c r="K666" s="24">
        <f>IF(H666=0,0,CAPITAL!$C$5/H666)
</f>
        <v>5000</v>
      </c>
      <c r="L666" s="24">
        <f>IF(I666=0,0,CAPITAL!$C$6/I666)
</f>
        <v>20000</v>
      </c>
      <c r="M666" s="24">
        <f>IF(J666=0,0,CAPITAL!$C$7/J666)
</f>
        <v>69444.44444</v>
      </c>
      <c r="N666" s="24">
        <f t="shared" si="1"/>
        <v>94444.44444</v>
      </c>
      <c r="O666" s="24">
        <f t="shared" si="2"/>
        <v>0.05294117647</v>
      </c>
      <c r="P666" s="24">
        <f t="shared" si="3"/>
        <v>0.2117647059</v>
      </c>
      <c r="Q666" s="24">
        <f t="shared" si="4"/>
        <v>0.7352941176</v>
      </c>
    </row>
    <row r="667">
      <c r="A667" s="32"/>
      <c r="B667" s="30"/>
      <c r="C667" s="33"/>
      <c r="D667" s="22"/>
      <c r="E667" s="31"/>
      <c r="F667" s="22"/>
      <c r="G667" s="33"/>
      <c r="H667" s="24">
        <v>30.0</v>
      </c>
      <c r="I667" s="24">
        <v>35.0</v>
      </c>
      <c r="J667" s="24">
        <v>36.0</v>
      </c>
      <c r="K667" s="24">
        <f>IF(H667=0,0,CAPITAL!$C$5/H667)
</f>
        <v>5000</v>
      </c>
      <c r="L667" s="24">
        <f>IF(I667=0,0,CAPITAL!$C$6/I667)
</f>
        <v>20000</v>
      </c>
      <c r="M667" s="24">
        <f>IF(J667=0,0,CAPITAL!$C$7/J667)
</f>
        <v>69444.44444</v>
      </c>
      <c r="N667" s="24">
        <f t="shared" si="1"/>
        <v>94444.44444</v>
      </c>
      <c r="O667" s="24">
        <f t="shared" si="2"/>
        <v>0.05294117647</v>
      </c>
      <c r="P667" s="24">
        <f t="shared" si="3"/>
        <v>0.2117647059</v>
      </c>
      <c r="Q667" s="24">
        <f t="shared" si="4"/>
        <v>0.7352941176</v>
      </c>
    </row>
    <row r="668">
      <c r="A668" s="32"/>
      <c r="B668" s="30"/>
      <c r="C668" s="33"/>
      <c r="D668" s="22"/>
      <c r="E668" s="31"/>
      <c r="F668" s="22"/>
      <c r="G668" s="33"/>
      <c r="H668" s="24">
        <v>30.0</v>
      </c>
      <c r="I668" s="24">
        <v>35.0</v>
      </c>
      <c r="J668" s="24">
        <v>36.0</v>
      </c>
      <c r="K668" s="24">
        <f>IF(H668=0,0,CAPITAL!$C$5/H668)
</f>
        <v>5000</v>
      </c>
      <c r="L668" s="24">
        <f>IF(I668=0,0,CAPITAL!$C$6/I668)
</f>
        <v>20000</v>
      </c>
      <c r="M668" s="24">
        <f>IF(J668=0,0,CAPITAL!$C$7/J668)
</f>
        <v>69444.44444</v>
      </c>
      <c r="N668" s="24">
        <f t="shared" si="1"/>
        <v>94444.44444</v>
      </c>
      <c r="O668" s="24">
        <f t="shared" si="2"/>
        <v>0.05294117647</v>
      </c>
      <c r="P668" s="24">
        <f t="shared" si="3"/>
        <v>0.2117647059</v>
      </c>
      <c r="Q668" s="24">
        <f t="shared" si="4"/>
        <v>0.7352941176</v>
      </c>
    </row>
    <row r="669">
      <c r="A669" s="32"/>
      <c r="B669" s="30"/>
      <c r="C669" s="33"/>
      <c r="D669" s="22"/>
      <c r="E669" s="31"/>
      <c r="F669" s="22"/>
      <c r="G669" s="33"/>
      <c r="H669" s="24">
        <v>30.0</v>
      </c>
      <c r="I669" s="24">
        <v>35.0</v>
      </c>
      <c r="J669" s="24">
        <v>36.0</v>
      </c>
      <c r="K669" s="24">
        <f>IF(H669=0,0,CAPITAL!$C$5/H669)
</f>
        <v>5000</v>
      </c>
      <c r="L669" s="24">
        <f>IF(I669=0,0,CAPITAL!$C$6/I669)
</f>
        <v>20000</v>
      </c>
      <c r="M669" s="24">
        <f>IF(J669=0,0,CAPITAL!$C$7/J669)
</f>
        <v>69444.44444</v>
      </c>
      <c r="N669" s="24">
        <f t="shared" si="1"/>
        <v>94444.44444</v>
      </c>
      <c r="O669" s="24">
        <f t="shared" si="2"/>
        <v>0.05294117647</v>
      </c>
      <c r="P669" s="24">
        <f t="shared" si="3"/>
        <v>0.2117647059</v>
      </c>
      <c r="Q669" s="24">
        <f t="shared" si="4"/>
        <v>0.7352941176</v>
      </c>
    </row>
    <row r="670">
      <c r="A670" s="32"/>
      <c r="B670" s="30"/>
      <c r="C670" s="33"/>
      <c r="D670" s="22"/>
      <c r="E670" s="31"/>
      <c r="F670" s="22"/>
      <c r="G670" s="33"/>
      <c r="H670" s="24">
        <v>30.0</v>
      </c>
      <c r="I670" s="24">
        <v>35.0</v>
      </c>
      <c r="J670" s="24">
        <v>36.0</v>
      </c>
      <c r="K670" s="24">
        <f>IF(H670=0,0,CAPITAL!$C$5/H670)
</f>
        <v>5000</v>
      </c>
      <c r="L670" s="24">
        <f>IF(I670=0,0,CAPITAL!$C$6/I670)
</f>
        <v>20000</v>
      </c>
      <c r="M670" s="24">
        <f>IF(J670=0,0,CAPITAL!$C$7/J670)
</f>
        <v>69444.44444</v>
      </c>
      <c r="N670" s="24">
        <f t="shared" si="1"/>
        <v>94444.44444</v>
      </c>
      <c r="O670" s="24">
        <f t="shared" si="2"/>
        <v>0.05294117647</v>
      </c>
      <c r="P670" s="24">
        <f t="shared" si="3"/>
        <v>0.2117647059</v>
      </c>
      <c r="Q670" s="24">
        <f t="shared" si="4"/>
        <v>0.7352941176</v>
      </c>
    </row>
    <row r="671">
      <c r="A671" s="32"/>
      <c r="B671" s="30"/>
      <c r="C671" s="33"/>
      <c r="D671" s="22"/>
      <c r="E671" s="31"/>
      <c r="F671" s="22"/>
      <c r="G671" s="33"/>
      <c r="H671" s="24">
        <v>30.0</v>
      </c>
      <c r="I671" s="24">
        <v>35.0</v>
      </c>
      <c r="J671" s="24">
        <v>36.0</v>
      </c>
      <c r="K671" s="24">
        <f>IF(H671=0,0,CAPITAL!$C$5/H671)
</f>
        <v>5000</v>
      </c>
      <c r="L671" s="24">
        <f>IF(I671=0,0,CAPITAL!$C$6/I671)
</f>
        <v>20000</v>
      </c>
      <c r="M671" s="24">
        <f>IF(J671=0,0,CAPITAL!$C$7/J671)
</f>
        <v>69444.44444</v>
      </c>
      <c r="N671" s="24">
        <f t="shared" si="1"/>
        <v>94444.44444</v>
      </c>
      <c r="O671" s="24">
        <f t="shared" si="2"/>
        <v>0.05294117647</v>
      </c>
      <c r="P671" s="24">
        <f t="shared" si="3"/>
        <v>0.2117647059</v>
      </c>
      <c r="Q671" s="24">
        <f t="shared" si="4"/>
        <v>0.7352941176</v>
      </c>
    </row>
    <row r="672">
      <c r="A672" s="32"/>
      <c r="B672" s="30"/>
      <c r="C672" s="33"/>
      <c r="D672" s="22"/>
      <c r="E672" s="31"/>
      <c r="F672" s="22"/>
      <c r="G672" s="33"/>
      <c r="H672" s="24">
        <v>30.0</v>
      </c>
      <c r="I672" s="24">
        <v>35.0</v>
      </c>
      <c r="J672" s="24">
        <v>36.0</v>
      </c>
      <c r="K672" s="24">
        <f>IF(H672=0,0,CAPITAL!$C$5/H672)
</f>
        <v>5000</v>
      </c>
      <c r="L672" s="24">
        <f>IF(I672=0,0,CAPITAL!$C$6/I672)
</f>
        <v>20000</v>
      </c>
      <c r="M672" s="24">
        <f>IF(J672=0,0,CAPITAL!$C$7/J672)
</f>
        <v>69444.44444</v>
      </c>
      <c r="N672" s="24">
        <f t="shared" si="1"/>
        <v>94444.44444</v>
      </c>
      <c r="O672" s="24">
        <f t="shared" si="2"/>
        <v>0.05294117647</v>
      </c>
      <c r="P672" s="24">
        <f t="shared" si="3"/>
        <v>0.2117647059</v>
      </c>
      <c r="Q672" s="24">
        <f t="shared" si="4"/>
        <v>0.7352941176</v>
      </c>
    </row>
    <row r="673">
      <c r="A673" s="32"/>
      <c r="B673" s="30"/>
      <c r="C673" s="33"/>
      <c r="D673" s="22"/>
      <c r="E673" s="31"/>
      <c r="F673" s="22"/>
      <c r="G673" s="33"/>
      <c r="H673" s="24">
        <v>30.0</v>
      </c>
      <c r="I673" s="24">
        <v>35.0</v>
      </c>
      <c r="J673" s="24">
        <v>36.0</v>
      </c>
      <c r="K673" s="24">
        <f>IF(H673=0,0,CAPITAL!$C$5/H673)
</f>
        <v>5000</v>
      </c>
      <c r="L673" s="24">
        <f>IF(I673=0,0,CAPITAL!$C$6/I673)
</f>
        <v>20000</v>
      </c>
      <c r="M673" s="24">
        <f>IF(J673=0,0,CAPITAL!$C$7/J673)
</f>
        <v>69444.44444</v>
      </c>
      <c r="N673" s="24">
        <f t="shared" si="1"/>
        <v>94444.44444</v>
      </c>
      <c r="O673" s="24">
        <f t="shared" si="2"/>
        <v>0.05294117647</v>
      </c>
      <c r="P673" s="24">
        <f t="shared" si="3"/>
        <v>0.2117647059</v>
      </c>
      <c r="Q673" s="24">
        <f t="shared" si="4"/>
        <v>0.7352941176</v>
      </c>
    </row>
    <row r="674">
      <c r="A674" s="32"/>
      <c r="B674" s="30"/>
      <c r="C674" s="33"/>
      <c r="D674" s="22"/>
      <c r="E674" s="31"/>
      <c r="F674" s="22"/>
      <c r="G674" s="33"/>
      <c r="H674" s="24">
        <v>30.0</v>
      </c>
      <c r="I674" s="24">
        <v>35.0</v>
      </c>
      <c r="J674" s="24">
        <v>36.0</v>
      </c>
      <c r="K674" s="24">
        <f>IF(H674=0,0,CAPITAL!$C$5/H674)
</f>
        <v>5000</v>
      </c>
      <c r="L674" s="24">
        <f>IF(I674=0,0,CAPITAL!$C$6/I674)
</f>
        <v>20000</v>
      </c>
      <c r="M674" s="24">
        <f>IF(J674=0,0,CAPITAL!$C$7/J674)
</f>
        <v>69444.44444</v>
      </c>
      <c r="N674" s="24">
        <f t="shared" si="1"/>
        <v>94444.44444</v>
      </c>
      <c r="O674" s="24">
        <f t="shared" si="2"/>
        <v>0.05294117647</v>
      </c>
      <c r="P674" s="24">
        <f t="shared" si="3"/>
        <v>0.2117647059</v>
      </c>
      <c r="Q674" s="24">
        <f t="shared" si="4"/>
        <v>0.7352941176</v>
      </c>
    </row>
    <row r="675">
      <c r="A675" s="32"/>
      <c r="B675" s="30"/>
      <c r="C675" s="33"/>
      <c r="D675" s="22"/>
      <c r="E675" s="31"/>
      <c r="F675" s="22"/>
      <c r="G675" s="33"/>
      <c r="H675" s="24">
        <v>30.0</v>
      </c>
      <c r="I675" s="24">
        <v>35.0</v>
      </c>
      <c r="J675" s="24">
        <v>36.0</v>
      </c>
      <c r="K675" s="24">
        <f>IF(H675=0,0,CAPITAL!$C$5/H675)
</f>
        <v>5000</v>
      </c>
      <c r="L675" s="24">
        <f>IF(I675=0,0,CAPITAL!$C$6/I675)
</f>
        <v>20000</v>
      </c>
      <c r="M675" s="24">
        <f>IF(J675=0,0,CAPITAL!$C$7/J675)
</f>
        <v>69444.44444</v>
      </c>
      <c r="N675" s="24">
        <f t="shared" si="1"/>
        <v>94444.44444</v>
      </c>
      <c r="O675" s="24">
        <f t="shared" si="2"/>
        <v>0.05294117647</v>
      </c>
      <c r="P675" s="24">
        <f t="shared" si="3"/>
        <v>0.2117647059</v>
      </c>
      <c r="Q675" s="24">
        <f t="shared" si="4"/>
        <v>0.7352941176</v>
      </c>
    </row>
    <row r="676">
      <c r="A676" s="32"/>
      <c r="B676" s="30"/>
      <c r="C676" s="33"/>
      <c r="D676" s="22"/>
      <c r="E676" s="31"/>
      <c r="F676" s="22"/>
      <c r="G676" s="33"/>
      <c r="H676" s="24">
        <v>30.0</v>
      </c>
      <c r="I676" s="24">
        <v>35.0</v>
      </c>
      <c r="J676" s="24">
        <v>36.0</v>
      </c>
      <c r="K676" s="24">
        <f>IF(H676=0,0,CAPITAL!$C$5/H676)
</f>
        <v>5000</v>
      </c>
      <c r="L676" s="24">
        <f>IF(I676=0,0,CAPITAL!$C$6/I676)
</f>
        <v>20000</v>
      </c>
      <c r="M676" s="24">
        <f>IF(J676=0,0,CAPITAL!$C$7/J676)
</f>
        <v>69444.44444</v>
      </c>
      <c r="N676" s="24">
        <f t="shared" si="1"/>
        <v>94444.44444</v>
      </c>
      <c r="O676" s="24">
        <f t="shared" si="2"/>
        <v>0.05294117647</v>
      </c>
      <c r="P676" s="24">
        <f t="shared" si="3"/>
        <v>0.2117647059</v>
      </c>
      <c r="Q676" s="24">
        <f t="shared" si="4"/>
        <v>0.7352941176</v>
      </c>
    </row>
    <row r="677">
      <c r="A677" s="32"/>
      <c r="B677" s="30"/>
      <c r="C677" s="33"/>
      <c r="D677" s="22"/>
      <c r="E677" s="31"/>
      <c r="F677" s="22"/>
      <c r="G677" s="33"/>
      <c r="H677" s="24">
        <v>30.0</v>
      </c>
      <c r="I677" s="24">
        <v>35.0</v>
      </c>
      <c r="J677" s="24">
        <v>36.0</v>
      </c>
      <c r="K677" s="24">
        <f>IF(H677=0,0,CAPITAL!$C$5/H677)
</f>
        <v>5000</v>
      </c>
      <c r="L677" s="24">
        <f>IF(I677=0,0,CAPITAL!$C$6/I677)
</f>
        <v>20000</v>
      </c>
      <c r="M677" s="24">
        <f>IF(J677=0,0,CAPITAL!$C$7/J677)
</f>
        <v>69444.44444</v>
      </c>
      <c r="N677" s="24">
        <f t="shared" si="1"/>
        <v>94444.44444</v>
      </c>
      <c r="O677" s="24">
        <f t="shared" si="2"/>
        <v>0.05294117647</v>
      </c>
      <c r="P677" s="24">
        <f t="shared" si="3"/>
        <v>0.2117647059</v>
      </c>
      <c r="Q677" s="24">
        <f t="shared" si="4"/>
        <v>0.7352941176</v>
      </c>
    </row>
    <row r="678">
      <c r="A678" s="32"/>
      <c r="B678" s="30"/>
      <c r="C678" s="33"/>
      <c r="D678" s="22"/>
      <c r="E678" s="31"/>
      <c r="F678" s="22"/>
      <c r="G678" s="33"/>
      <c r="H678" s="24">
        <v>30.0</v>
      </c>
      <c r="I678" s="24">
        <v>35.0</v>
      </c>
      <c r="J678" s="24">
        <v>36.0</v>
      </c>
      <c r="K678" s="24">
        <f>IF(H678=0,0,CAPITAL!$C$5/H678)
</f>
        <v>5000</v>
      </c>
      <c r="L678" s="24">
        <f>IF(I678=0,0,CAPITAL!$C$6/I678)
</f>
        <v>20000</v>
      </c>
      <c r="M678" s="24">
        <f>IF(J678=0,0,CAPITAL!$C$7/J678)
</f>
        <v>69444.44444</v>
      </c>
      <c r="N678" s="24">
        <f t="shared" si="1"/>
        <v>94444.44444</v>
      </c>
      <c r="O678" s="24">
        <f t="shared" si="2"/>
        <v>0.05294117647</v>
      </c>
      <c r="P678" s="24">
        <f t="shared" si="3"/>
        <v>0.2117647059</v>
      </c>
      <c r="Q678" s="24">
        <f t="shared" si="4"/>
        <v>0.7352941176</v>
      </c>
    </row>
    <row r="679">
      <c r="A679" s="32"/>
      <c r="B679" s="30"/>
      <c r="C679" s="33"/>
      <c r="D679" s="22"/>
      <c r="E679" s="31"/>
      <c r="F679" s="22"/>
      <c r="G679" s="33"/>
      <c r="H679" s="24">
        <v>30.0</v>
      </c>
      <c r="I679" s="24">
        <v>35.0</v>
      </c>
      <c r="J679" s="24">
        <v>36.0</v>
      </c>
      <c r="K679" s="24">
        <f>IF(H679=0,0,CAPITAL!$C$5/H679)
</f>
        <v>5000</v>
      </c>
      <c r="L679" s="24">
        <f>IF(I679=0,0,CAPITAL!$C$6/I679)
</f>
        <v>20000</v>
      </c>
      <c r="M679" s="24">
        <f>IF(J679=0,0,CAPITAL!$C$7/J679)
</f>
        <v>69444.44444</v>
      </c>
      <c r="N679" s="24">
        <f t="shared" si="1"/>
        <v>94444.44444</v>
      </c>
      <c r="O679" s="24">
        <f t="shared" si="2"/>
        <v>0.05294117647</v>
      </c>
      <c r="P679" s="24">
        <f t="shared" si="3"/>
        <v>0.2117647059</v>
      </c>
      <c r="Q679" s="24">
        <f t="shared" si="4"/>
        <v>0.7352941176</v>
      </c>
    </row>
    <row r="680">
      <c r="A680" s="32"/>
      <c r="B680" s="30"/>
      <c r="C680" s="33"/>
      <c r="D680" s="22"/>
      <c r="E680" s="31"/>
      <c r="F680" s="22"/>
      <c r="G680" s="33"/>
      <c r="H680" s="24">
        <v>30.0</v>
      </c>
      <c r="I680" s="24">
        <v>35.0</v>
      </c>
      <c r="J680" s="24">
        <v>36.0</v>
      </c>
      <c r="K680" s="24">
        <f>IF(H680=0,0,CAPITAL!$C$5/H680)
</f>
        <v>5000</v>
      </c>
      <c r="L680" s="24">
        <f>IF(I680=0,0,CAPITAL!$C$6/I680)
</f>
        <v>20000</v>
      </c>
      <c r="M680" s="24">
        <f>IF(J680=0,0,CAPITAL!$C$7/J680)
</f>
        <v>69444.44444</v>
      </c>
      <c r="N680" s="24">
        <f t="shared" si="1"/>
        <v>94444.44444</v>
      </c>
      <c r="O680" s="24">
        <f t="shared" si="2"/>
        <v>0.05294117647</v>
      </c>
      <c r="P680" s="24">
        <f t="shared" si="3"/>
        <v>0.2117647059</v>
      </c>
      <c r="Q680" s="24">
        <f t="shared" si="4"/>
        <v>0.7352941176</v>
      </c>
    </row>
    <row r="681">
      <c r="A681" s="32"/>
      <c r="B681" s="30"/>
      <c r="C681" s="33"/>
      <c r="D681" s="22"/>
      <c r="E681" s="31"/>
      <c r="F681" s="22"/>
      <c r="G681" s="33"/>
      <c r="H681" s="24">
        <v>30.0</v>
      </c>
      <c r="I681" s="24">
        <v>35.0</v>
      </c>
      <c r="J681" s="24">
        <v>36.0</v>
      </c>
      <c r="K681" s="24">
        <f>IF(H681=0,0,CAPITAL!$C$5/H681)
</f>
        <v>5000</v>
      </c>
      <c r="L681" s="24">
        <f>IF(I681=0,0,CAPITAL!$C$6/I681)
</f>
        <v>20000</v>
      </c>
      <c r="M681" s="24">
        <f>IF(J681=0,0,CAPITAL!$C$7/J681)
</f>
        <v>69444.44444</v>
      </c>
      <c r="N681" s="24">
        <f t="shared" si="1"/>
        <v>94444.44444</v>
      </c>
      <c r="O681" s="24">
        <f t="shared" si="2"/>
        <v>0.05294117647</v>
      </c>
      <c r="P681" s="24">
        <f t="shared" si="3"/>
        <v>0.2117647059</v>
      </c>
      <c r="Q681" s="24">
        <f t="shared" si="4"/>
        <v>0.7352941176</v>
      </c>
    </row>
    <row r="682">
      <c r="A682" s="32"/>
      <c r="B682" s="30"/>
      <c r="C682" s="33"/>
      <c r="D682" s="22"/>
      <c r="E682" s="31"/>
      <c r="F682" s="22"/>
      <c r="G682" s="33"/>
      <c r="H682" s="24">
        <v>30.0</v>
      </c>
      <c r="I682" s="24">
        <v>35.0</v>
      </c>
      <c r="J682" s="24">
        <v>36.0</v>
      </c>
      <c r="K682" s="24">
        <f>IF(H682=0,0,CAPITAL!$C$5/H682)
</f>
        <v>5000</v>
      </c>
      <c r="L682" s="24">
        <f>IF(I682=0,0,CAPITAL!$C$6/I682)
</f>
        <v>20000</v>
      </c>
      <c r="M682" s="24">
        <f>IF(J682=0,0,CAPITAL!$C$7/J682)
</f>
        <v>69444.44444</v>
      </c>
      <c r="N682" s="24">
        <f t="shared" si="1"/>
        <v>94444.44444</v>
      </c>
      <c r="O682" s="24">
        <f t="shared" si="2"/>
        <v>0.05294117647</v>
      </c>
      <c r="P682" s="24">
        <f t="shared" si="3"/>
        <v>0.2117647059</v>
      </c>
      <c r="Q682" s="24">
        <f t="shared" si="4"/>
        <v>0.7352941176</v>
      </c>
    </row>
    <row r="683">
      <c r="A683" s="32"/>
      <c r="B683" s="30"/>
      <c r="C683" s="33"/>
      <c r="D683" s="22"/>
      <c r="E683" s="31"/>
      <c r="F683" s="22"/>
      <c r="G683" s="33"/>
      <c r="H683" s="24">
        <v>30.0</v>
      </c>
      <c r="I683" s="24">
        <v>35.0</v>
      </c>
      <c r="J683" s="24">
        <v>36.0</v>
      </c>
      <c r="K683" s="24">
        <f>IF(H683=0,0,CAPITAL!$C$5/H683)
</f>
        <v>5000</v>
      </c>
      <c r="L683" s="24">
        <f>IF(I683=0,0,CAPITAL!$C$6/I683)
</f>
        <v>20000</v>
      </c>
      <c r="M683" s="24">
        <f>IF(J683=0,0,CAPITAL!$C$7/J683)
</f>
        <v>69444.44444</v>
      </c>
      <c r="N683" s="24">
        <f t="shared" si="1"/>
        <v>94444.44444</v>
      </c>
      <c r="O683" s="24">
        <f t="shared" si="2"/>
        <v>0.05294117647</v>
      </c>
      <c r="P683" s="24">
        <f t="shared" si="3"/>
        <v>0.2117647059</v>
      </c>
      <c r="Q683" s="24">
        <f t="shared" si="4"/>
        <v>0.7352941176</v>
      </c>
    </row>
    <row r="684">
      <c r="A684" s="32"/>
      <c r="B684" s="30"/>
      <c r="C684" s="33"/>
      <c r="D684" s="22"/>
      <c r="E684" s="31"/>
      <c r="F684" s="22"/>
      <c r="G684" s="33"/>
      <c r="H684" s="24">
        <v>30.0</v>
      </c>
      <c r="I684" s="24">
        <v>35.0</v>
      </c>
      <c r="J684" s="24">
        <v>36.0</v>
      </c>
      <c r="K684" s="24">
        <f>IF(H684=0,0,CAPITAL!$C$5/H684)
</f>
        <v>5000</v>
      </c>
      <c r="L684" s="24">
        <f>IF(I684=0,0,CAPITAL!$C$6/I684)
</f>
        <v>20000</v>
      </c>
      <c r="M684" s="24">
        <f>IF(J684=0,0,CAPITAL!$C$7/J684)
</f>
        <v>69444.44444</v>
      </c>
      <c r="N684" s="24">
        <f t="shared" si="1"/>
        <v>94444.44444</v>
      </c>
      <c r="O684" s="24">
        <f t="shared" si="2"/>
        <v>0.05294117647</v>
      </c>
      <c r="P684" s="24">
        <f t="shared" si="3"/>
        <v>0.2117647059</v>
      </c>
      <c r="Q684" s="24">
        <f t="shared" si="4"/>
        <v>0.7352941176</v>
      </c>
    </row>
    <row r="685">
      <c r="A685" s="32"/>
      <c r="B685" s="30"/>
      <c r="C685" s="33"/>
      <c r="D685" s="22"/>
      <c r="E685" s="31"/>
      <c r="F685" s="22"/>
      <c r="G685" s="33"/>
      <c r="H685" s="24">
        <v>30.0</v>
      </c>
      <c r="I685" s="24">
        <v>35.0</v>
      </c>
      <c r="J685" s="24">
        <v>36.0</v>
      </c>
      <c r="K685" s="24">
        <f>IF(H685=0,0,CAPITAL!$C$5/H685)
</f>
        <v>5000</v>
      </c>
      <c r="L685" s="24">
        <f>IF(I685=0,0,CAPITAL!$C$6/I685)
</f>
        <v>20000</v>
      </c>
      <c r="M685" s="24">
        <f>IF(J685=0,0,CAPITAL!$C$7/J685)
</f>
        <v>69444.44444</v>
      </c>
      <c r="N685" s="24">
        <f t="shared" si="1"/>
        <v>94444.44444</v>
      </c>
      <c r="O685" s="24">
        <f t="shared" si="2"/>
        <v>0.05294117647</v>
      </c>
      <c r="P685" s="24">
        <f t="shared" si="3"/>
        <v>0.2117647059</v>
      </c>
      <c r="Q685" s="24">
        <f t="shared" si="4"/>
        <v>0.7352941176</v>
      </c>
    </row>
    <row r="686">
      <c r="A686" s="32"/>
      <c r="B686" s="30"/>
      <c r="C686" s="33"/>
      <c r="D686" s="22"/>
      <c r="E686" s="31"/>
      <c r="F686" s="22"/>
      <c r="G686" s="33"/>
      <c r="H686" s="24">
        <v>30.0</v>
      </c>
      <c r="I686" s="24">
        <v>35.0</v>
      </c>
      <c r="J686" s="24">
        <v>36.0</v>
      </c>
      <c r="K686" s="24">
        <f>IF(H686=0,0,CAPITAL!$C$5/H686)
</f>
        <v>5000</v>
      </c>
      <c r="L686" s="24">
        <f>IF(I686=0,0,CAPITAL!$C$6/I686)
</f>
        <v>20000</v>
      </c>
      <c r="M686" s="24">
        <f>IF(J686=0,0,CAPITAL!$C$7/J686)
</f>
        <v>69444.44444</v>
      </c>
      <c r="N686" s="24">
        <f t="shared" si="1"/>
        <v>94444.44444</v>
      </c>
      <c r="O686" s="24">
        <f t="shared" si="2"/>
        <v>0.05294117647</v>
      </c>
      <c r="P686" s="24">
        <f t="shared" si="3"/>
        <v>0.2117647059</v>
      </c>
      <c r="Q686" s="24">
        <f t="shared" si="4"/>
        <v>0.7352941176</v>
      </c>
    </row>
    <row r="687">
      <c r="A687" s="32"/>
      <c r="B687" s="30"/>
      <c r="C687" s="33"/>
      <c r="D687" s="22"/>
      <c r="E687" s="31"/>
      <c r="F687" s="22"/>
      <c r="G687" s="33"/>
      <c r="H687" s="24">
        <v>30.0</v>
      </c>
      <c r="I687" s="24">
        <v>35.0</v>
      </c>
      <c r="J687" s="24">
        <v>36.0</v>
      </c>
      <c r="K687" s="24">
        <f>IF(H687=0,0,CAPITAL!$C$5/H687)
</f>
        <v>5000</v>
      </c>
      <c r="L687" s="24">
        <f>IF(I687=0,0,CAPITAL!$C$6/I687)
</f>
        <v>20000</v>
      </c>
      <c r="M687" s="24">
        <f>IF(J687=0,0,CAPITAL!$C$7/J687)
</f>
        <v>69444.44444</v>
      </c>
      <c r="N687" s="24">
        <f t="shared" si="1"/>
        <v>94444.44444</v>
      </c>
      <c r="O687" s="24">
        <f t="shared" si="2"/>
        <v>0.05294117647</v>
      </c>
      <c r="P687" s="24">
        <f t="shared" si="3"/>
        <v>0.2117647059</v>
      </c>
      <c r="Q687" s="24">
        <f t="shared" si="4"/>
        <v>0.7352941176</v>
      </c>
    </row>
    <row r="688">
      <c r="A688" s="32"/>
      <c r="B688" s="30"/>
      <c r="C688" s="33"/>
      <c r="D688" s="22"/>
      <c r="E688" s="31"/>
      <c r="F688" s="22"/>
      <c r="G688" s="33"/>
      <c r="H688" s="24">
        <v>30.0</v>
      </c>
      <c r="I688" s="24">
        <v>35.0</v>
      </c>
      <c r="J688" s="24">
        <v>36.0</v>
      </c>
      <c r="K688" s="24">
        <f>IF(H688=0,0,CAPITAL!$C$5/H688)
</f>
        <v>5000</v>
      </c>
      <c r="L688" s="24">
        <f>IF(I688=0,0,CAPITAL!$C$6/I688)
</f>
        <v>20000</v>
      </c>
      <c r="M688" s="24">
        <f>IF(J688=0,0,CAPITAL!$C$7/J688)
</f>
        <v>69444.44444</v>
      </c>
      <c r="N688" s="24">
        <f t="shared" si="1"/>
        <v>94444.44444</v>
      </c>
      <c r="O688" s="24">
        <f t="shared" si="2"/>
        <v>0.05294117647</v>
      </c>
      <c r="P688" s="24">
        <f t="shared" si="3"/>
        <v>0.2117647059</v>
      </c>
      <c r="Q688" s="24">
        <f t="shared" si="4"/>
        <v>0.7352941176</v>
      </c>
    </row>
    <row r="689">
      <c r="A689" s="32"/>
      <c r="B689" s="30"/>
      <c r="C689" s="33"/>
      <c r="D689" s="22"/>
      <c r="E689" s="31"/>
      <c r="F689" s="22"/>
      <c r="G689" s="33"/>
      <c r="H689" s="24">
        <v>30.0</v>
      </c>
      <c r="I689" s="24">
        <v>35.0</v>
      </c>
      <c r="J689" s="24">
        <v>36.0</v>
      </c>
      <c r="K689" s="24">
        <f>IF(H689=0,0,CAPITAL!$C$5/H689)
</f>
        <v>5000</v>
      </c>
      <c r="L689" s="24">
        <f>IF(I689=0,0,CAPITAL!$C$6/I689)
</f>
        <v>20000</v>
      </c>
      <c r="M689" s="24">
        <f>IF(J689=0,0,CAPITAL!$C$7/J689)
</f>
        <v>69444.44444</v>
      </c>
      <c r="N689" s="24">
        <f t="shared" si="1"/>
        <v>94444.44444</v>
      </c>
      <c r="O689" s="24">
        <f t="shared" si="2"/>
        <v>0.05294117647</v>
      </c>
      <c r="P689" s="24">
        <f t="shared" si="3"/>
        <v>0.2117647059</v>
      </c>
      <c r="Q689" s="24">
        <f t="shared" si="4"/>
        <v>0.7352941176</v>
      </c>
    </row>
    <row r="690">
      <c r="A690" s="32"/>
      <c r="B690" s="30"/>
      <c r="C690" s="33"/>
      <c r="D690" s="22"/>
      <c r="E690" s="31"/>
      <c r="F690" s="22"/>
      <c r="G690" s="33"/>
      <c r="H690" s="24">
        <v>30.0</v>
      </c>
      <c r="I690" s="24">
        <v>35.0</v>
      </c>
      <c r="J690" s="24">
        <v>36.0</v>
      </c>
      <c r="K690" s="24">
        <f>IF(H690=0,0,CAPITAL!$C$5/H690)
</f>
        <v>5000</v>
      </c>
      <c r="L690" s="24">
        <f>IF(I690=0,0,CAPITAL!$C$6/I690)
</f>
        <v>20000</v>
      </c>
      <c r="M690" s="24">
        <f>IF(J690=0,0,CAPITAL!$C$7/J690)
</f>
        <v>69444.44444</v>
      </c>
      <c r="N690" s="24">
        <f t="shared" si="1"/>
        <v>94444.44444</v>
      </c>
      <c r="O690" s="24">
        <f t="shared" si="2"/>
        <v>0.05294117647</v>
      </c>
      <c r="P690" s="24">
        <f t="shared" si="3"/>
        <v>0.2117647059</v>
      </c>
      <c r="Q690" s="24">
        <f t="shared" si="4"/>
        <v>0.7352941176</v>
      </c>
    </row>
    <row r="691">
      <c r="A691" s="32"/>
      <c r="B691" s="30"/>
      <c r="C691" s="33"/>
      <c r="D691" s="22"/>
      <c r="E691" s="31"/>
      <c r="F691" s="22"/>
      <c r="G691" s="33"/>
      <c r="H691" s="24">
        <v>30.0</v>
      </c>
      <c r="I691" s="24">
        <v>35.0</v>
      </c>
      <c r="J691" s="24">
        <v>36.0</v>
      </c>
      <c r="K691" s="24">
        <f>IF(H691=0,0,CAPITAL!$C$5/H691)
</f>
        <v>5000</v>
      </c>
      <c r="L691" s="24">
        <f>IF(I691=0,0,CAPITAL!$C$6/I691)
</f>
        <v>20000</v>
      </c>
      <c r="M691" s="24">
        <f>IF(J691=0,0,CAPITAL!$C$7/J691)
</f>
        <v>69444.44444</v>
      </c>
      <c r="N691" s="24">
        <f t="shared" si="1"/>
        <v>94444.44444</v>
      </c>
      <c r="O691" s="24">
        <f t="shared" si="2"/>
        <v>0.05294117647</v>
      </c>
      <c r="P691" s="24">
        <f t="shared" si="3"/>
        <v>0.2117647059</v>
      </c>
      <c r="Q691" s="24">
        <f t="shared" si="4"/>
        <v>0.7352941176</v>
      </c>
    </row>
    <row r="692">
      <c r="A692" s="32"/>
      <c r="B692" s="30"/>
      <c r="C692" s="33"/>
      <c r="D692" s="22"/>
      <c r="E692" s="31"/>
      <c r="F692" s="22"/>
      <c r="G692" s="33"/>
      <c r="H692" s="24">
        <v>30.0</v>
      </c>
      <c r="I692" s="24">
        <v>35.0</v>
      </c>
      <c r="J692" s="24">
        <v>36.0</v>
      </c>
      <c r="K692" s="24">
        <f>IF(H692=0,0,CAPITAL!$C$5/H692)
</f>
        <v>5000</v>
      </c>
      <c r="L692" s="24">
        <f>IF(I692=0,0,CAPITAL!$C$6/I692)
</f>
        <v>20000</v>
      </c>
      <c r="M692" s="24">
        <f>IF(J692=0,0,CAPITAL!$C$7/J692)
</f>
        <v>69444.44444</v>
      </c>
      <c r="N692" s="24">
        <f t="shared" si="1"/>
        <v>94444.44444</v>
      </c>
      <c r="O692" s="24">
        <f t="shared" si="2"/>
        <v>0.05294117647</v>
      </c>
      <c r="P692" s="24">
        <f t="shared" si="3"/>
        <v>0.2117647059</v>
      </c>
      <c r="Q692" s="24">
        <f t="shared" si="4"/>
        <v>0.7352941176</v>
      </c>
    </row>
    <row r="693">
      <c r="A693" s="32"/>
      <c r="B693" s="30"/>
      <c r="C693" s="33"/>
      <c r="D693" s="22"/>
      <c r="E693" s="31"/>
      <c r="F693" s="22"/>
      <c r="G693" s="33"/>
      <c r="H693" s="24">
        <v>30.0</v>
      </c>
      <c r="I693" s="24">
        <v>35.0</v>
      </c>
      <c r="J693" s="24">
        <v>36.0</v>
      </c>
      <c r="K693" s="24">
        <f>IF(H693=0,0,CAPITAL!$C$5/H693)
</f>
        <v>5000</v>
      </c>
      <c r="L693" s="24">
        <f>IF(I693=0,0,CAPITAL!$C$6/I693)
</f>
        <v>20000</v>
      </c>
      <c r="M693" s="24">
        <f>IF(J693=0,0,CAPITAL!$C$7/J693)
</f>
        <v>69444.44444</v>
      </c>
      <c r="N693" s="24">
        <f t="shared" si="1"/>
        <v>94444.44444</v>
      </c>
      <c r="O693" s="24">
        <f t="shared" si="2"/>
        <v>0.05294117647</v>
      </c>
      <c r="P693" s="24">
        <f t="shared" si="3"/>
        <v>0.2117647059</v>
      </c>
      <c r="Q693" s="24">
        <f t="shared" si="4"/>
        <v>0.7352941176</v>
      </c>
    </row>
    <row r="694">
      <c r="A694" s="32"/>
      <c r="B694" s="30"/>
      <c r="C694" s="33"/>
      <c r="D694" s="22"/>
      <c r="E694" s="31"/>
      <c r="F694" s="22"/>
      <c r="G694" s="33"/>
      <c r="H694" s="24">
        <v>30.0</v>
      </c>
      <c r="I694" s="24">
        <v>35.0</v>
      </c>
      <c r="J694" s="24">
        <v>36.0</v>
      </c>
      <c r="K694" s="24">
        <f>IF(H694=0,0,CAPITAL!$C$5/H694)
</f>
        <v>5000</v>
      </c>
      <c r="L694" s="24">
        <f>IF(I694=0,0,CAPITAL!$C$6/I694)
</f>
        <v>20000</v>
      </c>
      <c r="M694" s="24">
        <f>IF(J694=0,0,CAPITAL!$C$7/J694)
</f>
        <v>69444.44444</v>
      </c>
      <c r="N694" s="24">
        <f t="shared" si="1"/>
        <v>94444.44444</v>
      </c>
      <c r="O694" s="24">
        <f t="shared" si="2"/>
        <v>0.05294117647</v>
      </c>
      <c r="P694" s="24">
        <f t="shared" si="3"/>
        <v>0.2117647059</v>
      </c>
      <c r="Q694" s="24">
        <f t="shared" si="4"/>
        <v>0.7352941176</v>
      </c>
    </row>
    <row r="695">
      <c r="A695" s="32"/>
      <c r="B695" s="30"/>
      <c r="C695" s="33"/>
      <c r="D695" s="22"/>
      <c r="E695" s="31"/>
      <c r="F695" s="22"/>
      <c r="G695" s="33"/>
      <c r="H695" s="24">
        <v>30.0</v>
      </c>
      <c r="I695" s="24">
        <v>35.0</v>
      </c>
      <c r="J695" s="24">
        <v>36.0</v>
      </c>
      <c r="K695" s="24">
        <f>IF(H695=0,0,CAPITAL!$C$5/H695)
</f>
        <v>5000</v>
      </c>
      <c r="L695" s="24">
        <f>IF(I695=0,0,CAPITAL!$C$6/I695)
</f>
        <v>20000</v>
      </c>
      <c r="M695" s="24">
        <f>IF(J695=0,0,CAPITAL!$C$7/J695)
</f>
        <v>69444.44444</v>
      </c>
      <c r="N695" s="24">
        <f t="shared" si="1"/>
        <v>94444.44444</v>
      </c>
      <c r="O695" s="24">
        <f t="shared" si="2"/>
        <v>0.05294117647</v>
      </c>
      <c r="P695" s="24">
        <f t="shared" si="3"/>
        <v>0.2117647059</v>
      </c>
      <c r="Q695" s="24">
        <f t="shared" si="4"/>
        <v>0.7352941176</v>
      </c>
    </row>
    <row r="696">
      <c r="A696" s="32"/>
      <c r="B696" s="30"/>
      <c r="C696" s="33"/>
      <c r="D696" s="22"/>
      <c r="E696" s="31"/>
      <c r="F696" s="22"/>
      <c r="G696" s="33"/>
      <c r="H696" s="24">
        <v>30.0</v>
      </c>
      <c r="I696" s="24">
        <v>35.0</v>
      </c>
      <c r="J696" s="24">
        <v>36.0</v>
      </c>
      <c r="K696" s="24">
        <f>IF(H696=0,0,CAPITAL!$C$5/H696)
</f>
        <v>5000</v>
      </c>
      <c r="L696" s="24">
        <f>IF(I696=0,0,CAPITAL!$C$6/I696)
</f>
        <v>20000</v>
      </c>
      <c r="M696" s="24">
        <f>IF(J696=0,0,CAPITAL!$C$7/J696)
</f>
        <v>69444.44444</v>
      </c>
      <c r="N696" s="24">
        <f t="shared" si="1"/>
        <v>94444.44444</v>
      </c>
      <c r="O696" s="24">
        <f t="shared" si="2"/>
        <v>0.05294117647</v>
      </c>
      <c r="P696" s="24">
        <f t="shared" si="3"/>
        <v>0.2117647059</v>
      </c>
      <c r="Q696" s="24">
        <f t="shared" si="4"/>
        <v>0.7352941176</v>
      </c>
    </row>
    <row r="697">
      <c r="A697" s="32"/>
      <c r="B697" s="30"/>
      <c r="C697" s="33"/>
      <c r="D697" s="22"/>
      <c r="E697" s="31"/>
      <c r="F697" s="22"/>
      <c r="G697" s="33"/>
      <c r="H697" s="24">
        <v>30.0</v>
      </c>
      <c r="I697" s="24">
        <v>35.0</v>
      </c>
      <c r="J697" s="24">
        <v>36.0</v>
      </c>
      <c r="K697" s="24">
        <f>IF(H697=0,0,CAPITAL!$C$5/H697)
</f>
        <v>5000</v>
      </c>
      <c r="L697" s="24">
        <f>IF(I697=0,0,CAPITAL!$C$6/I697)
</f>
        <v>20000</v>
      </c>
      <c r="M697" s="24">
        <f>IF(J697=0,0,CAPITAL!$C$7/J697)
</f>
        <v>69444.44444</v>
      </c>
      <c r="N697" s="24">
        <f t="shared" si="1"/>
        <v>94444.44444</v>
      </c>
      <c r="O697" s="24">
        <f t="shared" si="2"/>
        <v>0.05294117647</v>
      </c>
      <c r="P697" s="24">
        <f t="shared" si="3"/>
        <v>0.2117647059</v>
      </c>
      <c r="Q697" s="24">
        <f t="shared" si="4"/>
        <v>0.7352941176</v>
      </c>
    </row>
    <row r="698">
      <c r="A698" s="32"/>
      <c r="B698" s="30"/>
      <c r="C698" s="33"/>
      <c r="D698" s="22"/>
      <c r="E698" s="31"/>
      <c r="F698" s="22"/>
      <c r="G698" s="33"/>
      <c r="H698" s="24">
        <v>30.0</v>
      </c>
      <c r="I698" s="24">
        <v>35.0</v>
      </c>
      <c r="J698" s="24">
        <v>36.0</v>
      </c>
      <c r="K698" s="24">
        <f>IF(H698=0,0,CAPITAL!$C$5/H698)
</f>
        <v>5000</v>
      </c>
      <c r="L698" s="24">
        <f>IF(I698=0,0,CAPITAL!$C$6/I698)
</f>
        <v>20000</v>
      </c>
      <c r="M698" s="24">
        <f>IF(J698=0,0,CAPITAL!$C$7/J698)
</f>
        <v>69444.44444</v>
      </c>
      <c r="N698" s="24">
        <f t="shared" si="1"/>
        <v>94444.44444</v>
      </c>
      <c r="O698" s="24">
        <f t="shared" si="2"/>
        <v>0.05294117647</v>
      </c>
      <c r="P698" s="24">
        <f t="shared" si="3"/>
        <v>0.2117647059</v>
      </c>
      <c r="Q698" s="24">
        <f t="shared" si="4"/>
        <v>0.7352941176</v>
      </c>
    </row>
    <row r="699">
      <c r="A699" s="32"/>
      <c r="B699" s="30"/>
      <c r="C699" s="33"/>
      <c r="D699" s="22"/>
      <c r="E699" s="31"/>
      <c r="F699" s="22"/>
      <c r="G699" s="33"/>
      <c r="H699" s="24">
        <v>30.0</v>
      </c>
      <c r="I699" s="24">
        <v>35.0</v>
      </c>
      <c r="J699" s="24">
        <v>36.0</v>
      </c>
      <c r="K699" s="24">
        <f>IF(H699=0,0,CAPITAL!$C$5/H699)
</f>
        <v>5000</v>
      </c>
      <c r="L699" s="24">
        <f>IF(I699=0,0,CAPITAL!$C$6/I699)
</f>
        <v>20000</v>
      </c>
      <c r="M699" s="24">
        <f>IF(J699=0,0,CAPITAL!$C$7/J699)
</f>
        <v>69444.44444</v>
      </c>
      <c r="N699" s="24">
        <f t="shared" si="1"/>
        <v>94444.44444</v>
      </c>
      <c r="O699" s="24">
        <f t="shared" si="2"/>
        <v>0.05294117647</v>
      </c>
      <c r="P699" s="24">
        <f t="shared" si="3"/>
        <v>0.2117647059</v>
      </c>
      <c r="Q699" s="24">
        <f t="shared" si="4"/>
        <v>0.7352941176</v>
      </c>
    </row>
    <row r="700">
      <c r="A700" s="32"/>
      <c r="B700" s="30"/>
      <c r="C700" s="33"/>
      <c r="D700" s="22"/>
      <c r="E700" s="31"/>
      <c r="F700" s="22"/>
      <c r="G700" s="33"/>
      <c r="H700" s="24">
        <v>30.0</v>
      </c>
      <c r="I700" s="24">
        <v>35.0</v>
      </c>
      <c r="J700" s="24">
        <v>36.0</v>
      </c>
      <c r="K700" s="24">
        <f>IF(H700=0,0,CAPITAL!$C$5/H700)
</f>
        <v>5000</v>
      </c>
      <c r="L700" s="24">
        <f>IF(I700=0,0,CAPITAL!$C$6/I700)
</f>
        <v>20000</v>
      </c>
      <c r="M700" s="24">
        <f>IF(J700=0,0,CAPITAL!$C$7/J700)
</f>
        <v>69444.44444</v>
      </c>
      <c r="N700" s="24">
        <f t="shared" si="1"/>
        <v>94444.44444</v>
      </c>
      <c r="O700" s="24">
        <f t="shared" si="2"/>
        <v>0.05294117647</v>
      </c>
      <c r="P700" s="24">
        <f t="shared" si="3"/>
        <v>0.2117647059</v>
      </c>
      <c r="Q700" s="24">
        <f t="shared" si="4"/>
        <v>0.7352941176</v>
      </c>
    </row>
    <row r="701">
      <c r="A701" s="32"/>
      <c r="B701" s="30"/>
      <c r="C701" s="33"/>
      <c r="D701" s="22"/>
      <c r="E701" s="31"/>
      <c r="F701" s="22"/>
      <c r="G701" s="33"/>
      <c r="H701" s="24">
        <v>30.0</v>
      </c>
      <c r="I701" s="24">
        <v>35.0</v>
      </c>
      <c r="J701" s="24">
        <v>36.0</v>
      </c>
      <c r="K701" s="24">
        <f>IF(H701=0,0,CAPITAL!$C$5/H701)
</f>
        <v>5000</v>
      </c>
      <c r="L701" s="24">
        <f>IF(I701=0,0,CAPITAL!$C$6/I701)
</f>
        <v>20000</v>
      </c>
      <c r="M701" s="24">
        <f>IF(J701=0,0,CAPITAL!$C$7/J701)
</f>
        <v>69444.44444</v>
      </c>
      <c r="N701" s="24">
        <f t="shared" si="1"/>
        <v>94444.44444</v>
      </c>
      <c r="O701" s="24">
        <f t="shared" si="2"/>
        <v>0.05294117647</v>
      </c>
      <c r="P701" s="24">
        <f t="shared" si="3"/>
        <v>0.2117647059</v>
      </c>
      <c r="Q701" s="24">
        <f t="shared" si="4"/>
        <v>0.7352941176</v>
      </c>
    </row>
    <row r="702">
      <c r="A702" s="32"/>
      <c r="B702" s="30"/>
      <c r="C702" s="33"/>
      <c r="D702" s="22"/>
      <c r="E702" s="31"/>
      <c r="F702" s="22"/>
      <c r="G702" s="33"/>
      <c r="H702" s="24">
        <v>30.0</v>
      </c>
      <c r="I702" s="24">
        <v>35.0</v>
      </c>
      <c r="J702" s="24">
        <v>36.0</v>
      </c>
      <c r="K702" s="24">
        <f>IF(H702=0,0,CAPITAL!$C$5/H702)
</f>
        <v>5000</v>
      </c>
      <c r="L702" s="24">
        <f>IF(I702=0,0,CAPITAL!$C$6/I702)
</f>
        <v>20000</v>
      </c>
      <c r="M702" s="24">
        <f>IF(J702=0,0,CAPITAL!$C$7/J702)
</f>
        <v>69444.44444</v>
      </c>
      <c r="N702" s="24">
        <f t="shared" si="1"/>
        <v>94444.44444</v>
      </c>
      <c r="O702" s="24">
        <f t="shared" si="2"/>
        <v>0.05294117647</v>
      </c>
      <c r="P702" s="24">
        <f t="shared" si="3"/>
        <v>0.2117647059</v>
      </c>
      <c r="Q702" s="24">
        <f t="shared" si="4"/>
        <v>0.7352941176</v>
      </c>
    </row>
    <row r="703">
      <c r="A703" s="32"/>
      <c r="B703" s="30"/>
      <c r="C703" s="33"/>
      <c r="D703" s="22"/>
      <c r="E703" s="31"/>
      <c r="F703" s="22"/>
      <c r="G703" s="33"/>
      <c r="H703" s="24">
        <v>30.0</v>
      </c>
      <c r="I703" s="24">
        <v>35.0</v>
      </c>
      <c r="J703" s="24">
        <v>36.0</v>
      </c>
      <c r="K703" s="24">
        <f>IF(H703=0,0,CAPITAL!$C$5/H703)
</f>
        <v>5000</v>
      </c>
      <c r="L703" s="24">
        <f>IF(I703=0,0,CAPITAL!$C$6/I703)
</f>
        <v>20000</v>
      </c>
      <c r="M703" s="24">
        <f>IF(J703=0,0,CAPITAL!$C$7/J703)
</f>
        <v>69444.44444</v>
      </c>
      <c r="N703" s="24">
        <f t="shared" si="1"/>
        <v>94444.44444</v>
      </c>
      <c r="O703" s="24">
        <f t="shared" si="2"/>
        <v>0.05294117647</v>
      </c>
      <c r="P703" s="24">
        <f t="shared" si="3"/>
        <v>0.2117647059</v>
      </c>
      <c r="Q703" s="24">
        <f t="shared" si="4"/>
        <v>0.7352941176</v>
      </c>
    </row>
    <row r="704">
      <c r="A704" s="32"/>
      <c r="B704" s="30"/>
      <c r="C704" s="33"/>
      <c r="D704" s="22"/>
      <c r="E704" s="31"/>
      <c r="F704" s="22"/>
      <c r="G704" s="33"/>
      <c r="H704" s="24">
        <v>30.0</v>
      </c>
      <c r="I704" s="24">
        <v>35.0</v>
      </c>
      <c r="J704" s="24">
        <v>36.0</v>
      </c>
      <c r="K704" s="24">
        <f>IF(H704=0,0,CAPITAL!$C$5/H704)
</f>
        <v>5000</v>
      </c>
      <c r="L704" s="24">
        <f>IF(I704=0,0,CAPITAL!$C$6/I704)
</f>
        <v>20000</v>
      </c>
      <c r="M704" s="24">
        <f>IF(J704=0,0,CAPITAL!$C$7/J704)
</f>
        <v>69444.44444</v>
      </c>
      <c r="N704" s="24">
        <f t="shared" si="1"/>
        <v>94444.44444</v>
      </c>
      <c r="O704" s="24">
        <f t="shared" si="2"/>
        <v>0.05294117647</v>
      </c>
      <c r="P704" s="24">
        <f t="shared" si="3"/>
        <v>0.2117647059</v>
      </c>
      <c r="Q704" s="24">
        <f t="shared" si="4"/>
        <v>0.7352941176</v>
      </c>
    </row>
    <row r="705">
      <c r="A705" s="32"/>
      <c r="B705" s="30"/>
      <c r="C705" s="33"/>
      <c r="D705" s="22"/>
      <c r="E705" s="31"/>
      <c r="F705" s="22"/>
      <c r="G705" s="33"/>
      <c r="H705" s="24">
        <v>30.0</v>
      </c>
      <c r="I705" s="24">
        <v>35.0</v>
      </c>
      <c r="J705" s="24">
        <v>36.0</v>
      </c>
      <c r="K705" s="24">
        <f>IF(H705=0,0,CAPITAL!$C$5/H705)
</f>
        <v>5000</v>
      </c>
      <c r="L705" s="24">
        <f>IF(I705=0,0,CAPITAL!$C$6/I705)
</f>
        <v>20000</v>
      </c>
      <c r="M705" s="24">
        <f>IF(J705=0,0,CAPITAL!$C$7/J705)
</f>
        <v>69444.44444</v>
      </c>
      <c r="N705" s="24">
        <f t="shared" si="1"/>
        <v>94444.44444</v>
      </c>
      <c r="O705" s="24">
        <f t="shared" si="2"/>
        <v>0.05294117647</v>
      </c>
      <c r="P705" s="24">
        <f t="shared" si="3"/>
        <v>0.2117647059</v>
      </c>
      <c r="Q705" s="24">
        <f t="shared" si="4"/>
        <v>0.7352941176</v>
      </c>
    </row>
    <row r="706">
      <c r="A706" s="32"/>
      <c r="B706" s="30"/>
      <c r="C706" s="33"/>
      <c r="D706" s="22"/>
      <c r="E706" s="31"/>
      <c r="F706" s="22"/>
      <c r="G706" s="33"/>
      <c r="H706" s="24">
        <v>30.0</v>
      </c>
      <c r="I706" s="24">
        <v>35.0</v>
      </c>
      <c r="J706" s="24">
        <v>36.0</v>
      </c>
      <c r="K706" s="24">
        <f>IF(H706=0,0,CAPITAL!$C$5/H706)
</f>
        <v>5000</v>
      </c>
      <c r="L706" s="24">
        <f>IF(I706=0,0,CAPITAL!$C$6/I706)
</f>
        <v>20000</v>
      </c>
      <c r="M706" s="24">
        <f>IF(J706=0,0,CAPITAL!$C$7/J706)
</f>
        <v>69444.44444</v>
      </c>
      <c r="N706" s="24">
        <f t="shared" si="1"/>
        <v>94444.44444</v>
      </c>
      <c r="O706" s="24">
        <f t="shared" si="2"/>
        <v>0.05294117647</v>
      </c>
      <c r="P706" s="24">
        <f t="shared" si="3"/>
        <v>0.2117647059</v>
      </c>
      <c r="Q706" s="24">
        <f t="shared" si="4"/>
        <v>0.7352941176</v>
      </c>
    </row>
    <row r="707">
      <c r="A707" s="32"/>
      <c r="B707" s="30"/>
      <c r="C707" s="33"/>
      <c r="D707" s="22"/>
      <c r="E707" s="31"/>
      <c r="F707" s="22"/>
      <c r="G707" s="33"/>
      <c r="H707" s="24">
        <v>30.0</v>
      </c>
      <c r="I707" s="24">
        <v>35.0</v>
      </c>
      <c r="J707" s="24">
        <v>36.0</v>
      </c>
      <c r="K707" s="24">
        <f>IF(H707=0,0,CAPITAL!$C$5/H707)
</f>
        <v>5000</v>
      </c>
      <c r="L707" s="24">
        <f>IF(I707=0,0,CAPITAL!$C$6/I707)
</f>
        <v>20000</v>
      </c>
      <c r="M707" s="24">
        <f>IF(J707=0,0,CAPITAL!$C$7/J707)
</f>
        <v>69444.44444</v>
      </c>
      <c r="N707" s="24">
        <f t="shared" si="1"/>
        <v>94444.44444</v>
      </c>
      <c r="O707" s="24">
        <f t="shared" si="2"/>
        <v>0.05294117647</v>
      </c>
      <c r="P707" s="24">
        <f t="shared" si="3"/>
        <v>0.2117647059</v>
      </c>
      <c r="Q707" s="24">
        <f t="shared" si="4"/>
        <v>0.7352941176</v>
      </c>
    </row>
    <row r="708">
      <c r="A708" s="32"/>
      <c r="B708" s="30"/>
      <c r="C708" s="33"/>
      <c r="D708" s="22"/>
      <c r="E708" s="31"/>
      <c r="F708" s="22"/>
      <c r="G708" s="33"/>
      <c r="H708" s="24">
        <v>30.0</v>
      </c>
      <c r="I708" s="24">
        <v>35.0</v>
      </c>
      <c r="J708" s="24">
        <v>36.0</v>
      </c>
      <c r="K708" s="24">
        <f>IF(H708=0,0,CAPITAL!$C$5/H708)
</f>
        <v>5000</v>
      </c>
      <c r="L708" s="24">
        <f>IF(I708=0,0,CAPITAL!$C$6/I708)
</f>
        <v>20000</v>
      </c>
      <c r="M708" s="24">
        <f>IF(J708=0,0,CAPITAL!$C$7/J708)
</f>
        <v>69444.44444</v>
      </c>
      <c r="N708" s="24">
        <f t="shared" si="1"/>
        <v>94444.44444</v>
      </c>
      <c r="O708" s="24">
        <f t="shared" si="2"/>
        <v>0.05294117647</v>
      </c>
      <c r="P708" s="24">
        <f t="shared" si="3"/>
        <v>0.2117647059</v>
      </c>
      <c r="Q708" s="24">
        <f t="shared" si="4"/>
        <v>0.7352941176</v>
      </c>
    </row>
    <row r="709">
      <c r="A709" s="32"/>
      <c r="B709" s="30"/>
      <c r="C709" s="33"/>
      <c r="D709" s="22"/>
      <c r="E709" s="31"/>
      <c r="F709" s="22"/>
      <c r="G709" s="33"/>
      <c r="H709" s="24">
        <v>30.0</v>
      </c>
      <c r="I709" s="24">
        <v>35.0</v>
      </c>
      <c r="J709" s="24">
        <v>36.0</v>
      </c>
      <c r="K709" s="24">
        <f>IF(H709=0,0,CAPITAL!$C$5/H709)
</f>
        <v>5000</v>
      </c>
      <c r="L709" s="24">
        <f>IF(I709=0,0,CAPITAL!$C$6/I709)
</f>
        <v>20000</v>
      </c>
      <c r="M709" s="24">
        <f>IF(J709=0,0,CAPITAL!$C$7/J709)
</f>
        <v>69444.44444</v>
      </c>
      <c r="N709" s="24">
        <f t="shared" si="1"/>
        <v>94444.44444</v>
      </c>
      <c r="O709" s="24">
        <f t="shared" si="2"/>
        <v>0.05294117647</v>
      </c>
      <c r="P709" s="24">
        <f t="shared" si="3"/>
        <v>0.2117647059</v>
      </c>
      <c r="Q709" s="24">
        <f t="shared" si="4"/>
        <v>0.7352941176</v>
      </c>
    </row>
    <row r="710">
      <c r="A710" s="32"/>
      <c r="B710" s="30"/>
      <c r="C710" s="33"/>
      <c r="D710" s="22"/>
      <c r="E710" s="31"/>
      <c r="F710" s="22"/>
      <c r="G710" s="33"/>
      <c r="H710" s="24">
        <v>30.0</v>
      </c>
      <c r="I710" s="24">
        <v>35.0</v>
      </c>
      <c r="J710" s="24">
        <v>36.0</v>
      </c>
      <c r="K710" s="24">
        <f>IF(H710=0,0,CAPITAL!$C$5/H710)
</f>
        <v>5000</v>
      </c>
      <c r="L710" s="24">
        <f>IF(I710=0,0,CAPITAL!$C$6/I710)
</f>
        <v>20000</v>
      </c>
      <c r="M710" s="24">
        <f>IF(J710=0,0,CAPITAL!$C$7/J710)
</f>
        <v>69444.44444</v>
      </c>
      <c r="N710" s="24">
        <f t="shared" si="1"/>
        <v>94444.44444</v>
      </c>
      <c r="O710" s="24">
        <f t="shared" si="2"/>
        <v>0.05294117647</v>
      </c>
      <c r="P710" s="24">
        <f t="shared" si="3"/>
        <v>0.2117647059</v>
      </c>
      <c r="Q710" s="24">
        <f t="shared" si="4"/>
        <v>0.7352941176</v>
      </c>
    </row>
    <row r="711">
      <c r="A711" s="32"/>
      <c r="B711" s="30"/>
      <c r="C711" s="33"/>
      <c r="D711" s="22"/>
      <c r="E711" s="31"/>
      <c r="F711" s="22"/>
      <c r="G711" s="33"/>
      <c r="H711" s="24">
        <v>30.0</v>
      </c>
      <c r="I711" s="24">
        <v>35.0</v>
      </c>
      <c r="J711" s="24">
        <v>36.0</v>
      </c>
      <c r="K711" s="24">
        <f>IF(H711=0,0,CAPITAL!$C$5/H711)
</f>
        <v>5000</v>
      </c>
      <c r="L711" s="24">
        <f>IF(I711=0,0,CAPITAL!$C$6/I711)
</f>
        <v>20000</v>
      </c>
      <c r="M711" s="24">
        <f>IF(J711=0,0,CAPITAL!$C$7/J711)
</f>
        <v>69444.44444</v>
      </c>
      <c r="N711" s="24">
        <f t="shared" si="1"/>
        <v>94444.44444</v>
      </c>
      <c r="O711" s="24">
        <f t="shared" si="2"/>
        <v>0.05294117647</v>
      </c>
      <c r="P711" s="24">
        <f t="shared" si="3"/>
        <v>0.2117647059</v>
      </c>
      <c r="Q711" s="24">
        <f t="shared" si="4"/>
        <v>0.7352941176</v>
      </c>
    </row>
    <row r="712">
      <c r="A712" s="32"/>
      <c r="B712" s="30"/>
      <c r="C712" s="33"/>
      <c r="D712" s="22"/>
      <c r="E712" s="31"/>
      <c r="F712" s="22"/>
      <c r="G712" s="33"/>
      <c r="H712" s="24">
        <v>30.0</v>
      </c>
      <c r="I712" s="24">
        <v>35.0</v>
      </c>
      <c r="J712" s="24">
        <v>36.0</v>
      </c>
      <c r="K712" s="24">
        <f>IF(H712=0,0,CAPITAL!$C$5/H712)
</f>
        <v>5000</v>
      </c>
      <c r="L712" s="24">
        <f>IF(I712=0,0,CAPITAL!$C$6/I712)
</f>
        <v>20000</v>
      </c>
      <c r="M712" s="24">
        <f>IF(J712=0,0,CAPITAL!$C$7/J712)
</f>
        <v>69444.44444</v>
      </c>
      <c r="N712" s="24">
        <f t="shared" si="1"/>
        <v>94444.44444</v>
      </c>
      <c r="O712" s="24">
        <f t="shared" si="2"/>
        <v>0.05294117647</v>
      </c>
      <c r="P712" s="24">
        <f t="shared" si="3"/>
        <v>0.2117647059</v>
      </c>
      <c r="Q712" s="24">
        <f t="shared" si="4"/>
        <v>0.7352941176</v>
      </c>
    </row>
    <row r="713">
      <c r="A713" s="32"/>
      <c r="B713" s="30"/>
      <c r="C713" s="33"/>
      <c r="D713" s="22"/>
      <c r="E713" s="31"/>
      <c r="F713" s="22"/>
      <c r="G713" s="33"/>
      <c r="H713" s="24">
        <v>30.0</v>
      </c>
      <c r="I713" s="24">
        <v>35.0</v>
      </c>
      <c r="J713" s="24">
        <v>36.0</v>
      </c>
      <c r="K713" s="24">
        <f>IF(H713=0,0,CAPITAL!$C$5/H713)
</f>
        <v>5000</v>
      </c>
      <c r="L713" s="24">
        <f>IF(I713=0,0,CAPITAL!$C$6/I713)
</f>
        <v>20000</v>
      </c>
      <c r="M713" s="24">
        <f>IF(J713=0,0,CAPITAL!$C$7/J713)
</f>
        <v>69444.44444</v>
      </c>
      <c r="N713" s="24">
        <f t="shared" si="1"/>
        <v>94444.44444</v>
      </c>
      <c r="O713" s="24">
        <f t="shared" si="2"/>
        <v>0.05294117647</v>
      </c>
      <c r="P713" s="24">
        <f t="shared" si="3"/>
        <v>0.2117647059</v>
      </c>
      <c r="Q713" s="24">
        <f t="shared" si="4"/>
        <v>0.7352941176</v>
      </c>
    </row>
    <row r="714">
      <c r="A714" s="32"/>
      <c r="B714" s="30"/>
      <c r="C714" s="33"/>
      <c r="D714" s="22"/>
      <c r="E714" s="31"/>
      <c r="F714" s="22"/>
      <c r="G714" s="33"/>
      <c r="H714" s="24">
        <v>30.0</v>
      </c>
      <c r="I714" s="24">
        <v>35.0</v>
      </c>
      <c r="J714" s="24">
        <v>36.0</v>
      </c>
      <c r="K714" s="24">
        <f>IF(H714=0,0,CAPITAL!$C$5/H714)
</f>
        <v>5000</v>
      </c>
      <c r="L714" s="24">
        <f>IF(I714=0,0,CAPITAL!$C$6/I714)
</f>
        <v>20000</v>
      </c>
      <c r="M714" s="24">
        <f>IF(J714=0,0,CAPITAL!$C$7/J714)
</f>
        <v>69444.44444</v>
      </c>
      <c r="N714" s="24">
        <f t="shared" si="1"/>
        <v>94444.44444</v>
      </c>
      <c r="O714" s="24">
        <f t="shared" si="2"/>
        <v>0.05294117647</v>
      </c>
      <c r="P714" s="24">
        <f t="shared" si="3"/>
        <v>0.2117647059</v>
      </c>
      <c r="Q714" s="24">
        <f t="shared" si="4"/>
        <v>0.7352941176</v>
      </c>
    </row>
    <row r="715">
      <c r="A715" s="32"/>
      <c r="B715" s="30"/>
      <c r="C715" s="33"/>
      <c r="D715" s="22"/>
      <c r="E715" s="31"/>
      <c r="F715" s="22"/>
      <c r="G715" s="33"/>
      <c r="H715" s="24">
        <v>30.0</v>
      </c>
      <c r="I715" s="24">
        <v>35.0</v>
      </c>
      <c r="J715" s="24">
        <v>36.0</v>
      </c>
      <c r="K715" s="24">
        <f>IF(H715=0,0,CAPITAL!$C$5/H715)
</f>
        <v>5000</v>
      </c>
      <c r="L715" s="24">
        <f>IF(I715=0,0,CAPITAL!$C$6/I715)
</f>
        <v>20000</v>
      </c>
      <c r="M715" s="24">
        <f>IF(J715=0,0,CAPITAL!$C$7/J715)
</f>
        <v>69444.44444</v>
      </c>
      <c r="N715" s="24">
        <f t="shared" si="1"/>
        <v>94444.44444</v>
      </c>
      <c r="O715" s="24">
        <f t="shared" si="2"/>
        <v>0.05294117647</v>
      </c>
      <c r="P715" s="24">
        <f t="shared" si="3"/>
        <v>0.2117647059</v>
      </c>
      <c r="Q715" s="24">
        <f t="shared" si="4"/>
        <v>0.7352941176</v>
      </c>
    </row>
    <row r="716">
      <c r="A716" s="32"/>
      <c r="B716" s="30"/>
      <c r="C716" s="33"/>
      <c r="D716" s="22"/>
      <c r="E716" s="31"/>
      <c r="F716" s="22"/>
      <c r="G716" s="33"/>
      <c r="H716" s="24">
        <v>30.0</v>
      </c>
      <c r="I716" s="24">
        <v>35.0</v>
      </c>
      <c r="J716" s="24">
        <v>36.0</v>
      </c>
      <c r="K716" s="24">
        <f>IF(H716=0,0,CAPITAL!$C$5/H716)
</f>
        <v>5000</v>
      </c>
      <c r="L716" s="24">
        <f>IF(I716=0,0,CAPITAL!$C$6/I716)
</f>
        <v>20000</v>
      </c>
      <c r="M716" s="24">
        <f>IF(J716=0,0,CAPITAL!$C$7/J716)
</f>
        <v>69444.44444</v>
      </c>
      <c r="N716" s="24">
        <f t="shared" si="1"/>
        <v>94444.44444</v>
      </c>
      <c r="O716" s="24">
        <f t="shared" si="2"/>
        <v>0.05294117647</v>
      </c>
      <c r="P716" s="24">
        <f t="shared" si="3"/>
        <v>0.2117647059</v>
      </c>
      <c r="Q716" s="24">
        <f t="shared" si="4"/>
        <v>0.7352941176</v>
      </c>
    </row>
    <row r="717">
      <c r="A717" s="32"/>
      <c r="B717" s="30"/>
      <c r="C717" s="33"/>
      <c r="D717" s="22"/>
      <c r="E717" s="31"/>
      <c r="F717" s="22"/>
      <c r="G717" s="33"/>
      <c r="H717" s="24">
        <v>30.0</v>
      </c>
      <c r="I717" s="24">
        <v>35.0</v>
      </c>
      <c r="J717" s="24">
        <v>36.0</v>
      </c>
      <c r="K717" s="24">
        <f>IF(H717=0,0,CAPITAL!$C$5/H717)
</f>
        <v>5000</v>
      </c>
      <c r="L717" s="24">
        <f>IF(I717=0,0,CAPITAL!$C$6/I717)
</f>
        <v>20000</v>
      </c>
      <c r="M717" s="24">
        <f>IF(J717=0,0,CAPITAL!$C$7/J717)
</f>
        <v>69444.44444</v>
      </c>
      <c r="N717" s="24">
        <f t="shared" si="1"/>
        <v>94444.44444</v>
      </c>
      <c r="O717" s="24">
        <f t="shared" si="2"/>
        <v>0.05294117647</v>
      </c>
      <c r="P717" s="24">
        <f t="shared" si="3"/>
        <v>0.2117647059</v>
      </c>
      <c r="Q717" s="24">
        <f t="shared" si="4"/>
        <v>0.7352941176</v>
      </c>
    </row>
    <row r="718">
      <c r="A718" s="32"/>
      <c r="B718" s="30"/>
      <c r="C718" s="33"/>
      <c r="D718" s="22"/>
      <c r="E718" s="31"/>
      <c r="F718" s="22"/>
      <c r="G718" s="33"/>
      <c r="H718" s="24">
        <v>30.0</v>
      </c>
      <c r="I718" s="24">
        <v>35.0</v>
      </c>
      <c r="J718" s="24">
        <v>36.0</v>
      </c>
      <c r="K718" s="24">
        <f>IF(H718=0,0,CAPITAL!$C$5/H718)
</f>
        <v>5000</v>
      </c>
      <c r="L718" s="24">
        <f>IF(I718=0,0,CAPITAL!$C$6/I718)
</f>
        <v>20000</v>
      </c>
      <c r="M718" s="24">
        <f>IF(J718=0,0,CAPITAL!$C$7/J718)
</f>
        <v>69444.44444</v>
      </c>
      <c r="N718" s="24">
        <f t="shared" si="1"/>
        <v>94444.44444</v>
      </c>
      <c r="O718" s="24">
        <f t="shared" si="2"/>
        <v>0.05294117647</v>
      </c>
      <c r="P718" s="24">
        <f t="shared" si="3"/>
        <v>0.2117647059</v>
      </c>
      <c r="Q718" s="24">
        <f t="shared" si="4"/>
        <v>0.7352941176</v>
      </c>
    </row>
    <row r="719">
      <c r="A719" s="32"/>
      <c r="B719" s="30"/>
      <c r="C719" s="33"/>
      <c r="D719" s="22"/>
      <c r="E719" s="31"/>
      <c r="F719" s="22"/>
      <c r="G719" s="33"/>
      <c r="H719" s="24">
        <v>30.0</v>
      </c>
      <c r="I719" s="24">
        <v>35.0</v>
      </c>
      <c r="J719" s="24">
        <v>36.0</v>
      </c>
      <c r="K719" s="24">
        <f>IF(H719=0,0,CAPITAL!$C$5/H719)
</f>
        <v>5000</v>
      </c>
      <c r="L719" s="24">
        <f>IF(I719=0,0,CAPITAL!$C$6/I719)
</f>
        <v>20000</v>
      </c>
      <c r="M719" s="24">
        <f>IF(J719=0,0,CAPITAL!$C$7/J719)
</f>
        <v>69444.44444</v>
      </c>
      <c r="N719" s="24">
        <f t="shared" si="1"/>
        <v>94444.44444</v>
      </c>
      <c r="O719" s="24">
        <f t="shared" si="2"/>
        <v>0.05294117647</v>
      </c>
      <c r="P719" s="24">
        <f t="shared" si="3"/>
        <v>0.2117647059</v>
      </c>
      <c r="Q719" s="24">
        <f t="shared" si="4"/>
        <v>0.7352941176</v>
      </c>
    </row>
    <row r="720">
      <c r="A720" s="32"/>
      <c r="B720" s="30"/>
      <c r="C720" s="33"/>
      <c r="D720" s="22"/>
      <c r="E720" s="31"/>
      <c r="F720" s="22"/>
      <c r="G720" s="33"/>
      <c r="H720" s="24">
        <v>30.0</v>
      </c>
      <c r="I720" s="24">
        <v>35.0</v>
      </c>
      <c r="J720" s="24">
        <v>36.0</v>
      </c>
      <c r="K720" s="24">
        <f>IF(H720=0,0,CAPITAL!$C$5/H720)
</f>
        <v>5000</v>
      </c>
      <c r="L720" s="24">
        <f>IF(I720=0,0,CAPITAL!$C$6/I720)
</f>
        <v>20000</v>
      </c>
      <c r="M720" s="24">
        <f>IF(J720=0,0,CAPITAL!$C$7/J720)
</f>
        <v>69444.44444</v>
      </c>
      <c r="N720" s="24">
        <f t="shared" si="1"/>
        <v>94444.44444</v>
      </c>
      <c r="O720" s="24">
        <f t="shared" si="2"/>
        <v>0.05294117647</v>
      </c>
      <c r="P720" s="24">
        <f t="shared" si="3"/>
        <v>0.2117647059</v>
      </c>
      <c r="Q720" s="24">
        <f t="shared" si="4"/>
        <v>0.7352941176</v>
      </c>
    </row>
    <row r="721">
      <c r="A721" s="32"/>
      <c r="B721" s="30"/>
      <c r="C721" s="33"/>
      <c r="D721" s="22"/>
      <c r="E721" s="31"/>
      <c r="F721" s="22"/>
      <c r="G721" s="33"/>
      <c r="H721" s="24">
        <v>30.0</v>
      </c>
      <c r="I721" s="24">
        <v>35.0</v>
      </c>
      <c r="J721" s="24">
        <v>36.0</v>
      </c>
      <c r="K721" s="24">
        <f>IF(H721=0,0,CAPITAL!$C$5/H721)
</f>
        <v>5000</v>
      </c>
      <c r="L721" s="24">
        <f>IF(I721=0,0,CAPITAL!$C$6/I721)
</f>
        <v>20000</v>
      </c>
      <c r="M721" s="24">
        <f>IF(J721=0,0,CAPITAL!$C$7/J721)
</f>
        <v>69444.44444</v>
      </c>
      <c r="N721" s="24">
        <f t="shared" si="1"/>
        <v>94444.44444</v>
      </c>
      <c r="O721" s="24">
        <f t="shared" si="2"/>
        <v>0.05294117647</v>
      </c>
      <c r="P721" s="24">
        <f t="shared" si="3"/>
        <v>0.2117647059</v>
      </c>
      <c r="Q721" s="24">
        <f t="shared" si="4"/>
        <v>0.7352941176</v>
      </c>
    </row>
    <row r="722">
      <c r="A722" s="32"/>
      <c r="B722" s="30"/>
      <c r="C722" s="33"/>
      <c r="D722" s="22"/>
      <c r="E722" s="31"/>
      <c r="F722" s="22"/>
      <c r="G722" s="33"/>
      <c r="H722" s="24">
        <v>30.0</v>
      </c>
      <c r="I722" s="24">
        <v>35.0</v>
      </c>
      <c r="J722" s="24">
        <v>36.0</v>
      </c>
      <c r="K722" s="24">
        <f>IF(H722=0,0,CAPITAL!$C$5/H722)
</f>
        <v>5000</v>
      </c>
      <c r="L722" s="24">
        <f>IF(I722=0,0,CAPITAL!$C$6/I722)
</f>
        <v>20000</v>
      </c>
      <c r="M722" s="24">
        <f>IF(J722=0,0,CAPITAL!$C$7/J722)
</f>
        <v>69444.44444</v>
      </c>
      <c r="N722" s="24">
        <f t="shared" si="1"/>
        <v>94444.44444</v>
      </c>
      <c r="O722" s="24">
        <f t="shared" si="2"/>
        <v>0.05294117647</v>
      </c>
      <c r="P722" s="24">
        <f t="shared" si="3"/>
        <v>0.2117647059</v>
      </c>
      <c r="Q722" s="24">
        <f t="shared" si="4"/>
        <v>0.7352941176</v>
      </c>
    </row>
    <row r="723">
      <c r="A723" s="32"/>
      <c r="B723" s="30"/>
      <c r="C723" s="33"/>
      <c r="D723" s="22"/>
      <c r="E723" s="31"/>
      <c r="F723" s="22"/>
      <c r="G723" s="33"/>
      <c r="H723" s="24">
        <v>30.0</v>
      </c>
      <c r="I723" s="24">
        <v>35.0</v>
      </c>
      <c r="J723" s="24">
        <v>36.0</v>
      </c>
      <c r="K723" s="24">
        <f>IF(H723=0,0,CAPITAL!$C$5/H723)
</f>
        <v>5000</v>
      </c>
      <c r="L723" s="24">
        <f>IF(I723=0,0,CAPITAL!$C$6/I723)
</f>
        <v>20000</v>
      </c>
      <c r="M723" s="24">
        <f>IF(J723=0,0,CAPITAL!$C$7/J723)
</f>
        <v>69444.44444</v>
      </c>
      <c r="N723" s="24">
        <f t="shared" si="1"/>
        <v>94444.44444</v>
      </c>
      <c r="O723" s="24">
        <f t="shared" si="2"/>
        <v>0.05294117647</v>
      </c>
      <c r="P723" s="24">
        <f t="shared" si="3"/>
        <v>0.2117647059</v>
      </c>
      <c r="Q723" s="24">
        <f t="shared" si="4"/>
        <v>0.7352941176</v>
      </c>
    </row>
    <row r="724">
      <c r="A724" s="32"/>
      <c r="B724" s="30"/>
      <c r="C724" s="33"/>
      <c r="D724" s="22"/>
      <c r="E724" s="31"/>
      <c r="F724" s="22"/>
      <c r="G724" s="33"/>
      <c r="H724" s="24">
        <v>30.0</v>
      </c>
      <c r="I724" s="24">
        <v>35.0</v>
      </c>
      <c r="J724" s="24">
        <v>36.0</v>
      </c>
      <c r="K724" s="24">
        <f>IF(H724=0,0,CAPITAL!$C$5/H724)
</f>
        <v>5000</v>
      </c>
      <c r="L724" s="24">
        <f>IF(I724=0,0,CAPITAL!$C$6/I724)
</f>
        <v>20000</v>
      </c>
      <c r="M724" s="24">
        <f>IF(J724=0,0,CAPITAL!$C$7/J724)
</f>
        <v>69444.44444</v>
      </c>
      <c r="N724" s="24">
        <f t="shared" si="1"/>
        <v>94444.44444</v>
      </c>
      <c r="O724" s="24">
        <f t="shared" si="2"/>
        <v>0.05294117647</v>
      </c>
      <c r="P724" s="24">
        <f t="shared" si="3"/>
        <v>0.2117647059</v>
      </c>
      <c r="Q724" s="24">
        <f t="shared" si="4"/>
        <v>0.7352941176</v>
      </c>
    </row>
    <row r="725">
      <c r="A725" s="32"/>
      <c r="B725" s="30"/>
      <c r="C725" s="33"/>
      <c r="D725" s="22"/>
      <c r="E725" s="31"/>
      <c r="F725" s="22"/>
      <c r="G725" s="33"/>
      <c r="H725" s="24">
        <v>30.0</v>
      </c>
      <c r="I725" s="24">
        <v>35.0</v>
      </c>
      <c r="J725" s="24">
        <v>36.0</v>
      </c>
      <c r="K725" s="24">
        <f>IF(H725=0,0,CAPITAL!$C$5/H725)
</f>
        <v>5000</v>
      </c>
      <c r="L725" s="24">
        <f>IF(I725=0,0,CAPITAL!$C$6/I725)
</f>
        <v>20000</v>
      </c>
      <c r="M725" s="24">
        <f>IF(J725=0,0,CAPITAL!$C$7/J725)
</f>
        <v>69444.44444</v>
      </c>
      <c r="N725" s="24">
        <f t="shared" si="1"/>
        <v>94444.44444</v>
      </c>
      <c r="O725" s="24">
        <f t="shared" si="2"/>
        <v>0.05294117647</v>
      </c>
      <c r="P725" s="24">
        <f t="shared" si="3"/>
        <v>0.2117647059</v>
      </c>
      <c r="Q725" s="24">
        <f t="shared" si="4"/>
        <v>0.7352941176</v>
      </c>
    </row>
    <row r="726">
      <c r="A726" s="32"/>
      <c r="B726" s="30"/>
      <c r="C726" s="33"/>
      <c r="D726" s="22"/>
      <c r="E726" s="31"/>
      <c r="F726" s="22"/>
      <c r="G726" s="33"/>
      <c r="H726" s="24">
        <v>30.0</v>
      </c>
      <c r="I726" s="24">
        <v>35.0</v>
      </c>
      <c r="J726" s="24">
        <v>36.0</v>
      </c>
      <c r="K726" s="24">
        <f>IF(H726=0,0,CAPITAL!$C$5/H726)
</f>
        <v>5000</v>
      </c>
      <c r="L726" s="24">
        <f>IF(I726=0,0,CAPITAL!$C$6/I726)
</f>
        <v>20000</v>
      </c>
      <c r="M726" s="24">
        <f>IF(J726=0,0,CAPITAL!$C$7/J726)
</f>
        <v>69444.44444</v>
      </c>
      <c r="N726" s="24">
        <f t="shared" si="1"/>
        <v>94444.44444</v>
      </c>
      <c r="O726" s="24">
        <f t="shared" si="2"/>
        <v>0.05294117647</v>
      </c>
      <c r="P726" s="24">
        <f t="shared" si="3"/>
        <v>0.2117647059</v>
      </c>
      <c r="Q726" s="24">
        <f t="shared" si="4"/>
        <v>0.7352941176</v>
      </c>
    </row>
    <row r="727">
      <c r="A727" s="32"/>
      <c r="B727" s="30"/>
      <c r="C727" s="33"/>
      <c r="D727" s="22"/>
      <c r="E727" s="31"/>
      <c r="F727" s="22"/>
      <c r="G727" s="33"/>
      <c r="H727" s="24">
        <v>30.0</v>
      </c>
      <c r="I727" s="24">
        <v>35.0</v>
      </c>
      <c r="J727" s="24">
        <v>36.0</v>
      </c>
      <c r="K727" s="24">
        <f>IF(H727=0,0,CAPITAL!$C$5/H727)
</f>
        <v>5000</v>
      </c>
      <c r="L727" s="24">
        <f>IF(I727=0,0,CAPITAL!$C$6/I727)
</f>
        <v>20000</v>
      </c>
      <c r="M727" s="24">
        <f>IF(J727=0,0,CAPITAL!$C$7/J727)
</f>
        <v>69444.44444</v>
      </c>
      <c r="N727" s="24">
        <f t="shared" si="1"/>
        <v>94444.44444</v>
      </c>
      <c r="O727" s="24">
        <f t="shared" si="2"/>
        <v>0.05294117647</v>
      </c>
      <c r="P727" s="24">
        <f t="shared" si="3"/>
        <v>0.2117647059</v>
      </c>
      <c r="Q727" s="24">
        <f t="shared" si="4"/>
        <v>0.7352941176</v>
      </c>
    </row>
    <row r="728">
      <c r="A728" s="32"/>
      <c r="B728" s="30"/>
      <c r="C728" s="33"/>
      <c r="D728" s="22"/>
      <c r="E728" s="31"/>
      <c r="F728" s="22"/>
      <c r="G728" s="33"/>
      <c r="H728" s="24">
        <v>30.0</v>
      </c>
      <c r="I728" s="24">
        <v>35.0</v>
      </c>
      <c r="J728" s="24">
        <v>36.0</v>
      </c>
      <c r="K728" s="24">
        <f>IF(H728=0,0,CAPITAL!$C$5/H728)
</f>
        <v>5000</v>
      </c>
      <c r="L728" s="24">
        <f>IF(I728=0,0,CAPITAL!$C$6/I728)
</f>
        <v>20000</v>
      </c>
      <c r="M728" s="24">
        <f>IF(J728=0,0,CAPITAL!$C$7/J728)
</f>
        <v>69444.44444</v>
      </c>
      <c r="N728" s="24">
        <f t="shared" si="1"/>
        <v>94444.44444</v>
      </c>
      <c r="O728" s="24">
        <f t="shared" si="2"/>
        <v>0.05294117647</v>
      </c>
      <c r="P728" s="24">
        <f t="shared" si="3"/>
        <v>0.2117647059</v>
      </c>
      <c r="Q728" s="24">
        <f t="shared" si="4"/>
        <v>0.7352941176</v>
      </c>
    </row>
    <row r="729">
      <c r="A729" s="32"/>
      <c r="B729" s="30"/>
      <c r="C729" s="33"/>
      <c r="D729" s="22"/>
      <c r="E729" s="31"/>
      <c r="F729" s="22"/>
      <c r="G729" s="33"/>
      <c r="H729" s="24">
        <v>30.0</v>
      </c>
      <c r="I729" s="24">
        <v>35.0</v>
      </c>
      <c r="J729" s="24">
        <v>36.0</v>
      </c>
      <c r="K729" s="24">
        <f>IF(H729=0,0,CAPITAL!$C$5/H729)
</f>
        <v>5000</v>
      </c>
      <c r="L729" s="24">
        <f>IF(I729=0,0,CAPITAL!$C$6/I729)
</f>
        <v>20000</v>
      </c>
      <c r="M729" s="24">
        <f>IF(J729=0,0,CAPITAL!$C$7/J729)
</f>
        <v>69444.44444</v>
      </c>
      <c r="N729" s="24">
        <f t="shared" si="1"/>
        <v>94444.44444</v>
      </c>
      <c r="O729" s="24">
        <f t="shared" si="2"/>
        <v>0.05294117647</v>
      </c>
      <c r="P729" s="24">
        <f t="shared" si="3"/>
        <v>0.2117647059</v>
      </c>
      <c r="Q729" s="24">
        <f t="shared" si="4"/>
        <v>0.7352941176</v>
      </c>
    </row>
    <row r="730">
      <c r="A730" s="32"/>
      <c r="B730" s="30"/>
      <c r="C730" s="33"/>
      <c r="D730" s="22"/>
      <c r="E730" s="31"/>
      <c r="F730" s="22"/>
      <c r="G730" s="33"/>
      <c r="H730" s="24">
        <v>30.0</v>
      </c>
      <c r="I730" s="24">
        <v>35.0</v>
      </c>
      <c r="J730" s="24">
        <v>36.0</v>
      </c>
      <c r="K730" s="24">
        <f>IF(H730=0,0,CAPITAL!$C$5/H730)
</f>
        <v>5000</v>
      </c>
      <c r="L730" s="24">
        <f>IF(I730=0,0,CAPITAL!$C$6/I730)
</f>
        <v>20000</v>
      </c>
      <c r="M730" s="24">
        <f>IF(J730=0,0,CAPITAL!$C$7/J730)
</f>
        <v>69444.44444</v>
      </c>
      <c r="N730" s="24">
        <f t="shared" si="1"/>
        <v>94444.44444</v>
      </c>
      <c r="O730" s="24">
        <f t="shared" si="2"/>
        <v>0.05294117647</v>
      </c>
      <c r="P730" s="24">
        <f t="shared" si="3"/>
        <v>0.2117647059</v>
      </c>
      <c r="Q730" s="24">
        <f t="shared" si="4"/>
        <v>0.7352941176</v>
      </c>
    </row>
    <row r="731">
      <c r="A731" s="32"/>
      <c r="B731" s="30"/>
      <c r="C731" s="33"/>
      <c r="D731" s="22"/>
      <c r="E731" s="31"/>
      <c r="F731" s="22"/>
      <c r="G731" s="33"/>
      <c r="H731" s="24">
        <v>30.0</v>
      </c>
      <c r="I731" s="24">
        <v>35.0</v>
      </c>
      <c r="J731" s="24">
        <v>36.0</v>
      </c>
      <c r="K731" s="24">
        <f>IF(H731=0,0,CAPITAL!$C$5/H731)
</f>
        <v>5000</v>
      </c>
      <c r="L731" s="24">
        <f>IF(I731=0,0,CAPITAL!$C$6/I731)
</f>
        <v>20000</v>
      </c>
      <c r="M731" s="24">
        <f>IF(J731=0,0,CAPITAL!$C$7/J731)
</f>
        <v>69444.44444</v>
      </c>
      <c r="N731" s="24">
        <f t="shared" si="1"/>
        <v>94444.44444</v>
      </c>
      <c r="O731" s="24">
        <f t="shared" si="2"/>
        <v>0.05294117647</v>
      </c>
      <c r="P731" s="24">
        <f t="shared" si="3"/>
        <v>0.2117647059</v>
      </c>
      <c r="Q731" s="24">
        <f t="shared" si="4"/>
        <v>0.7352941176</v>
      </c>
    </row>
    <row r="732">
      <c r="A732" s="32"/>
      <c r="B732" s="30"/>
      <c r="C732" s="33"/>
      <c r="D732" s="22"/>
      <c r="E732" s="31"/>
      <c r="F732" s="22"/>
      <c r="G732" s="33"/>
      <c r="H732" s="24">
        <v>30.0</v>
      </c>
      <c r="I732" s="24">
        <v>35.0</v>
      </c>
      <c r="J732" s="24">
        <v>36.0</v>
      </c>
      <c r="K732" s="24">
        <f>IF(H732=0,0,CAPITAL!$C$5/H732)
</f>
        <v>5000</v>
      </c>
      <c r="L732" s="24">
        <f>IF(I732=0,0,CAPITAL!$C$6/I732)
</f>
        <v>20000</v>
      </c>
      <c r="M732" s="24">
        <f>IF(J732=0,0,CAPITAL!$C$7/J732)
</f>
        <v>69444.44444</v>
      </c>
      <c r="N732" s="24">
        <f t="shared" si="1"/>
        <v>94444.44444</v>
      </c>
      <c r="O732" s="24">
        <f t="shared" si="2"/>
        <v>0.05294117647</v>
      </c>
      <c r="P732" s="24">
        <f t="shared" si="3"/>
        <v>0.2117647059</v>
      </c>
      <c r="Q732" s="24">
        <f t="shared" si="4"/>
        <v>0.7352941176</v>
      </c>
    </row>
    <row r="733">
      <c r="A733" s="32"/>
      <c r="B733" s="30"/>
      <c r="C733" s="33"/>
      <c r="D733" s="22"/>
      <c r="E733" s="31"/>
      <c r="F733" s="22"/>
      <c r="G733" s="33"/>
      <c r="H733" s="24">
        <v>30.0</v>
      </c>
      <c r="I733" s="24">
        <v>35.0</v>
      </c>
      <c r="J733" s="24">
        <v>36.0</v>
      </c>
      <c r="K733" s="24">
        <f>IF(H733=0,0,CAPITAL!$C$5/H733)
</f>
        <v>5000</v>
      </c>
      <c r="L733" s="24">
        <f>IF(I733=0,0,CAPITAL!$C$6/I733)
</f>
        <v>20000</v>
      </c>
      <c r="M733" s="24">
        <f>IF(J733=0,0,CAPITAL!$C$7/J733)
</f>
        <v>69444.44444</v>
      </c>
      <c r="N733" s="24">
        <f t="shared" si="1"/>
        <v>94444.44444</v>
      </c>
      <c r="O733" s="24">
        <f t="shared" si="2"/>
        <v>0.05294117647</v>
      </c>
      <c r="P733" s="24">
        <f t="shared" si="3"/>
        <v>0.2117647059</v>
      </c>
      <c r="Q733" s="24">
        <f t="shared" si="4"/>
        <v>0.7352941176</v>
      </c>
    </row>
    <row r="734">
      <c r="A734" s="32"/>
      <c r="B734" s="30"/>
      <c r="C734" s="33"/>
      <c r="D734" s="22"/>
      <c r="E734" s="31"/>
      <c r="F734" s="22"/>
      <c r="G734" s="33"/>
      <c r="H734" s="24">
        <v>30.0</v>
      </c>
      <c r="I734" s="24">
        <v>35.0</v>
      </c>
      <c r="J734" s="24">
        <v>36.0</v>
      </c>
      <c r="K734" s="24">
        <f>IF(H734=0,0,CAPITAL!$C$5/H734)
</f>
        <v>5000</v>
      </c>
      <c r="L734" s="24">
        <f>IF(I734=0,0,CAPITAL!$C$6/I734)
</f>
        <v>20000</v>
      </c>
      <c r="M734" s="24">
        <f>IF(J734=0,0,CAPITAL!$C$7/J734)
</f>
        <v>69444.44444</v>
      </c>
      <c r="N734" s="24">
        <f t="shared" si="1"/>
        <v>94444.44444</v>
      </c>
      <c r="O734" s="24">
        <f t="shared" si="2"/>
        <v>0.05294117647</v>
      </c>
      <c r="P734" s="24">
        <f t="shared" si="3"/>
        <v>0.2117647059</v>
      </c>
      <c r="Q734" s="24">
        <f t="shared" si="4"/>
        <v>0.7352941176</v>
      </c>
    </row>
    <row r="735">
      <c r="A735" s="32"/>
      <c r="B735" s="30"/>
      <c r="C735" s="33"/>
      <c r="D735" s="22"/>
      <c r="E735" s="31"/>
      <c r="F735" s="22"/>
      <c r="G735" s="33"/>
      <c r="H735" s="24">
        <v>30.0</v>
      </c>
      <c r="I735" s="24">
        <v>35.0</v>
      </c>
      <c r="J735" s="24">
        <v>36.0</v>
      </c>
      <c r="K735" s="24">
        <f>IF(H735=0,0,CAPITAL!$C$5/H735)
</f>
        <v>5000</v>
      </c>
      <c r="L735" s="24">
        <f>IF(I735=0,0,CAPITAL!$C$6/I735)
</f>
        <v>20000</v>
      </c>
      <c r="M735" s="24">
        <f>IF(J735=0,0,CAPITAL!$C$7/J735)
</f>
        <v>69444.44444</v>
      </c>
      <c r="N735" s="24">
        <f t="shared" si="1"/>
        <v>94444.44444</v>
      </c>
      <c r="O735" s="24">
        <f t="shared" si="2"/>
        <v>0.05294117647</v>
      </c>
      <c r="P735" s="24">
        <f t="shared" si="3"/>
        <v>0.2117647059</v>
      </c>
      <c r="Q735" s="24">
        <f t="shared" si="4"/>
        <v>0.7352941176</v>
      </c>
    </row>
    <row r="736">
      <c r="A736" s="32"/>
      <c r="B736" s="30"/>
      <c r="C736" s="33"/>
      <c r="D736" s="22"/>
      <c r="E736" s="31"/>
      <c r="F736" s="22"/>
      <c r="G736" s="33"/>
      <c r="H736" s="24">
        <v>30.0</v>
      </c>
      <c r="I736" s="24">
        <v>35.0</v>
      </c>
      <c r="J736" s="24">
        <v>36.0</v>
      </c>
      <c r="K736" s="24">
        <f>IF(H736=0,0,CAPITAL!$C$5/H736)
</f>
        <v>5000</v>
      </c>
      <c r="L736" s="24">
        <f>IF(I736=0,0,CAPITAL!$C$6/I736)
</f>
        <v>20000</v>
      </c>
      <c r="M736" s="24">
        <f>IF(J736=0,0,CAPITAL!$C$7/J736)
</f>
        <v>69444.44444</v>
      </c>
      <c r="N736" s="24">
        <f t="shared" si="1"/>
        <v>94444.44444</v>
      </c>
      <c r="O736" s="24">
        <f t="shared" si="2"/>
        <v>0.05294117647</v>
      </c>
      <c r="P736" s="24">
        <f t="shared" si="3"/>
        <v>0.2117647059</v>
      </c>
      <c r="Q736" s="24">
        <f t="shared" si="4"/>
        <v>0.7352941176</v>
      </c>
    </row>
    <row r="737">
      <c r="A737" s="32"/>
      <c r="B737" s="30"/>
      <c r="C737" s="33"/>
      <c r="D737" s="22"/>
      <c r="E737" s="31"/>
      <c r="F737" s="22"/>
      <c r="G737" s="33"/>
      <c r="H737" s="24">
        <v>30.0</v>
      </c>
      <c r="I737" s="24">
        <v>35.0</v>
      </c>
      <c r="J737" s="24">
        <v>36.0</v>
      </c>
      <c r="K737" s="24">
        <f>IF(H737=0,0,CAPITAL!$C$5/H737)
</f>
        <v>5000</v>
      </c>
      <c r="L737" s="24">
        <f>IF(I737=0,0,CAPITAL!$C$6/I737)
</f>
        <v>20000</v>
      </c>
      <c r="M737" s="24">
        <f>IF(J737=0,0,CAPITAL!$C$7/J737)
</f>
        <v>69444.44444</v>
      </c>
      <c r="N737" s="24">
        <f t="shared" si="1"/>
        <v>94444.44444</v>
      </c>
      <c r="O737" s="24">
        <f t="shared" si="2"/>
        <v>0.05294117647</v>
      </c>
      <c r="P737" s="24">
        <f t="shared" si="3"/>
        <v>0.2117647059</v>
      </c>
      <c r="Q737" s="24">
        <f t="shared" si="4"/>
        <v>0.7352941176</v>
      </c>
    </row>
    <row r="738">
      <c r="A738" s="32"/>
      <c r="B738" s="30"/>
      <c r="C738" s="33"/>
      <c r="D738" s="22"/>
      <c r="E738" s="31"/>
      <c r="F738" s="22"/>
      <c r="G738" s="33"/>
      <c r="H738" s="24">
        <v>30.0</v>
      </c>
      <c r="I738" s="24">
        <v>35.0</v>
      </c>
      <c r="J738" s="24">
        <v>36.0</v>
      </c>
      <c r="K738" s="24">
        <f>IF(H738=0,0,CAPITAL!$C$5/H738)
</f>
        <v>5000</v>
      </c>
      <c r="L738" s="24">
        <f>IF(I738=0,0,CAPITAL!$C$6/I738)
</f>
        <v>20000</v>
      </c>
      <c r="M738" s="24">
        <f>IF(J738=0,0,CAPITAL!$C$7/J738)
</f>
        <v>69444.44444</v>
      </c>
      <c r="N738" s="24">
        <f t="shared" si="1"/>
        <v>94444.44444</v>
      </c>
      <c r="O738" s="24">
        <f t="shared" si="2"/>
        <v>0.05294117647</v>
      </c>
      <c r="P738" s="24">
        <f t="shared" si="3"/>
        <v>0.2117647059</v>
      </c>
      <c r="Q738" s="24">
        <f t="shared" si="4"/>
        <v>0.7352941176</v>
      </c>
    </row>
    <row r="739">
      <c r="A739" s="32"/>
      <c r="B739" s="30"/>
      <c r="C739" s="33"/>
      <c r="D739" s="22"/>
      <c r="E739" s="31"/>
      <c r="F739" s="22"/>
      <c r="G739" s="33"/>
      <c r="H739" s="24">
        <v>30.0</v>
      </c>
      <c r="I739" s="24">
        <v>35.0</v>
      </c>
      <c r="J739" s="24">
        <v>36.0</v>
      </c>
      <c r="K739" s="24">
        <f>IF(H739=0,0,CAPITAL!$C$5/H739)
</f>
        <v>5000</v>
      </c>
      <c r="L739" s="24">
        <f>IF(I739=0,0,CAPITAL!$C$6/I739)
</f>
        <v>20000</v>
      </c>
      <c r="M739" s="24">
        <f>IF(J739=0,0,CAPITAL!$C$7/J739)
</f>
        <v>69444.44444</v>
      </c>
      <c r="N739" s="24">
        <f t="shared" si="1"/>
        <v>94444.44444</v>
      </c>
      <c r="O739" s="24">
        <f t="shared" si="2"/>
        <v>0.05294117647</v>
      </c>
      <c r="P739" s="24">
        <f t="shared" si="3"/>
        <v>0.2117647059</v>
      </c>
      <c r="Q739" s="24">
        <f t="shared" si="4"/>
        <v>0.7352941176</v>
      </c>
    </row>
    <row r="740">
      <c r="A740" s="32"/>
      <c r="B740" s="30"/>
      <c r="C740" s="33"/>
      <c r="D740" s="22"/>
      <c r="E740" s="31"/>
      <c r="F740" s="22"/>
      <c r="G740" s="33"/>
      <c r="H740" s="24">
        <v>30.0</v>
      </c>
      <c r="I740" s="24">
        <v>35.0</v>
      </c>
      <c r="J740" s="24">
        <v>36.0</v>
      </c>
      <c r="K740" s="24">
        <f>IF(H740=0,0,CAPITAL!$C$5/H740)
</f>
        <v>5000</v>
      </c>
      <c r="L740" s="24">
        <f>IF(I740=0,0,CAPITAL!$C$6/I740)
</f>
        <v>20000</v>
      </c>
      <c r="M740" s="24">
        <f>IF(J740=0,0,CAPITAL!$C$7/J740)
</f>
        <v>69444.44444</v>
      </c>
      <c r="N740" s="24">
        <f t="shared" si="1"/>
        <v>94444.44444</v>
      </c>
      <c r="O740" s="24">
        <f t="shared" si="2"/>
        <v>0.05294117647</v>
      </c>
      <c r="P740" s="24">
        <f t="shared" si="3"/>
        <v>0.2117647059</v>
      </c>
      <c r="Q740" s="24">
        <f t="shared" si="4"/>
        <v>0.7352941176</v>
      </c>
    </row>
    <row r="741">
      <c r="A741" s="32"/>
      <c r="B741" s="30"/>
      <c r="C741" s="33"/>
      <c r="D741" s="22"/>
      <c r="E741" s="31"/>
      <c r="F741" s="22"/>
      <c r="G741" s="33"/>
      <c r="H741" s="24">
        <v>30.0</v>
      </c>
      <c r="I741" s="24">
        <v>35.0</v>
      </c>
      <c r="J741" s="24">
        <v>36.0</v>
      </c>
      <c r="K741" s="24">
        <f>IF(H741=0,0,CAPITAL!$C$5/H741)
</f>
        <v>5000</v>
      </c>
      <c r="L741" s="24">
        <f>IF(I741=0,0,CAPITAL!$C$6/I741)
</f>
        <v>20000</v>
      </c>
      <c r="M741" s="24">
        <f>IF(J741=0,0,CAPITAL!$C$7/J741)
</f>
        <v>69444.44444</v>
      </c>
      <c r="N741" s="24">
        <f t="shared" si="1"/>
        <v>94444.44444</v>
      </c>
      <c r="O741" s="24">
        <f t="shared" si="2"/>
        <v>0.05294117647</v>
      </c>
      <c r="P741" s="24">
        <f t="shared" si="3"/>
        <v>0.2117647059</v>
      </c>
      <c r="Q741" s="24">
        <f t="shared" si="4"/>
        <v>0.7352941176</v>
      </c>
    </row>
    <row r="742">
      <c r="A742" s="32"/>
      <c r="B742" s="30"/>
      <c r="C742" s="33"/>
      <c r="D742" s="22"/>
      <c r="E742" s="31"/>
      <c r="F742" s="22"/>
      <c r="G742" s="33"/>
      <c r="H742" s="24">
        <v>30.0</v>
      </c>
      <c r="I742" s="24">
        <v>35.0</v>
      </c>
      <c r="J742" s="24">
        <v>36.0</v>
      </c>
      <c r="K742" s="24">
        <f>IF(H742=0,0,CAPITAL!$C$5/H742)
</f>
        <v>5000</v>
      </c>
      <c r="L742" s="24">
        <f>IF(I742=0,0,CAPITAL!$C$6/I742)
</f>
        <v>20000</v>
      </c>
      <c r="M742" s="24">
        <f>IF(J742=0,0,CAPITAL!$C$7/J742)
</f>
        <v>69444.44444</v>
      </c>
      <c r="N742" s="24">
        <f t="shared" si="1"/>
        <v>94444.44444</v>
      </c>
      <c r="O742" s="24">
        <f t="shared" si="2"/>
        <v>0.05294117647</v>
      </c>
      <c r="P742" s="24">
        <f t="shared" si="3"/>
        <v>0.2117647059</v>
      </c>
      <c r="Q742" s="24">
        <f t="shared" si="4"/>
        <v>0.7352941176</v>
      </c>
    </row>
    <row r="743">
      <c r="A743" s="32"/>
      <c r="B743" s="30"/>
      <c r="C743" s="33"/>
      <c r="D743" s="22"/>
      <c r="E743" s="31"/>
      <c r="F743" s="22"/>
      <c r="G743" s="33"/>
      <c r="H743" s="24">
        <v>30.0</v>
      </c>
      <c r="I743" s="24">
        <v>35.0</v>
      </c>
      <c r="J743" s="24">
        <v>36.0</v>
      </c>
      <c r="K743" s="24">
        <f>IF(H743=0,0,CAPITAL!$C$5/H743)
</f>
        <v>5000</v>
      </c>
      <c r="L743" s="24">
        <f>IF(I743=0,0,CAPITAL!$C$6/I743)
</f>
        <v>20000</v>
      </c>
      <c r="M743" s="24">
        <f>IF(J743=0,0,CAPITAL!$C$7/J743)
</f>
        <v>69444.44444</v>
      </c>
      <c r="N743" s="24">
        <f t="shared" si="1"/>
        <v>94444.44444</v>
      </c>
      <c r="O743" s="24">
        <f t="shared" si="2"/>
        <v>0.05294117647</v>
      </c>
      <c r="P743" s="24">
        <f t="shared" si="3"/>
        <v>0.2117647059</v>
      </c>
      <c r="Q743" s="24">
        <f t="shared" si="4"/>
        <v>0.7352941176</v>
      </c>
    </row>
    <row r="744">
      <c r="A744" s="32"/>
      <c r="B744" s="30"/>
      <c r="C744" s="33"/>
      <c r="D744" s="22"/>
      <c r="E744" s="31"/>
      <c r="F744" s="22"/>
      <c r="G744" s="33"/>
      <c r="H744" s="24">
        <v>30.0</v>
      </c>
      <c r="I744" s="24">
        <v>35.0</v>
      </c>
      <c r="J744" s="24">
        <v>36.0</v>
      </c>
      <c r="K744" s="24">
        <f>IF(H744=0,0,CAPITAL!$C$5/H744)
</f>
        <v>5000</v>
      </c>
      <c r="L744" s="24">
        <f>IF(I744=0,0,CAPITAL!$C$6/I744)
</f>
        <v>20000</v>
      </c>
      <c r="M744" s="24">
        <f>IF(J744=0,0,CAPITAL!$C$7/J744)
</f>
        <v>69444.44444</v>
      </c>
      <c r="N744" s="24">
        <f t="shared" si="1"/>
        <v>94444.44444</v>
      </c>
      <c r="O744" s="24">
        <f t="shared" si="2"/>
        <v>0.05294117647</v>
      </c>
      <c r="P744" s="24">
        <f t="shared" si="3"/>
        <v>0.2117647059</v>
      </c>
      <c r="Q744" s="24">
        <f t="shared" si="4"/>
        <v>0.7352941176</v>
      </c>
    </row>
    <row r="745">
      <c r="A745" s="32"/>
      <c r="B745" s="30"/>
      <c r="C745" s="33"/>
      <c r="D745" s="22"/>
      <c r="E745" s="31"/>
      <c r="F745" s="22"/>
      <c r="G745" s="33"/>
      <c r="H745" s="24">
        <v>30.0</v>
      </c>
      <c r="I745" s="24">
        <v>35.0</v>
      </c>
      <c r="J745" s="24">
        <v>36.0</v>
      </c>
      <c r="K745" s="24">
        <f>IF(H745=0,0,CAPITAL!$C$5/H745)
</f>
        <v>5000</v>
      </c>
      <c r="L745" s="24">
        <f>IF(I745=0,0,CAPITAL!$C$6/I745)
</f>
        <v>20000</v>
      </c>
      <c r="M745" s="24">
        <f>IF(J745=0,0,CAPITAL!$C$7/J745)
</f>
        <v>69444.44444</v>
      </c>
      <c r="N745" s="24">
        <f t="shared" si="1"/>
        <v>94444.44444</v>
      </c>
      <c r="O745" s="24">
        <f t="shared" si="2"/>
        <v>0.05294117647</v>
      </c>
      <c r="P745" s="24">
        <f t="shared" si="3"/>
        <v>0.2117647059</v>
      </c>
      <c r="Q745" s="24">
        <f t="shared" si="4"/>
        <v>0.7352941176</v>
      </c>
    </row>
    <row r="746">
      <c r="A746" s="32"/>
      <c r="B746" s="30"/>
      <c r="C746" s="33"/>
      <c r="D746" s="22"/>
      <c r="E746" s="31"/>
      <c r="F746" s="22"/>
      <c r="G746" s="33"/>
      <c r="H746" s="24">
        <v>30.0</v>
      </c>
      <c r="I746" s="24">
        <v>35.0</v>
      </c>
      <c r="J746" s="24">
        <v>36.0</v>
      </c>
      <c r="K746" s="24">
        <f>IF(H746=0,0,CAPITAL!$C$5/H746)
</f>
        <v>5000</v>
      </c>
      <c r="L746" s="24">
        <f>IF(I746=0,0,CAPITAL!$C$6/I746)
</f>
        <v>20000</v>
      </c>
      <c r="M746" s="24">
        <f>IF(J746=0,0,CAPITAL!$C$7/J746)
</f>
        <v>69444.44444</v>
      </c>
      <c r="N746" s="24">
        <f t="shared" si="1"/>
        <v>94444.44444</v>
      </c>
      <c r="O746" s="24">
        <f t="shared" si="2"/>
        <v>0.05294117647</v>
      </c>
      <c r="P746" s="24">
        <f t="shared" si="3"/>
        <v>0.2117647059</v>
      </c>
      <c r="Q746" s="24">
        <f t="shared" si="4"/>
        <v>0.7352941176</v>
      </c>
    </row>
    <row r="747">
      <c r="A747" s="32"/>
      <c r="B747" s="30"/>
      <c r="C747" s="33"/>
      <c r="D747" s="22"/>
      <c r="E747" s="31"/>
      <c r="F747" s="22"/>
      <c r="G747" s="33"/>
      <c r="H747" s="24">
        <v>30.0</v>
      </c>
      <c r="I747" s="24">
        <v>35.0</v>
      </c>
      <c r="J747" s="24">
        <v>36.0</v>
      </c>
      <c r="K747" s="24">
        <f>IF(H747=0,0,CAPITAL!$C$5/H747)
</f>
        <v>5000</v>
      </c>
      <c r="L747" s="24">
        <f>IF(I747=0,0,CAPITAL!$C$6/I747)
</f>
        <v>20000</v>
      </c>
      <c r="M747" s="24">
        <f>IF(J747=0,0,CAPITAL!$C$7/J747)
</f>
        <v>69444.44444</v>
      </c>
      <c r="N747" s="24">
        <f t="shared" si="1"/>
        <v>94444.44444</v>
      </c>
      <c r="O747" s="24">
        <f t="shared" si="2"/>
        <v>0.05294117647</v>
      </c>
      <c r="P747" s="24">
        <f t="shared" si="3"/>
        <v>0.2117647059</v>
      </c>
      <c r="Q747" s="24">
        <f t="shared" si="4"/>
        <v>0.7352941176</v>
      </c>
    </row>
    <row r="748">
      <c r="A748" s="32"/>
      <c r="B748" s="30"/>
      <c r="C748" s="33"/>
      <c r="D748" s="22"/>
      <c r="E748" s="31"/>
      <c r="F748" s="22"/>
      <c r="G748" s="33"/>
      <c r="H748" s="24">
        <v>30.0</v>
      </c>
      <c r="I748" s="24">
        <v>35.0</v>
      </c>
      <c r="J748" s="24">
        <v>36.0</v>
      </c>
      <c r="K748" s="24">
        <f>IF(H748=0,0,CAPITAL!$C$5/H748)
</f>
        <v>5000</v>
      </c>
      <c r="L748" s="24">
        <f>IF(I748=0,0,CAPITAL!$C$6/I748)
</f>
        <v>20000</v>
      </c>
      <c r="M748" s="24">
        <f>IF(J748=0,0,CAPITAL!$C$7/J748)
</f>
        <v>69444.44444</v>
      </c>
      <c r="N748" s="24">
        <f t="shared" si="1"/>
        <v>94444.44444</v>
      </c>
      <c r="O748" s="24">
        <f t="shared" si="2"/>
        <v>0.05294117647</v>
      </c>
      <c r="P748" s="24">
        <f t="shared" si="3"/>
        <v>0.2117647059</v>
      </c>
      <c r="Q748" s="24">
        <f t="shared" si="4"/>
        <v>0.7352941176</v>
      </c>
    </row>
    <row r="749">
      <c r="A749" s="32"/>
      <c r="B749" s="30"/>
      <c r="C749" s="33"/>
      <c r="D749" s="22"/>
      <c r="E749" s="31"/>
      <c r="F749" s="22"/>
      <c r="G749" s="33"/>
      <c r="H749" s="24">
        <v>30.0</v>
      </c>
      <c r="I749" s="24">
        <v>35.0</v>
      </c>
      <c r="J749" s="24">
        <v>36.0</v>
      </c>
      <c r="K749" s="24">
        <f>IF(H749=0,0,CAPITAL!$C$5/H749)
</f>
        <v>5000</v>
      </c>
      <c r="L749" s="24">
        <f>IF(I749=0,0,CAPITAL!$C$6/I749)
</f>
        <v>20000</v>
      </c>
      <c r="M749" s="24">
        <f>IF(J749=0,0,CAPITAL!$C$7/J749)
</f>
        <v>69444.44444</v>
      </c>
      <c r="N749" s="24">
        <f t="shared" si="1"/>
        <v>94444.44444</v>
      </c>
      <c r="O749" s="24">
        <f t="shared" si="2"/>
        <v>0.05294117647</v>
      </c>
      <c r="P749" s="24">
        <f t="shared" si="3"/>
        <v>0.2117647059</v>
      </c>
      <c r="Q749" s="24">
        <f t="shared" si="4"/>
        <v>0.7352941176</v>
      </c>
    </row>
    <row r="750">
      <c r="A750" s="32"/>
      <c r="B750" s="30"/>
      <c r="C750" s="33"/>
      <c r="D750" s="22"/>
      <c r="E750" s="31"/>
      <c r="F750" s="22"/>
      <c r="G750" s="33"/>
      <c r="H750" s="24">
        <v>30.0</v>
      </c>
      <c r="I750" s="24">
        <v>35.0</v>
      </c>
      <c r="J750" s="24">
        <v>36.0</v>
      </c>
      <c r="K750" s="24">
        <f>IF(H750=0,0,CAPITAL!$C$5/H750)
</f>
        <v>5000</v>
      </c>
      <c r="L750" s="24">
        <f>IF(I750=0,0,CAPITAL!$C$6/I750)
</f>
        <v>20000</v>
      </c>
      <c r="M750" s="24">
        <f>IF(J750=0,0,CAPITAL!$C$7/J750)
</f>
        <v>69444.44444</v>
      </c>
      <c r="N750" s="24">
        <f t="shared" si="1"/>
        <v>94444.44444</v>
      </c>
      <c r="O750" s="24">
        <f t="shared" si="2"/>
        <v>0.05294117647</v>
      </c>
      <c r="P750" s="24">
        <f t="shared" si="3"/>
        <v>0.2117647059</v>
      </c>
      <c r="Q750" s="24">
        <f t="shared" si="4"/>
        <v>0.7352941176</v>
      </c>
    </row>
    <row r="751">
      <c r="A751" s="32"/>
      <c r="B751" s="30"/>
      <c r="C751" s="33"/>
      <c r="D751" s="22"/>
      <c r="E751" s="31"/>
      <c r="F751" s="22"/>
      <c r="G751" s="33"/>
      <c r="H751" s="24">
        <v>30.0</v>
      </c>
      <c r="I751" s="24">
        <v>35.0</v>
      </c>
      <c r="J751" s="24">
        <v>36.0</v>
      </c>
      <c r="K751" s="24">
        <f>IF(H751=0,0,CAPITAL!$C$5/H751)
</f>
        <v>5000</v>
      </c>
      <c r="L751" s="24">
        <f>IF(I751=0,0,CAPITAL!$C$6/I751)
</f>
        <v>20000</v>
      </c>
      <c r="M751" s="24">
        <f>IF(J751=0,0,CAPITAL!$C$7/J751)
</f>
        <v>69444.44444</v>
      </c>
      <c r="N751" s="24">
        <f t="shared" si="1"/>
        <v>94444.44444</v>
      </c>
      <c r="O751" s="24">
        <f t="shared" si="2"/>
        <v>0.05294117647</v>
      </c>
      <c r="P751" s="24">
        <f t="shared" si="3"/>
        <v>0.2117647059</v>
      </c>
      <c r="Q751" s="24">
        <f t="shared" si="4"/>
        <v>0.7352941176</v>
      </c>
    </row>
    <row r="752">
      <c r="A752" s="32"/>
      <c r="B752" s="30"/>
      <c r="C752" s="33"/>
      <c r="D752" s="22"/>
      <c r="E752" s="31"/>
      <c r="F752" s="22"/>
      <c r="G752" s="33"/>
      <c r="H752" s="24">
        <v>30.0</v>
      </c>
      <c r="I752" s="24">
        <v>35.0</v>
      </c>
      <c r="J752" s="24">
        <v>36.0</v>
      </c>
      <c r="K752" s="24">
        <f>IF(H752=0,0,CAPITAL!$C$5/H752)
</f>
        <v>5000</v>
      </c>
      <c r="L752" s="24">
        <f>IF(I752=0,0,CAPITAL!$C$6/I752)
</f>
        <v>20000</v>
      </c>
      <c r="M752" s="24">
        <f>IF(J752=0,0,CAPITAL!$C$7/J752)
</f>
        <v>69444.44444</v>
      </c>
      <c r="N752" s="24">
        <f t="shared" si="1"/>
        <v>94444.44444</v>
      </c>
      <c r="O752" s="24">
        <f t="shared" si="2"/>
        <v>0.05294117647</v>
      </c>
      <c r="P752" s="24">
        <f t="shared" si="3"/>
        <v>0.2117647059</v>
      </c>
      <c r="Q752" s="24">
        <f t="shared" si="4"/>
        <v>0.7352941176</v>
      </c>
    </row>
    <row r="753">
      <c r="A753" s="32"/>
      <c r="B753" s="30"/>
      <c r="C753" s="33"/>
      <c r="D753" s="22"/>
      <c r="E753" s="31"/>
      <c r="F753" s="22"/>
      <c r="G753" s="33"/>
      <c r="H753" s="24">
        <v>30.0</v>
      </c>
      <c r="I753" s="24">
        <v>35.0</v>
      </c>
      <c r="J753" s="24">
        <v>36.0</v>
      </c>
      <c r="K753" s="24">
        <f>IF(H753=0,0,CAPITAL!$C$5/H753)
</f>
        <v>5000</v>
      </c>
      <c r="L753" s="24">
        <f>IF(I753=0,0,CAPITAL!$C$6/I753)
</f>
        <v>20000</v>
      </c>
      <c r="M753" s="24">
        <f>IF(J753=0,0,CAPITAL!$C$7/J753)
</f>
        <v>69444.44444</v>
      </c>
      <c r="N753" s="24">
        <f t="shared" si="1"/>
        <v>94444.44444</v>
      </c>
      <c r="O753" s="24">
        <f t="shared" si="2"/>
        <v>0.05294117647</v>
      </c>
      <c r="P753" s="24">
        <f t="shared" si="3"/>
        <v>0.2117647059</v>
      </c>
      <c r="Q753" s="24">
        <f t="shared" si="4"/>
        <v>0.7352941176</v>
      </c>
    </row>
    <row r="754">
      <c r="A754" s="32"/>
      <c r="B754" s="30"/>
      <c r="C754" s="33"/>
      <c r="D754" s="22"/>
      <c r="E754" s="31"/>
      <c r="F754" s="22"/>
      <c r="G754" s="33"/>
      <c r="H754" s="24">
        <v>30.0</v>
      </c>
      <c r="I754" s="24">
        <v>35.0</v>
      </c>
      <c r="J754" s="24">
        <v>36.0</v>
      </c>
      <c r="K754" s="24">
        <f>IF(H754=0,0,CAPITAL!$C$5/H754)
</f>
        <v>5000</v>
      </c>
      <c r="L754" s="24">
        <f>IF(I754=0,0,CAPITAL!$C$6/I754)
</f>
        <v>20000</v>
      </c>
      <c r="M754" s="24">
        <f>IF(J754=0,0,CAPITAL!$C$7/J754)
</f>
        <v>69444.44444</v>
      </c>
      <c r="N754" s="24">
        <f t="shared" si="1"/>
        <v>94444.44444</v>
      </c>
      <c r="O754" s="24">
        <f t="shared" si="2"/>
        <v>0.05294117647</v>
      </c>
      <c r="P754" s="24">
        <f t="shared" si="3"/>
        <v>0.2117647059</v>
      </c>
      <c r="Q754" s="24">
        <f t="shared" si="4"/>
        <v>0.7352941176</v>
      </c>
    </row>
    <row r="755">
      <c r="A755" s="32"/>
      <c r="B755" s="30"/>
      <c r="C755" s="33"/>
      <c r="D755" s="22"/>
      <c r="E755" s="31"/>
      <c r="F755" s="22"/>
      <c r="G755" s="33"/>
      <c r="H755" s="24">
        <v>30.0</v>
      </c>
      <c r="I755" s="24">
        <v>35.0</v>
      </c>
      <c r="J755" s="24">
        <v>36.0</v>
      </c>
      <c r="K755" s="24">
        <f>IF(H755=0,0,CAPITAL!$C$5/H755)
</f>
        <v>5000</v>
      </c>
      <c r="L755" s="24">
        <f>IF(I755=0,0,CAPITAL!$C$6/I755)
</f>
        <v>20000</v>
      </c>
      <c r="M755" s="24">
        <f>IF(J755=0,0,CAPITAL!$C$7/J755)
</f>
        <v>69444.44444</v>
      </c>
      <c r="N755" s="24">
        <f t="shared" si="1"/>
        <v>94444.44444</v>
      </c>
      <c r="O755" s="24">
        <f t="shared" si="2"/>
        <v>0.05294117647</v>
      </c>
      <c r="P755" s="24">
        <f t="shared" si="3"/>
        <v>0.2117647059</v>
      </c>
      <c r="Q755" s="24">
        <f t="shared" si="4"/>
        <v>0.7352941176</v>
      </c>
    </row>
    <row r="756">
      <c r="A756" s="32"/>
      <c r="B756" s="30"/>
      <c r="C756" s="33"/>
      <c r="D756" s="22"/>
      <c r="E756" s="31"/>
      <c r="F756" s="22"/>
      <c r="G756" s="33"/>
      <c r="H756" s="24">
        <v>30.0</v>
      </c>
      <c r="I756" s="24">
        <v>35.0</v>
      </c>
      <c r="J756" s="24">
        <v>36.0</v>
      </c>
      <c r="K756" s="24">
        <f>IF(H756=0,0,CAPITAL!$C$5/H756)
</f>
        <v>5000</v>
      </c>
      <c r="L756" s="24">
        <f>IF(I756=0,0,CAPITAL!$C$6/I756)
</f>
        <v>20000</v>
      </c>
      <c r="M756" s="24">
        <f>IF(J756=0,0,CAPITAL!$C$7/J756)
</f>
        <v>69444.44444</v>
      </c>
      <c r="N756" s="24">
        <f t="shared" si="1"/>
        <v>94444.44444</v>
      </c>
      <c r="O756" s="24">
        <f t="shared" si="2"/>
        <v>0.05294117647</v>
      </c>
      <c r="P756" s="24">
        <f t="shared" si="3"/>
        <v>0.2117647059</v>
      </c>
      <c r="Q756" s="24">
        <f t="shared" si="4"/>
        <v>0.7352941176</v>
      </c>
    </row>
    <row r="757">
      <c r="A757" s="32"/>
      <c r="B757" s="30"/>
      <c r="C757" s="33"/>
      <c r="D757" s="22"/>
      <c r="E757" s="31"/>
      <c r="F757" s="22"/>
      <c r="G757" s="33"/>
      <c r="H757" s="24">
        <v>30.0</v>
      </c>
      <c r="I757" s="24">
        <v>35.0</v>
      </c>
      <c r="J757" s="24">
        <v>36.0</v>
      </c>
      <c r="K757" s="24">
        <f>IF(H757=0,0,CAPITAL!$C$5/H757)
</f>
        <v>5000</v>
      </c>
      <c r="L757" s="24">
        <f>IF(I757=0,0,CAPITAL!$C$6/I757)
</f>
        <v>20000</v>
      </c>
      <c r="M757" s="24">
        <f>IF(J757=0,0,CAPITAL!$C$7/J757)
</f>
        <v>69444.44444</v>
      </c>
      <c r="N757" s="24">
        <f t="shared" si="1"/>
        <v>94444.44444</v>
      </c>
      <c r="O757" s="24">
        <f t="shared" si="2"/>
        <v>0.05294117647</v>
      </c>
      <c r="P757" s="24">
        <f t="shared" si="3"/>
        <v>0.2117647059</v>
      </c>
      <c r="Q757" s="24">
        <f t="shared" si="4"/>
        <v>0.7352941176</v>
      </c>
    </row>
    <row r="758">
      <c r="A758" s="32"/>
      <c r="B758" s="30"/>
      <c r="C758" s="33"/>
      <c r="D758" s="22"/>
      <c r="E758" s="31"/>
      <c r="F758" s="22"/>
      <c r="G758" s="33"/>
      <c r="H758" s="24">
        <v>30.0</v>
      </c>
      <c r="I758" s="24">
        <v>35.0</v>
      </c>
      <c r="J758" s="24">
        <v>36.0</v>
      </c>
      <c r="K758" s="24">
        <f>IF(H758=0,0,CAPITAL!$C$5/H758)
</f>
        <v>5000</v>
      </c>
      <c r="L758" s="24">
        <f>IF(I758=0,0,CAPITAL!$C$6/I758)
</f>
        <v>20000</v>
      </c>
      <c r="M758" s="24">
        <f>IF(J758=0,0,CAPITAL!$C$7/J758)
</f>
        <v>69444.44444</v>
      </c>
      <c r="N758" s="24">
        <f t="shared" si="1"/>
        <v>94444.44444</v>
      </c>
      <c r="O758" s="24">
        <f t="shared" si="2"/>
        <v>0.05294117647</v>
      </c>
      <c r="P758" s="24">
        <f t="shared" si="3"/>
        <v>0.2117647059</v>
      </c>
      <c r="Q758" s="24">
        <f t="shared" si="4"/>
        <v>0.7352941176</v>
      </c>
    </row>
    <row r="759">
      <c r="A759" s="32"/>
      <c r="B759" s="30"/>
      <c r="C759" s="33"/>
      <c r="D759" s="22"/>
      <c r="E759" s="31"/>
      <c r="F759" s="22"/>
      <c r="G759" s="33"/>
      <c r="H759" s="24">
        <v>30.0</v>
      </c>
      <c r="I759" s="24">
        <v>35.0</v>
      </c>
      <c r="J759" s="24">
        <v>36.0</v>
      </c>
      <c r="K759" s="24">
        <f>IF(H759=0,0,CAPITAL!$C$5/H759)
</f>
        <v>5000</v>
      </c>
      <c r="L759" s="24">
        <f>IF(I759=0,0,CAPITAL!$C$6/I759)
</f>
        <v>20000</v>
      </c>
      <c r="M759" s="24">
        <f>IF(J759=0,0,CAPITAL!$C$7/J759)
</f>
        <v>69444.44444</v>
      </c>
      <c r="N759" s="24">
        <f t="shared" si="1"/>
        <v>94444.44444</v>
      </c>
      <c r="O759" s="24">
        <f t="shared" si="2"/>
        <v>0.05294117647</v>
      </c>
      <c r="P759" s="24">
        <f t="shared" si="3"/>
        <v>0.2117647059</v>
      </c>
      <c r="Q759" s="24">
        <f t="shared" si="4"/>
        <v>0.7352941176</v>
      </c>
    </row>
    <row r="760">
      <c r="A760" s="32"/>
      <c r="B760" s="30"/>
      <c r="C760" s="33"/>
      <c r="D760" s="22"/>
      <c r="E760" s="31"/>
      <c r="F760" s="22"/>
      <c r="G760" s="33"/>
      <c r="H760" s="24">
        <v>30.0</v>
      </c>
      <c r="I760" s="24">
        <v>35.0</v>
      </c>
      <c r="J760" s="24">
        <v>36.0</v>
      </c>
      <c r="K760" s="24">
        <f>IF(H760=0,0,CAPITAL!$C$5/H760)
</f>
        <v>5000</v>
      </c>
      <c r="L760" s="24">
        <f>IF(I760=0,0,CAPITAL!$C$6/I760)
</f>
        <v>20000</v>
      </c>
      <c r="M760" s="24">
        <f>IF(J760=0,0,CAPITAL!$C$7/J760)
</f>
        <v>69444.44444</v>
      </c>
      <c r="N760" s="24">
        <f t="shared" si="1"/>
        <v>94444.44444</v>
      </c>
      <c r="O760" s="24">
        <f t="shared" si="2"/>
        <v>0.05294117647</v>
      </c>
      <c r="P760" s="24">
        <f t="shared" si="3"/>
        <v>0.2117647059</v>
      </c>
      <c r="Q760" s="24">
        <f t="shared" si="4"/>
        <v>0.7352941176</v>
      </c>
    </row>
    <row r="761">
      <c r="A761" s="32"/>
      <c r="B761" s="30"/>
      <c r="C761" s="33"/>
      <c r="D761" s="22"/>
      <c r="E761" s="31"/>
      <c r="F761" s="22"/>
      <c r="G761" s="33"/>
      <c r="H761" s="24">
        <v>30.0</v>
      </c>
      <c r="I761" s="24">
        <v>35.0</v>
      </c>
      <c r="J761" s="24">
        <v>36.0</v>
      </c>
      <c r="K761" s="24">
        <f>IF(H761=0,0,CAPITAL!$C$5/H761)
</f>
        <v>5000</v>
      </c>
      <c r="L761" s="24">
        <f>IF(I761=0,0,CAPITAL!$C$6/I761)
</f>
        <v>20000</v>
      </c>
      <c r="M761" s="24">
        <f>IF(J761=0,0,CAPITAL!$C$7/J761)
</f>
        <v>69444.44444</v>
      </c>
      <c r="N761" s="24">
        <f t="shared" si="1"/>
        <v>94444.44444</v>
      </c>
      <c r="O761" s="24">
        <f t="shared" si="2"/>
        <v>0.05294117647</v>
      </c>
      <c r="P761" s="24">
        <f t="shared" si="3"/>
        <v>0.2117647059</v>
      </c>
      <c r="Q761" s="24">
        <f t="shared" si="4"/>
        <v>0.7352941176</v>
      </c>
    </row>
    <row r="762">
      <c r="A762" s="32"/>
      <c r="B762" s="30"/>
      <c r="C762" s="33"/>
      <c r="D762" s="22"/>
      <c r="E762" s="31"/>
      <c r="F762" s="22"/>
      <c r="G762" s="33"/>
      <c r="H762" s="24">
        <v>30.0</v>
      </c>
      <c r="I762" s="24">
        <v>35.0</v>
      </c>
      <c r="J762" s="24">
        <v>36.0</v>
      </c>
      <c r="K762" s="24">
        <f>IF(H762=0,0,CAPITAL!$C$5/H762)
</f>
        <v>5000</v>
      </c>
      <c r="L762" s="24">
        <f>IF(I762=0,0,CAPITAL!$C$6/I762)
</f>
        <v>20000</v>
      </c>
      <c r="M762" s="24">
        <f>IF(J762=0,0,CAPITAL!$C$7/J762)
</f>
        <v>69444.44444</v>
      </c>
      <c r="N762" s="24">
        <f t="shared" si="1"/>
        <v>94444.44444</v>
      </c>
      <c r="O762" s="24">
        <f t="shared" si="2"/>
        <v>0.05294117647</v>
      </c>
      <c r="P762" s="24">
        <f t="shared" si="3"/>
        <v>0.2117647059</v>
      </c>
      <c r="Q762" s="24">
        <f t="shared" si="4"/>
        <v>0.7352941176</v>
      </c>
    </row>
    <row r="763">
      <c r="A763" s="32"/>
      <c r="B763" s="30"/>
      <c r="C763" s="33"/>
      <c r="D763" s="22"/>
      <c r="E763" s="31"/>
      <c r="F763" s="22"/>
      <c r="G763" s="33"/>
      <c r="H763" s="24">
        <v>30.0</v>
      </c>
      <c r="I763" s="24">
        <v>35.0</v>
      </c>
      <c r="J763" s="24">
        <v>36.0</v>
      </c>
      <c r="K763" s="24">
        <f>IF(H763=0,0,CAPITAL!$C$5/H763)
</f>
        <v>5000</v>
      </c>
      <c r="L763" s="24">
        <f>IF(I763=0,0,CAPITAL!$C$6/I763)
</f>
        <v>20000</v>
      </c>
      <c r="M763" s="24">
        <f>IF(J763=0,0,CAPITAL!$C$7/J763)
</f>
        <v>69444.44444</v>
      </c>
      <c r="N763" s="24">
        <f t="shared" si="1"/>
        <v>94444.44444</v>
      </c>
      <c r="O763" s="24">
        <f t="shared" si="2"/>
        <v>0.05294117647</v>
      </c>
      <c r="P763" s="24">
        <f t="shared" si="3"/>
        <v>0.2117647059</v>
      </c>
      <c r="Q763" s="24">
        <f t="shared" si="4"/>
        <v>0.7352941176</v>
      </c>
    </row>
    <row r="764">
      <c r="A764" s="32"/>
      <c r="B764" s="30"/>
      <c r="C764" s="33"/>
      <c r="D764" s="22"/>
      <c r="E764" s="31"/>
      <c r="F764" s="22"/>
      <c r="G764" s="33"/>
      <c r="H764" s="24">
        <v>30.0</v>
      </c>
      <c r="I764" s="24">
        <v>35.0</v>
      </c>
      <c r="J764" s="24">
        <v>36.0</v>
      </c>
      <c r="K764" s="24">
        <f>IF(H764=0,0,CAPITAL!$C$5/H764)
</f>
        <v>5000</v>
      </c>
      <c r="L764" s="24">
        <f>IF(I764=0,0,CAPITAL!$C$6/I764)
</f>
        <v>20000</v>
      </c>
      <c r="M764" s="24">
        <f>IF(J764=0,0,CAPITAL!$C$7/J764)
</f>
        <v>69444.44444</v>
      </c>
      <c r="N764" s="24">
        <f t="shared" si="1"/>
        <v>94444.44444</v>
      </c>
      <c r="O764" s="24">
        <f t="shared" si="2"/>
        <v>0.05294117647</v>
      </c>
      <c r="P764" s="24">
        <f t="shared" si="3"/>
        <v>0.2117647059</v>
      </c>
      <c r="Q764" s="24">
        <f t="shared" si="4"/>
        <v>0.7352941176</v>
      </c>
    </row>
    <row r="765">
      <c r="A765" s="32"/>
      <c r="B765" s="30"/>
      <c r="C765" s="33"/>
      <c r="D765" s="22"/>
      <c r="E765" s="31"/>
      <c r="F765" s="22"/>
      <c r="G765" s="33"/>
      <c r="H765" s="24">
        <v>30.0</v>
      </c>
      <c r="I765" s="24">
        <v>35.0</v>
      </c>
      <c r="J765" s="24">
        <v>36.0</v>
      </c>
      <c r="K765" s="24">
        <f>IF(H765=0,0,CAPITAL!$C$5/H765)
</f>
        <v>5000</v>
      </c>
      <c r="L765" s="24">
        <f>IF(I765=0,0,CAPITAL!$C$6/I765)
</f>
        <v>20000</v>
      </c>
      <c r="M765" s="24">
        <f>IF(J765=0,0,CAPITAL!$C$7/J765)
</f>
        <v>69444.44444</v>
      </c>
      <c r="N765" s="24">
        <f t="shared" si="1"/>
        <v>94444.44444</v>
      </c>
      <c r="O765" s="24">
        <f t="shared" si="2"/>
        <v>0.05294117647</v>
      </c>
      <c r="P765" s="24">
        <f t="shared" si="3"/>
        <v>0.2117647059</v>
      </c>
      <c r="Q765" s="24">
        <f t="shared" si="4"/>
        <v>0.7352941176</v>
      </c>
    </row>
    <row r="766">
      <c r="A766" s="32"/>
      <c r="B766" s="30"/>
      <c r="C766" s="33"/>
      <c r="D766" s="22"/>
      <c r="E766" s="31"/>
      <c r="F766" s="22"/>
      <c r="G766" s="33"/>
      <c r="H766" s="24">
        <v>30.0</v>
      </c>
      <c r="I766" s="24">
        <v>35.0</v>
      </c>
      <c r="J766" s="24">
        <v>36.0</v>
      </c>
      <c r="K766" s="24">
        <f>IF(H766=0,0,CAPITAL!$C$5/H766)
</f>
        <v>5000</v>
      </c>
      <c r="L766" s="24">
        <f>IF(I766=0,0,CAPITAL!$C$6/I766)
</f>
        <v>20000</v>
      </c>
      <c r="M766" s="24">
        <f>IF(J766=0,0,CAPITAL!$C$7/J766)
</f>
        <v>69444.44444</v>
      </c>
      <c r="N766" s="24">
        <f t="shared" si="1"/>
        <v>94444.44444</v>
      </c>
      <c r="O766" s="24">
        <f t="shared" si="2"/>
        <v>0.05294117647</v>
      </c>
      <c r="P766" s="24">
        <f t="shared" si="3"/>
        <v>0.2117647059</v>
      </c>
      <c r="Q766" s="24">
        <f t="shared" si="4"/>
        <v>0.7352941176</v>
      </c>
    </row>
    <row r="767">
      <c r="A767" s="32"/>
      <c r="B767" s="30"/>
      <c r="C767" s="33"/>
      <c r="D767" s="22"/>
      <c r="E767" s="31"/>
      <c r="F767" s="22"/>
      <c r="G767" s="33"/>
      <c r="H767" s="24">
        <v>30.0</v>
      </c>
      <c r="I767" s="24">
        <v>35.0</v>
      </c>
      <c r="J767" s="24">
        <v>36.0</v>
      </c>
      <c r="K767" s="24">
        <f>IF(H767=0,0,CAPITAL!$C$5/H767)
</f>
        <v>5000</v>
      </c>
      <c r="L767" s="24">
        <f>IF(I767=0,0,CAPITAL!$C$6/I767)
</f>
        <v>20000</v>
      </c>
      <c r="M767" s="24">
        <f>IF(J767=0,0,CAPITAL!$C$7/J767)
</f>
        <v>69444.44444</v>
      </c>
      <c r="N767" s="24">
        <f t="shared" si="1"/>
        <v>94444.44444</v>
      </c>
      <c r="O767" s="24">
        <f t="shared" si="2"/>
        <v>0.05294117647</v>
      </c>
      <c r="P767" s="24">
        <f t="shared" si="3"/>
        <v>0.2117647059</v>
      </c>
      <c r="Q767" s="24">
        <f t="shared" si="4"/>
        <v>0.7352941176</v>
      </c>
    </row>
    <row r="768">
      <c r="A768" s="32"/>
      <c r="B768" s="30"/>
      <c r="C768" s="33"/>
      <c r="D768" s="22"/>
      <c r="E768" s="31"/>
      <c r="F768" s="22"/>
      <c r="G768" s="33"/>
      <c r="H768" s="24">
        <v>30.0</v>
      </c>
      <c r="I768" s="24">
        <v>35.0</v>
      </c>
      <c r="J768" s="24">
        <v>36.0</v>
      </c>
      <c r="K768" s="24">
        <f>IF(H768=0,0,CAPITAL!$C$5/H768)
</f>
        <v>5000</v>
      </c>
      <c r="L768" s="24">
        <f>IF(I768=0,0,CAPITAL!$C$6/I768)
</f>
        <v>20000</v>
      </c>
      <c r="M768" s="24">
        <f>IF(J768=0,0,CAPITAL!$C$7/J768)
</f>
        <v>69444.44444</v>
      </c>
      <c r="N768" s="24">
        <f t="shared" si="1"/>
        <v>94444.44444</v>
      </c>
      <c r="O768" s="24">
        <f t="shared" si="2"/>
        <v>0.05294117647</v>
      </c>
      <c r="P768" s="24">
        <f t="shared" si="3"/>
        <v>0.2117647059</v>
      </c>
      <c r="Q768" s="24">
        <f t="shared" si="4"/>
        <v>0.7352941176</v>
      </c>
    </row>
    <row r="769">
      <c r="A769" s="32"/>
      <c r="B769" s="30"/>
      <c r="C769" s="33"/>
      <c r="D769" s="22"/>
      <c r="E769" s="31"/>
      <c r="F769" s="22"/>
      <c r="G769" s="33"/>
      <c r="H769" s="24">
        <v>30.0</v>
      </c>
      <c r="I769" s="24">
        <v>35.0</v>
      </c>
      <c r="J769" s="24">
        <v>36.0</v>
      </c>
      <c r="K769" s="24">
        <f>IF(H769=0,0,CAPITAL!$C$5/H769)
</f>
        <v>5000</v>
      </c>
      <c r="L769" s="24">
        <f>IF(I769=0,0,CAPITAL!$C$6/I769)
</f>
        <v>20000</v>
      </c>
      <c r="M769" s="24">
        <f>IF(J769=0,0,CAPITAL!$C$7/J769)
</f>
        <v>69444.44444</v>
      </c>
      <c r="N769" s="24">
        <f t="shared" si="1"/>
        <v>94444.44444</v>
      </c>
      <c r="O769" s="24">
        <f t="shared" si="2"/>
        <v>0.05294117647</v>
      </c>
      <c r="P769" s="24">
        <f t="shared" si="3"/>
        <v>0.2117647059</v>
      </c>
      <c r="Q769" s="24">
        <f t="shared" si="4"/>
        <v>0.7352941176</v>
      </c>
    </row>
    <row r="770">
      <c r="A770" s="32"/>
      <c r="B770" s="30"/>
      <c r="C770" s="33"/>
      <c r="D770" s="22"/>
      <c r="E770" s="31"/>
      <c r="F770" s="22"/>
      <c r="G770" s="33"/>
      <c r="H770" s="24">
        <v>30.0</v>
      </c>
      <c r="I770" s="24">
        <v>35.0</v>
      </c>
      <c r="J770" s="24">
        <v>36.0</v>
      </c>
      <c r="K770" s="24">
        <f>IF(H770=0,0,CAPITAL!$C$5/H770)
</f>
        <v>5000</v>
      </c>
      <c r="L770" s="24">
        <f>IF(I770=0,0,CAPITAL!$C$6/I770)
</f>
        <v>20000</v>
      </c>
      <c r="M770" s="24">
        <f>IF(J770=0,0,CAPITAL!$C$7/J770)
</f>
        <v>69444.44444</v>
      </c>
      <c r="N770" s="24">
        <f t="shared" si="1"/>
        <v>94444.44444</v>
      </c>
      <c r="O770" s="24">
        <f t="shared" si="2"/>
        <v>0.05294117647</v>
      </c>
      <c r="P770" s="24">
        <f t="shared" si="3"/>
        <v>0.2117647059</v>
      </c>
      <c r="Q770" s="24">
        <f t="shared" si="4"/>
        <v>0.7352941176</v>
      </c>
    </row>
    <row r="771">
      <c r="A771" s="32"/>
      <c r="B771" s="30"/>
      <c r="C771" s="33"/>
      <c r="D771" s="22"/>
      <c r="E771" s="31"/>
      <c r="F771" s="22"/>
      <c r="G771" s="33"/>
      <c r="H771" s="24">
        <v>30.0</v>
      </c>
      <c r="I771" s="24">
        <v>35.0</v>
      </c>
      <c r="J771" s="24">
        <v>36.0</v>
      </c>
      <c r="K771" s="24">
        <f>IF(H771=0,0,CAPITAL!$C$5/H771)
</f>
        <v>5000</v>
      </c>
      <c r="L771" s="24">
        <f>IF(I771=0,0,CAPITAL!$C$6/I771)
</f>
        <v>20000</v>
      </c>
      <c r="M771" s="24">
        <f>IF(J771=0,0,CAPITAL!$C$7/J771)
</f>
        <v>69444.44444</v>
      </c>
      <c r="N771" s="24">
        <f t="shared" si="1"/>
        <v>94444.44444</v>
      </c>
      <c r="O771" s="24">
        <f t="shared" si="2"/>
        <v>0.05294117647</v>
      </c>
      <c r="P771" s="24">
        <f t="shared" si="3"/>
        <v>0.2117647059</v>
      </c>
      <c r="Q771" s="24">
        <f t="shared" si="4"/>
        <v>0.7352941176</v>
      </c>
    </row>
    <row r="772">
      <c r="A772" s="32"/>
      <c r="B772" s="30"/>
      <c r="C772" s="33"/>
      <c r="D772" s="22"/>
      <c r="E772" s="31"/>
      <c r="F772" s="22"/>
      <c r="G772" s="33"/>
      <c r="H772" s="24">
        <v>30.0</v>
      </c>
      <c r="I772" s="24">
        <v>35.0</v>
      </c>
      <c r="J772" s="24">
        <v>36.0</v>
      </c>
      <c r="K772" s="24">
        <f>IF(H772=0,0,CAPITAL!$C$5/H772)
</f>
        <v>5000</v>
      </c>
      <c r="L772" s="24">
        <f>IF(I772=0,0,CAPITAL!$C$6/I772)
</f>
        <v>20000</v>
      </c>
      <c r="M772" s="24">
        <f>IF(J772=0,0,CAPITAL!$C$7/J772)
</f>
        <v>69444.44444</v>
      </c>
      <c r="N772" s="24">
        <f t="shared" si="1"/>
        <v>94444.44444</v>
      </c>
      <c r="O772" s="24">
        <f t="shared" si="2"/>
        <v>0.05294117647</v>
      </c>
      <c r="P772" s="24">
        <f t="shared" si="3"/>
        <v>0.2117647059</v>
      </c>
      <c r="Q772" s="24">
        <f t="shared" si="4"/>
        <v>0.7352941176</v>
      </c>
    </row>
    <row r="773">
      <c r="A773" s="32"/>
      <c r="B773" s="30"/>
      <c r="C773" s="33"/>
      <c r="D773" s="22"/>
      <c r="E773" s="31"/>
      <c r="F773" s="22"/>
      <c r="G773" s="33"/>
      <c r="H773" s="24">
        <v>30.0</v>
      </c>
      <c r="I773" s="24">
        <v>35.0</v>
      </c>
      <c r="J773" s="24">
        <v>36.0</v>
      </c>
      <c r="K773" s="24">
        <f>IF(H773=0,0,CAPITAL!$C$5/H773)
</f>
        <v>5000</v>
      </c>
      <c r="L773" s="24">
        <f>IF(I773=0,0,CAPITAL!$C$6/I773)
</f>
        <v>20000</v>
      </c>
      <c r="M773" s="24">
        <f>IF(J773=0,0,CAPITAL!$C$7/J773)
</f>
        <v>69444.44444</v>
      </c>
      <c r="N773" s="24">
        <f t="shared" si="1"/>
        <v>94444.44444</v>
      </c>
      <c r="O773" s="24">
        <f t="shared" si="2"/>
        <v>0.05294117647</v>
      </c>
      <c r="P773" s="24">
        <f t="shared" si="3"/>
        <v>0.2117647059</v>
      </c>
      <c r="Q773" s="24">
        <f t="shared" si="4"/>
        <v>0.7352941176</v>
      </c>
    </row>
    <row r="774">
      <c r="A774" s="32"/>
      <c r="B774" s="30"/>
      <c r="C774" s="33"/>
      <c r="D774" s="22"/>
      <c r="E774" s="31"/>
      <c r="F774" s="22"/>
      <c r="G774" s="33"/>
      <c r="H774" s="24">
        <v>30.0</v>
      </c>
      <c r="I774" s="24">
        <v>35.0</v>
      </c>
      <c r="J774" s="24">
        <v>36.0</v>
      </c>
      <c r="K774" s="24">
        <f>IF(H774=0,0,CAPITAL!$C$5/H774)
</f>
        <v>5000</v>
      </c>
      <c r="L774" s="24">
        <f>IF(I774=0,0,CAPITAL!$C$6/I774)
</f>
        <v>20000</v>
      </c>
      <c r="M774" s="24">
        <f>IF(J774=0,0,CAPITAL!$C$7/J774)
</f>
        <v>69444.44444</v>
      </c>
      <c r="N774" s="24">
        <f t="shared" si="1"/>
        <v>94444.44444</v>
      </c>
      <c r="O774" s="24">
        <f t="shared" si="2"/>
        <v>0.05294117647</v>
      </c>
      <c r="P774" s="24">
        <f t="shared" si="3"/>
        <v>0.2117647059</v>
      </c>
      <c r="Q774" s="24">
        <f t="shared" si="4"/>
        <v>0.7352941176</v>
      </c>
    </row>
    <row r="775">
      <c r="A775" s="32"/>
      <c r="B775" s="30"/>
      <c r="C775" s="33"/>
      <c r="D775" s="22"/>
      <c r="E775" s="31"/>
      <c r="F775" s="22"/>
      <c r="G775" s="33"/>
      <c r="H775" s="24">
        <v>30.0</v>
      </c>
      <c r="I775" s="24">
        <v>35.0</v>
      </c>
      <c r="J775" s="24">
        <v>36.0</v>
      </c>
      <c r="K775" s="24">
        <f>IF(H775=0,0,CAPITAL!$C$5/H775)
</f>
        <v>5000</v>
      </c>
      <c r="L775" s="24">
        <f>IF(I775=0,0,CAPITAL!$C$6/I775)
</f>
        <v>20000</v>
      </c>
      <c r="M775" s="24">
        <f>IF(J775=0,0,CAPITAL!$C$7/J775)
</f>
        <v>69444.44444</v>
      </c>
      <c r="N775" s="24">
        <f t="shared" si="1"/>
        <v>94444.44444</v>
      </c>
      <c r="O775" s="24">
        <f t="shared" si="2"/>
        <v>0.05294117647</v>
      </c>
      <c r="P775" s="24">
        <f t="shared" si="3"/>
        <v>0.2117647059</v>
      </c>
      <c r="Q775" s="24">
        <f t="shared" si="4"/>
        <v>0.7352941176</v>
      </c>
    </row>
    <row r="776">
      <c r="A776" s="32"/>
      <c r="B776" s="30"/>
      <c r="C776" s="33"/>
      <c r="D776" s="22"/>
      <c r="E776" s="31"/>
      <c r="F776" s="22"/>
      <c r="G776" s="33"/>
      <c r="H776" s="24">
        <v>30.0</v>
      </c>
      <c r="I776" s="24">
        <v>35.0</v>
      </c>
      <c r="J776" s="24">
        <v>36.0</v>
      </c>
      <c r="K776" s="24">
        <f>IF(H776=0,0,CAPITAL!$C$5/H776)
</f>
        <v>5000</v>
      </c>
      <c r="L776" s="24">
        <f>IF(I776=0,0,CAPITAL!$C$6/I776)
</f>
        <v>20000</v>
      </c>
      <c r="M776" s="24">
        <f>IF(J776=0,0,CAPITAL!$C$7/J776)
</f>
        <v>69444.44444</v>
      </c>
      <c r="N776" s="24">
        <f t="shared" si="1"/>
        <v>94444.44444</v>
      </c>
      <c r="O776" s="24">
        <f t="shared" si="2"/>
        <v>0.05294117647</v>
      </c>
      <c r="P776" s="24">
        <f t="shared" si="3"/>
        <v>0.2117647059</v>
      </c>
      <c r="Q776" s="24">
        <f t="shared" si="4"/>
        <v>0.7352941176</v>
      </c>
    </row>
    <row r="777">
      <c r="A777" s="32"/>
      <c r="B777" s="30"/>
      <c r="C777" s="33"/>
      <c r="D777" s="22"/>
      <c r="E777" s="31"/>
      <c r="F777" s="22"/>
      <c r="G777" s="33"/>
      <c r="H777" s="24">
        <v>30.0</v>
      </c>
      <c r="I777" s="24">
        <v>35.0</v>
      </c>
      <c r="J777" s="24">
        <v>36.0</v>
      </c>
      <c r="K777" s="24">
        <f>IF(H777=0,0,CAPITAL!$C$5/H777)
</f>
        <v>5000</v>
      </c>
      <c r="L777" s="24">
        <f>IF(I777=0,0,CAPITAL!$C$6/I777)
</f>
        <v>20000</v>
      </c>
      <c r="M777" s="24">
        <f>IF(J777=0,0,CAPITAL!$C$7/J777)
</f>
        <v>69444.44444</v>
      </c>
      <c r="N777" s="24">
        <f t="shared" si="1"/>
        <v>94444.44444</v>
      </c>
      <c r="O777" s="24">
        <f t="shared" si="2"/>
        <v>0.05294117647</v>
      </c>
      <c r="P777" s="24">
        <f t="shared" si="3"/>
        <v>0.2117647059</v>
      </c>
      <c r="Q777" s="24">
        <f t="shared" si="4"/>
        <v>0.7352941176</v>
      </c>
    </row>
    <row r="778">
      <c r="A778" s="32"/>
      <c r="B778" s="30"/>
      <c r="C778" s="33"/>
      <c r="D778" s="22"/>
      <c r="E778" s="31"/>
      <c r="F778" s="22"/>
      <c r="G778" s="33"/>
      <c r="H778" s="24">
        <v>30.0</v>
      </c>
      <c r="I778" s="24">
        <v>35.0</v>
      </c>
      <c r="J778" s="24">
        <v>36.0</v>
      </c>
      <c r="K778" s="24">
        <f>IF(H778=0,0,CAPITAL!$C$5/H778)
</f>
        <v>5000</v>
      </c>
      <c r="L778" s="24">
        <f>IF(I778=0,0,CAPITAL!$C$6/I778)
</f>
        <v>20000</v>
      </c>
      <c r="M778" s="24">
        <f>IF(J778=0,0,CAPITAL!$C$7/J778)
</f>
        <v>69444.44444</v>
      </c>
      <c r="N778" s="24">
        <f t="shared" si="1"/>
        <v>94444.44444</v>
      </c>
      <c r="O778" s="24">
        <f t="shared" si="2"/>
        <v>0.05294117647</v>
      </c>
      <c r="P778" s="24">
        <f t="shared" si="3"/>
        <v>0.2117647059</v>
      </c>
      <c r="Q778" s="24">
        <f t="shared" si="4"/>
        <v>0.7352941176</v>
      </c>
    </row>
    <row r="779">
      <c r="A779" s="32"/>
      <c r="B779" s="30"/>
      <c r="C779" s="33"/>
      <c r="D779" s="22"/>
      <c r="E779" s="31"/>
      <c r="F779" s="22"/>
      <c r="G779" s="33"/>
      <c r="H779" s="24">
        <v>30.0</v>
      </c>
      <c r="I779" s="24">
        <v>35.0</v>
      </c>
      <c r="J779" s="24">
        <v>36.0</v>
      </c>
      <c r="K779" s="24">
        <f>IF(H779=0,0,CAPITAL!$C$5/H779)
</f>
        <v>5000</v>
      </c>
      <c r="L779" s="24">
        <f>IF(I779=0,0,CAPITAL!$C$6/I779)
</f>
        <v>20000</v>
      </c>
      <c r="M779" s="24">
        <f>IF(J779=0,0,CAPITAL!$C$7/J779)
</f>
        <v>69444.44444</v>
      </c>
      <c r="N779" s="24">
        <f t="shared" si="1"/>
        <v>94444.44444</v>
      </c>
      <c r="O779" s="24">
        <f t="shared" si="2"/>
        <v>0.05294117647</v>
      </c>
      <c r="P779" s="24">
        <f t="shared" si="3"/>
        <v>0.2117647059</v>
      </c>
      <c r="Q779" s="24">
        <f t="shared" si="4"/>
        <v>0.7352941176</v>
      </c>
    </row>
    <row r="780">
      <c r="A780" s="32"/>
      <c r="B780" s="30"/>
      <c r="C780" s="33"/>
      <c r="D780" s="22"/>
      <c r="E780" s="31"/>
      <c r="F780" s="22"/>
      <c r="G780" s="33"/>
      <c r="H780" s="24">
        <v>30.0</v>
      </c>
      <c r="I780" s="24">
        <v>35.0</v>
      </c>
      <c r="J780" s="24">
        <v>36.0</v>
      </c>
      <c r="K780" s="24">
        <f>IF(H780=0,0,CAPITAL!$C$5/H780)
</f>
        <v>5000</v>
      </c>
      <c r="L780" s="24">
        <f>IF(I780=0,0,CAPITAL!$C$6/I780)
</f>
        <v>20000</v>
      </c>
      <c r="M780" s="24">
        <f>IF(J780=0,0,CAPITAL!$C$7/J780)
</f>
        <v>69444.44444</v>
      </c>
      <c r="N780" s="24">
        <f t="shared" si="1"/>
        <v>94444.44444</v>
      </c>
      <c r="O780" s="24">
        <f t="shared" si="2"/>
        <v>0.05294117647</v>
      </c>
      <c r="P780" s="24">
        <f t="shared" si="3"/>
        <v>0.2117647059</v>
      </c>
      <c r="Q780" s="24">
        <f t="shared" si="4"/>
        <v>0.7352941176</v>
      </c>
    </row>
    <row r="781">
      <c r="A781" s="32"/>
      <c r="B781" s="30"/>
      <c r="C781" s="33"/>
      <c r="D781" s="22"/>
      <c r="E781" s="31"/>
      <c r="F781" s="22"/>
      <c r="G781" s="33"/>
      <c r="H781" s="24">
        <v>30.0</v>
      </c>
      <c r="I781" s="24">
        <v>35.0</v>
      </c>
      <c r="J781" s="24">
        <v>36.0</v>
      </c>
      <c r="K781" s="24">
        <f>IF(H781=0,0,CAPITAL!$C$5/H781)
</f>
        <v>5000</v>
      </c>
      <c r="L781" s="24">
        <f>IF(I781=0,0,CAPITAL!$C$6/I781)
</f>
        <v>20000</v>
      </c>
      <c r="M781" s="24">
        <f>IF(J781=0,0,CAPITAL!$C$7/J781)
</f>
        <v>69444.44444</v>
      </c>
      <c r="N781" s="24">
        <f t="shared" si="1"/>
        <v>94444.44444</v>
      </c>
      <c r="O781" s="24">
        <f t="shared" si="2"/>
        <v>0.05294117647</v>
      </c>
      <c r="P781" s="24">
        <f t="shared" si="3"/>
        <v>0.2117647059</v>
      </c>
      <c r="Q781" s="24">
        <f t="shared" si="4"/>
        <v>0.7352941176</v>
      </c>
    </row>
    <row r="782">
      <c r="A782" s="32"/>
      <c r="B782" s="30"/>
      <c r="C782" s="33"/>
      <c r="D782" s="22"/>
      <c r="E782" s="31"/>
      <c r="F782" s="22"/>
      <c r="G782" s="33"/>
      <c r="H782" s="24">
        <v>30.0</v>
      </c>
      <c r="I782" s="24">
        <v>35.0</v>
      </c>
      <c r="J782" s="24">
        <v>36.0</v>
      </c>
      <c r="K782" s="24">
        <f>IF(H782=0,0,CAPITAL!$C$5/H782)
</f>
        <v>5000</v>
      </c>
      <c r="L782" s="24">
        <f>IF(I782=0,0,CAPITAL!$C$6/I782)
</f>
        <v>20000</v>
      </c>
      <c r="M782" s="24">
        <f>IF(J782=0,0,CAPITAL!$C$7/J782)
</f>
        <v>69444.44444</v>
      </c>
      <c r="N782" s="24">
        <f t="shared" si="1"/>
        <v>94444.44444</v>
      </c>
      <c r="O782" s="24">
        <f t="shared" si="2"/>
        <v>0.05294117647</v>
      </c>
      <c r="P782" s="24">
        <f t="shared" si="3"/>
        <v>0.2117647059</v>
      </c>
      <c r="Q782" s="24">
        <f t="shared" si="4"/>
        <v>0.7352941176</v>
      </c>
    </row>
    <row r="783">
      <c r="A783" s="32"/>
      <c r="B783" s="30"/>
      <c r="C783" s="33"/>
      <c r="D783" s="22"/>
      <c r="E783" s="31"/>
      <c r="F783" s="22"/>
      <c r="G783" s="33"/>
      <c r="H783" s="24">
        <v>30.0</v>
      </c>
      <c r="I783" s="24">
        <v>35.0</v>
      </c>
      <c r="J783" s="24">
        <v>36.0</v>
      </c>
      <c r="K783" s="24">
        <f>IF(H783=0,0,CAPITAL!$C$5/H783)
</f>
        <v>5000</v>
      </c>
      <c r="L783" s="24">
        <f>IF(I783=0,0,CAPITAL!$C$6/I783)
</f>
        <v>20000</v>
      </c>
      <c r="M783" s="24">
        <f>IF(J783=0,0,CAPITAL!$C$7/J783)
</f>
        <v>69444.44444</v>
      </c>
      <c r="N783" s="24">
        <f t="shared" si="1"/>
        <v>94444.44444</v>
      </c>
      <c r="O783" s="24">
        <f t="shared" si="2"/>
        <v>0.05294117647</v>
      </c>
      <c r="P783" s="24">
        <f t="shared" si="3"/>
        <v>0.2117647059</v>
      </c>
      <c r="Q783" s="24">
        <f t="shared" si="4"/>
        <v>0.7352941176</v>
      </c>
    </row>
    <row r="784">
      <c r="A784" s="32"/>
      <c r="B784" s="30"/>
      <c r="C784" s="33"/>
      <c r="D784" s="22"/>
      <c r="E784" s="31"/>
      <c r="F784" s="22"/>
      <c r="G784" s="33"/>
      <c r="H784" s="24">
        <v>30.0</v>
      </c>
      <c r="I784" s="24">
        <v>35.0</v>
      </c>
      <c r="J784" s="24">
        <v>36.0</v>
      </c>
      <c r="K784" s="24">
        <f>IF(H784=0,0,CAPITAL!$C$5/H784)
</f>
        <v>5000</v>
      </c>
      <c r="L784" s="24">
        <f>IF(I784=0,0,CAPITAL!$C$6/I784)
</f>
        <v>20000</v>
      </c>
      <c r="M784" s="24">
        <f>IF(J784=0,0,CAPITAL!$C$7/J784)
</f>
        <v>69444.44444</v>
      </c>
      <c r="N784" s="24">
        <f t="shared" si="1"/>
        <v>94444.44444</v>
      </c>
      <c r="O784" s="24">
        <f t="shared" si="2"/>
        <v>0.05294117647</v>
      </c>
      <c r="P784" s="24">
        <f t="shared" si="3"/>
        <v>0.2117647059</v>
      </c>
      <c r="Q784" s="24">
        <f t="shared" si="4"/>
        <v>0.7352941176</v>
      </c>
    </row>
    <row r="785">
      <c r="A785" s="32"/>
      <c r="B785" s="30"/>
      <c r="C785" s="33"/>
      <c r="D785" s="22"/>
      <c r="E785" s="31"/>
      <c r="F785" s="22"/>
      <c r="G785" s="33"/>
      <c r="H785" s="24">
        <v>30.0</v>
      </c>
      <c r="I785" s="24">
        <v>35.0</v>
      </c>
      <c r="J785" s="24">
        <v>36.0</v>
      </c>
      <c r="K785" s="24">
        <f>IF(H785=0,0,CAPITAL!$C$5/H785)
</f>
        <v>5000</v>
      </c>
      <c r="L785" s="24">
        <f>IF(I785=0,0,CAPITAL!$C$6/I785)
</f>
        <v>20000</v>
      </c>
      <c r="M785" s="24">
        <f>IF(J785=0,0,CAPITAL!$C$7/J785)
</f>
        <v>69444.44444</v>
      </c>
      <c r="N785" s="24">
        <f t="shared" si="1"/>
        <v>94444.44444</v>
      </c>
      <c r="O785" s="24">
        <f t="shared" si="2"/>
        <v>0.05294117647</v>
      </c>
      <c r="P785" s="24">
        <f t="shared" si="3"/>
        <v>0.2117647059</v>
      </c>
      <c r="Q785" s="24">
        <f t="shared" si="4"/>
        <v>0.7352941176</v>
      </c>
    </row>
    <row r="786">
      <c r="A786" s="32"/>
      <c r="B786" s="30"/>
      <c r="C786" s="33"/>
      <c r="D786" s="22"/>
      <c r="E786" s="31"/>
      <c r="F786" s="22"/>
      <c r="G786" s="33"/>
      <c r="H786" s="24">
        <v>30.0</v>
      </c>
      <c r="I786" s="24">
        <v>35.0</v>
      </c>
      <c r="J786" s="24">
        <v>36.0</v>
      </c>
      <c r="K786" s="24">
        <f>IF(H786=0,0,CAPITAL!$C$5/H786)
</f>
        <v>5000</v>
      </c>
      <c r="L786" s="24">
        <f>IF(I786=0,0,CAPITAL!$C$6/I786)
</f>
        <v>20000</v>
      </c>
      <c r="M786" s="24">
        <f>IF(J786=0,0,CAPITAL!$C$7/J786)
</f>
        <v>69444.44444</v>
      </c>
      <c r="N786" s="24">
        <f t="shared" si="1"/>
        <v>94444.44444</v>
      </c>
      <c r="O786" s="24">
        <f t="shared" si="2"/>
        <v>0.05294117647</v>
      </c>
      <c r="P786" s="24">
        <f t="shared" si="3"/>
        <v>0.2117647059</v>
      </c>
      <c r="Q786" s="24">
        <f t="shared" si="4"/>
        <v>0.7352941176</v>
      </c>
    </row>
    <row r="787">
      <c r="A787" s="32"/>
      <c r="B787" s="30"/>
      <c r="C787" s="33"/>
      <c r="D787" s="22"/>
      <c r="E787" s="31"/>
      <c r="F787" s="22"/>
      <c r="G787" s="33"/>
      <c r="H787" s="24">
        <v>30.0</v>
      </c>
      <c r="I787" s="24">
        <v>35.0</v>
      </c>
      <c r="J787" s="24">
        <v>36.0</v>
      </c>
      <c r="K787" s="24">
        <f>IF(H787=0,0,CAPITAL!$C$5/H787)
</f>
        <v>5000</v>
      </c>
      <c r="L787" s="24">
        <f>IF(I787=0,0,CAPITAL!$C$6/I787)
</f>
        <v>20000</v>
      </c>
      <c r="M787" s="24">
        <f>IF(J787=0,0,CAPITAL!$C$7/J787)
</f>
        <v>69444.44444</v>
      </c>
      <c r="N787" s="24">
        <f t="shared" si="1"/>
        <v>94444.44444</v>
      </c>
      <c r="O787" s="24">
        <f t="shared" si="2"/>
        <v>0.05294117647</v>
      </c>
      <c r="P787" s="24">
        <f t="shared" si="3"/>
        <v>0.2117647059</v>
      </c>
      <c r="Q787" s="24">
        <f t="shared" si="4"/>
        <v>0.7352941176</v>
      </c>
    </row>
    <row r="788">
      <c r="A788" s="32"/>
      <c r="B788" s="30"/>
      <c r="C788" s="33"/>
      <c r="D788" s="22"/>
      <c r="E788" s="31"/>
      <c r="F788" s="22"/>
      <c r="G788" s="33"/>
      <c r="H788" s="24">
        <v>30.0</v>
      </c>
      <c r="I788" s="24">
        <v>35.0</v>
      </c>
      <c r="J788" s="24">
        <v>36.0</v>
      </c>
      <c r="K788" s="24">
        <f>IF(H788=0,0,CAPITAL!$C$5/H788)
</f>
        <v>5000</v>
      </c>
      <c r="L788" s="24">
        <f>IF(I788=0,0,CAPITAL!$C$6/I788)
</f>
        <v>20000</v>
      </c>
      <c r="M788" s="24">
        <f>IF(J788=0,0,CAPITAL!$C$7/J788)
</f>
        <v>69444.44444</v>
      </c>
      <c r="N788" s="24">
        <f t="shared" si="1"/>
        <v>94444.44444</v>
      </c>
      <c r="O788" s="24">
        <f t="shared" si="2"/>
        <v>0.05294117647</v>
      </c>
      <c r="P788" s="24">
        <f t="shared" si="3"/>
        <v>0.2117647059</v>
      </c>
      <c r="Q788" s="24">
        <f t="shared" si="4"/>
        <v>0.7352941176</v>
      </c>
    </row>
    <row r="789">
      <c r="A789" s="32"/>
      <c r="B789" s="30"/>
      <c r="C789" s="33"/>
      <c r="D789" s="22"/>
      <c r="E789" s="31"/>
      <c r="F789" s="22"/>
      <c r="G789" s="33"/>
      <c r="H789" s="24">
        <v>30.0</v>
      </c>
      <c r="I789" s="24">
        <v>35.0</v>
      </c>
      <c r="J789" s="24">
        <v>36.0</v>
      </c>
      <c r="K789" s="24">
        <f>IF(H789=0,0,CAPITAL!$C$5/H789)
</f>
        <v>5000</v>
      </c>
      <c r="L789" s="24">
        <f>IF(I789=0,0,CAPITAL!$C$6/I789)
</f>
        <v>20000</v>
      </c>
      <c r="M789" s="24">
        <f>IF(J789=0,0,CAPITAL!$C$7/J789)
</f>
        <v>69444.44444</v>
      </c>
      <c r="N789" s="24">
        <f t="shared" si="1"/>
        <v>94444.44444</v>
      </c>
      <c r="O789" s="24">
        <f t="shared" si="2"/>
        <v>0.05294117647</v>
      </c>
      <c r="P789" s="24">
        <f t="shared" si="3"/>
        <v>0.2117647059</v>
      </c>
      <c r="Q789" s="24">
        <f t="shared" si="4"/>
        <v>0.7352941176</v>
      </c>
    </row>
    <row r="790">
      <c r="A790" s="32"/>
      <c r="B790" s="30"/>
      <c r="C790" s="33"/>
      <c r="D790" s="22"/>
      <c r="E790" s="31"/>
      <c r="F790" s="22"/>
      <c r="G790" s="33"/>
      <c r="H790" s="24">
        <v>30.0</v>
      </c>
      <c r="I790" s="24">
        <v>35.0</v>
      </c>
      <c r="J790" s="24">
        <v>36.0</v>
      </c>
      <c r="K790" s="24">
        <f>IF(H790=0,0,CAPITAL!$C$5/H790)
</f>
        <v>5000</v>
      </c>
      <c r="L790" s="24">
        <f>IF(I790=0,0,CAPITAL!$C$6/I790)
</f>
        <v>20000</v>
      </c>
      <c r="M790" s="24">
        <f>IF(J790=0,0,CAPITAL!$C$7/J790)
</f>
        <v>69444.44444</v>
      </c>
      <c r="N790" s="24">
        <f t="shared" si="1"/>
        <v>94444.44444</v>
      </c>
      <c r="O790" s="24">
        <f t="shared" si="2"/>
        <v>0.05294117647</v>
      </c>
      <c r="P790" s="24">
        <f t="shared" si="3"/>
        <v>0.2117647059</v>
      </c>
      <c r="Q790" s="24">
        <f t="shared" si="4"/>
        <v>0.7352941176</v>
      </c>
    </row>
    <row r="791">
      <c r="A791" s="32"/>
      <c r="B791" s="30"/>
      <c r="C791" s="33"/>
      <c r="D791" s="22"/>
      <c r="E791" s="31"/>
      <c r="F791" s="22"/>
      <c r="G791" s="33"/>
      <c r="H791" s="24">
        <v>30.0</v>
      </c>
      <c r="I791" s="24">
        <v>35.0</v>
      </c>
      <c r="J791" s="24">
        <v>36.0</v>
      </c>
      <c r="K791" s="24">
        <f>IF(H791=0,0,CAPITAL!$C$5/H791)
</f>
        <v>5000</v>
      </c>
      <c r="L791" s="24">
        <f>IF(I791=0,0,CAPITAL!$C$6/I791)
</f>
        <v>20000</v>
      </c>
      <c r="M791" s="24">
        <f>IF(J791=0,0,CAPITAL!$C$7/J791)
</f>
        <v>69444.44444</v>
      </c>
      <c r="N791" s="24">
        <f t="shared" si="1"/>
        <v>94444.44444</v>
      </c>
      <c r="O791" s="24">
        <f t="shared" si="2"/>
        <v>0.05294117647</v>
      </c>
      <c r="P791" s="24">
        <f t="shared" si="3"/>
        <v>0.2117647059</v>
      </c>
      <c r="Q791" s="24">
        <f t="shared" si="4"/>
        <v>0.7352941176</v>
      </c>
    </row>
    <row r="792">
      <c r="A792" s="32"/>
      <c r="B792" s="30"/>
      <c r="C792" s="33"/>
      <c r="D792" s="22"/>
      <c r="E792" s="31"/>
      <c r="F792" s="22"/>
      <c r="G792" s="33"/>
      <c r="H792" s="24">
        <v>30.0</v>
      </c>
      <c r="I792" s="24">
        <v>35.0</v>
      </c>
      <c r="J792" s="24">
        <v>36.0</v>
      </c>
      <c r="K792" s="24">
        <f>IF(H792=0,0,CAPITAL!$C$5/H792)
</f>
        <v>5000</v>
      </c>
      <c r="L792" s="24">
        <f>IF(I792=0,0,CAPITAL!$C$6/I792)
</f>
        <v>20000</v>
      </c>
      <c r="M792" s="24">
        <f>IF(J792=0,0,CAPITAL!$C$7/J792)
</f>
        <v>69444.44444</v>
      </c>
      <c r="N792" s="24">
        <f t="shared" si="1"/>
        <v>94444.44444</v>
      </c>
      <c r="O792" s="24">
        <f t="shared" si="2"/>
        <v>0.05294117647</v>
      </c>
      <c r="P792" s="24">
        <f t="shared" si="3"/>
        <v>0.2117647059</v>
      </c>
      <c r="Q792" s="24">
        <f t="shared" si="4"/>
        <v>0.7352941176</v>
      </c>
    </row>
    <row r="793">
      <c r="A793" s="32"/>
      <c r="B793" s="30"/>
      <c r="C793" s="33"/>
      <c r="D793" s="22"/>
      <c r="E793" s="31"/>
      <c r="F793" s="22"/>
      <c r="G793" s="33"/>
      <c r="H793" s="24">
        <v>30.0</v>
      </c>
      <c r="I793" s="24">
        <v>35.0</v>
      </c>
      <c r="J793" s="24">
        <v>36.0</v>
      </c>
      <c r="K793" s="24">
        <f>IF(H793=0,0,CAPITAL!$C$5/H793)
</f>
        <v>5000</v>
      </c>
      <c r="L793" s="24">
        <f>IF(I793=0,0,CAPITAL!$C$6/I793)
</f>
        <v>20000</v>
      </c>
      <c r="M793" s="24">
        <f>IF(J793=0,0,CAPITAL!$C$7/J793)
</f>
        <v>69444.44444</v>
      </c>
      <c r="N793" s="24">
        <f t="shared" si="1"/>
        <v>94444.44444</v>
      </c>
      <c r="O793" s="24">
        <f t="shared" si="2"/>
        <v>0.05294117647</v>
      </c>
      <c r="P793" s="24">
        <f t="shared" si="3"/>
        <v>0.2117647059</v>
      </c>
      <c r="Q793" s="24">
        <f t="shared" si="4"/>
        <v>0.7352941176</v>
      </c>
    </row>
    <row r="794">
      <c r="A794" s="32"/>
      <c r="B794" s="30"/>
      <c r="C794" s="33"/>
      <c r="D794" s="22"/>
      <c r="E794" s="31"/>
      <c r="F794" s="22"/>
      <c r="G794" s="33"/>
      <c r="H794" s="24">
        <v>30.0</v>
      </c>
      <c r="I794" s="24">
        <v>35.0</v>
      </c>
      <c r="J794" s="24">
        <v>36.0</v>
      </c>
      <c r="K794" s="24">
        <f>IF(H794=0,0,CAPITAL!$C$5/H794)
</f>
        <v>5000</v>
      </c>
      <c r="L794" s="24">
        <f>IF(I794=0,0,CAPITAL!$C$6/I794)
</f>
        <v>20000</v>
      </c>
      <c r="M794" s="24">
        <f>IF(J794=0,0,CAPITAL!$C$7/J794)
</f>
        <v>69444.44444</v>
      </c>
      <c r="N794" s="24">
        <f t="shared" si="1"/>
        <v>94444.44444</v>
      </c>
      <c r="O794" s="24">
        <f t="shared" si="2"/>
        <v>0.05294117647</v>
      </c>
      <c r="P794" s="24">
        <f t="shared" si="3"/>
        <v>0.2117647059</v>
      </c>
      <c r="Q794" s="24">
        <f t="shared" si="4"/>
        <v>0.7352941176</v>
      </c>
    </row>
    <row r="795">
      <c r="A795" s="32"/>
      <c r="B795" s="30"/>
      <c r="C795" s="33"/>
      <c r="D795" s="22"/>
      <c r="E795" s="31"/>
      <c r="F795" s="22"/>
      <c r="G795" s="33"/>
      <c r="H795" s="24">
        <v>30.0</v>
      </c>
      <c r="I795" s="24">
        <v>35.0</v>
      </c>
      <c r="J795" s="24">
        <v>36.0</v>
      </c>
      <c r="K795" s="24">
        <f>IF(H795=0,0,CAPITAL!$C$5/H795)
</f>
        <v>5000</v>
      </c>
      <c r="L795" s="24">
        <f>IF(I795=0,0,CAPITAL!$C$6/I795)
</f>
        <v>20000</v>
      </c>
      <c r="M795" s="24">
        <f>IF(J795=0,0,CAPITAL!$C$7/J795)
</f>
        <v>69444.44444</v>
      </c>
      <c r="N795" s="24">
        <f t="shared" si="1"/>
        <v>94444.44444</v>
      </c>
      <c r="O795" s="24">
        <f t="shared" si="2"/>
        <v>0.05294117647</v>
      </c>
      <c r="P795" s="24">
        <f t="shared" si="3"/>
        <v>0.2117647059</v>
      </c>
      <c r="Q795" s="24">
        <f t="shared" si="4"/>
        <v>0.7352941176</v>
      </c>
    </row>
    <row r="796">
      <c r="A796" s="32"/>
      <c r="B796" s="30"/>
      <c r="C796" s="33"/>
      <c r="D796" s="22"/>
      <c r="E796" s="31"/>
      <c r="F796" s="22"/>
      <c r="G796" s="33"/>
      <c r="H796" s="24">
        <v>30.0</v>
      </c>
      <c r="I796" s="24">
        <v>35.0</v>
      </c>
      <c r="J796" s="24">
        <v>36.0</v>
      </c>
      <c r="K796" s="24">
        <f>IF(H796=0,0,CAPITAL!$C$5/H796)
</f>
        <v>5000</v>
      </c>
      <c r="L796" s="24">
        <f>IF(I796=0,0,CAPITAL!$C$6/I796)
</f>
        <v>20000</v>
      </c>
      <c r="M796" s="24">
        <f>IF(J796=0,0,CAPITAL!$C$7/J796)
</f>
        <v>69444.44444</v>
      </c>
      <c r="N796" s="24">
        <f t="shared" si="1"/>
        <v>94444.44444</v>
      </c>
      <c r="O796" s="24">
        <f t="shared" si="2"/>
        <v>0.05294117647</v>
      </c>
      <c r="P796" s="24">
        <f t="shared" si="3"/>
        <v>0.2117647059</v>
      </c>
      <c r="Q796" s="24">
        <f t="shared" si="4"/>
        <v>0.7352941176</v>
      </c>
    </row>
    <row r="797">
      <c r="A797" s="32"/>
      <c r="B797" s="30"/>
      <c r="C797" s="33"/>
      <c r="D797" s="22"/>
      <c r="E797" s="31"/>
      <c r="F797" s="22"/>
      <c r="G797" s="33"/>
      <c r="H797" s="24">
        <v>30.0</v>
      </c>
      <c r="I797" s="24">
        <v>35.0</v>
      </c>
      <c r="J797" s="24">
        <v>36.0</v>
      </c>
      <c r="K797" s="24">
        <f>IF(H797=0,0,CAPITAL!$C$5/H797)
</f>
        <v>5000</v>
      </c>
      <c r="L797" s="24">
        <f>IF(I797=0,0,CAPITAL!$C$6/I797)
</f>
        <v>20000</v>
      </c>
      <c r="M797" s="24">
        <f>IF(J797=0,0,CAPITAL!$C$7/J797)
</f>
        <v>69444.44444</v>
      </c>
      <c r="N797" s="24">
        <f t="shared" si="1"/>
        <v>94444.44444</v>
      </c>
      <c r="O797" s="24">
        <f t="shared" si="2"/>
        <v>0.05294117647</v>
      </c>
      <c r="P797" s="24">
        <f t="shared" si="3"/>
        <v>0.2117647059</v>
      </c>
      <c r="Q797" s="24">
        <f t="shared" si="4"/>
        <v>0.7352941176</v>
      </c>
    </row>
    <row r="798">
      <c r="A798" s="32"/>
      <c r="B798" s="30"/>
      <c r="C798" s="33"/>
      <c r="D798" s="22"/>
      <c r="E798" s="31"/>
      <c r="F798" s="22"/>
      <c r="G798" s="33"/>
      <c r="H798" s="24">
        <v>30.0</v>
      </c>
      <c r="I798" s="24">
        <v>35.0</v>
      </c>
      <c r="J798" s="24">
        <v>36.0</v>
      </c>
      <c r="K798" s="24">
        <f>IF(H798=0,0,CAPITAL!$C$5/H798)
</f>
        <v>5000</v>
      </c>
      <c r="L798" s="24">
        <f>IF(I798=0,0,CAPITAL!$C$6/I798)
</f>
        <v>20000</v>
      </c>
      <c r="M798" s="24">
        <f>IF(J798=0,0,CAPITAL!$C$7/J798)
</f>
        <v>69444.44444</v>
      </c>
      <c r="N798" s="24">
        <f t="shared" si="1"/>
        <v>94444.44444</v>
      </c>
      <c r="O798" s="24">
        <f t="shared" si="2"/>
        <v>0.05294117647</v>
      </c>
      <c r="P798" s="24">
        <f t="shared" si="3"/>
        <v>0.2117647059</v>
      </c>
      <c r="Q798" s="24">
        <f t="shared" si="4"/>
        <v>0.7352941176</v>
      </c>
    </row>
    <row r="799">
      <c r="A799" s="32"/>
      <c r="B799" s="30"/>
      <c r="C799" s="33"/>
      <c r="D799" s="22"/>
      <c r="E799" s="31"/>
      <c r="F799" s="22"/>
      <c r="G799" s="33"/>
      <c r="H799" s="24">
        <v>30.0</v>
      </c>
      <c r="I799" s="24">
        <v>35.0</v>
      </c>
      <c r="J799" s="24">
        <v>36.0</v>
      </c>
      <c r="K799" s="24">
        <f>IF(H799=0,0,CAPITAL!$C$5/H799)
</f>
        <v>5000</v>
      </c>
      <c r="L799" s="24">
        <f>IF(I799=0,0,CAPITAL!$C$6/I799)
</f>
        <v>20000</v>
      </c>
      <c r="M799" s="24">
        <f>IF(J799=0,0,CAPITAL!$C$7/J799)
</f>
        <v>69444.44444</v>
      </c>
      <c r="N799" s="24">
        <f t="shared" si="1"/>
        <v>94444.44444</v>
      </c>
      <c r="O799" s="24">
        <f t="shared" si="2"/>
        <v>0.05294117647</v>
      </c>
      <c r="P799" s="24">
        <f t="shared" si="3"/>
        <v>0.2117647059</v>
      </c>
      <c r="Q799" s="24">
        <f t="shared" si="4"/>
        <v>0.7352941176</v>
      </c>
    </row>
    <row r="800">
      <c r="A800" s="32"/>
      <c r="B800" s="30"/>
      <c r="C800" s="33"/>
      <c r="D800" s="22"/>
      <c r="E800" s="31"/>
      <c r="F800" s="22"/>
      <c r="G800" s="33"/>
      <c r="H800" s="24">
        <v>30.0</v>
      </c>
      <c r="I800" s="24">
        <v>35.0</v>
      </c>
      <c r="J800" s="24">
        <v>36.0</v>
      </c>
      <c r="K800" s="24">
        <f>IF(H800=0,0,CAPITAL!$C$5/H800)
</f>
        <v>5000</v>
      </c>
      <c r="L800" s="24">
        <f>IF(I800=0,0,CAPITAL!$C$6/I800)
</f>
        <v>20000</v>
      </c>
      <c r="M800" s="24">
        <f>IF(J800=0,0,CAPITAL!$C$7/J800)
</f>
        <v>69444.44444</v>
      </c>
      <c r="N800" s="24">
        <f t="shared" si="1"/>
        <v>94444.44444</v>
      </c>
      <c r="O800" s="24">
        <f t="shared" si="2"/>
        <v>0.05294117647</v>
      </c>
      <c r="P800" s="24">
        <f t="shared" si="3"/>
        <v>0.2117647059</v>
      </c>
      <c r="Q800" s="24">
        <f t="shared" si="4"/>
        <v>0.7352941176</v>
      </c>
    </row>
    <row r="801">
      <c r="A801" s="32"/>
      <c r="B801" s="30"/>
      <c r="C801" s="33"/>
      <c r="D801" s="22"/>
      <c r="E801" s="31"/>
      <c r="F801" s="22"/>
      <c r="G801" s="33"/>
      <c r="H801" s="24">
        <v>30.0</v>
      </c>
      <c r="I801" s="24">
        <v>35.0</v>
      </c>
      <c r="J801" s="24">
        <v>36.0</v>
      </c>
      <c r="K801" s="24">
        <f>IF(H801=0,0,CAPITAL!$C$5/H801)
</f>
        <v>5000</v>
      </c>
      <c r="L801" s="24">
        <f>IF(I801=0,0,CAPITAL!$C$6/I801)
</f>
        <v>20000</v>
      </c>
      <c r="M801" s="24">
        <f>IF(J801=0,0,CAPITAL!$C$7/J801)
</f>
        <v>69444.44444</v>
      </c>
      <c r="N801" s="24">
        <f t="shared" si="1"/>
        <v>94444.44444</v>
      </c>
      <c r="O801" s="24">
        <f t="shared" si="2"/>
        <v>0.05294117647</v>
      </c>
      <c r="P801" s="24">
        <f t="shared" si="3"/>
        <v>0.2117647059</v>
      </c>
      <c r="Q801" s="24">
        <f t="shared" si="4"/>
        <v>0.7352941176</v>
      </c>
    </row>
    <row r="802">
      <c r="A802" s="32"/>
      <c r="B802" s="30"/>
      <c r="C802" s="33"/>
      <c r="D802" s="22"/>
      <c r="E802" s="31"/>
      <c r="F802" s="22"/>
      <c r="G802" s="33"/>
      <c r="H802" s="24">
        <v>30.0</v>
      </c>
      <c r="I802" s="24">
        <v>35.0</v>
      </c>
      <c r="J802" s="24">
        <v>36.0</v>
      </c>
      <c r="K802" s="24">
        <f>IF(H802=0,0,CAPITAL!$C$5/H802)
</f>
        <v>5000</v>
      </c>
      <c r="L802" s="24">
        <f>IF(I802=0,0,CAPITAL!$C$6/I802)
</f>
        <v>20000</v>
      </c>
      <c r="M802" s="24">
        <f>IF(J802=0,0,CAPITAL!$C$7/J802)
</f>
        <v>69444.44444</v>
      </c>
      <c r="N802" s="24">
        <f t="shared" si="1"/>
        <v>94444.44444</v>
      </c>
      <c r="O802" s="24">
        <f t="shared" si="2"/>
        <v>0.05294117647</v>
      </c>
      <c r="P802" s="24">
        <f t="shared" si="3"/>
        <v>0.2117647059</v>
      </c>
      <c r="Q802" s="24">
        <f t="shared" si="4"/>
        <v>0.7352941176</v>
      </c>
    </row>
    <row r="803">
      <c r="A803" s="32"/>
      <c r="B803" s="30"/>
      <c r="C803" s="33"/>
      <c r="D803" s="22"/>
      <c r="E803" s="31"/>
      <c r="F803" s="22"/>
      <c r="G803" s="33"/>
      <c r="H803" s="24">
        <v>30.0</v>
      </c>
      <c r="I803" s="24">
        <v>35.0</v>
      </c>
      <c r="J803" s="24">
        <v>36.0</v>
      </c>
      <c r="K803" s="24">
        <f>IF(H803=0,0,CAPITAL!$C$5/H803)
</f>
        <v>5000</v>
      </c>
      <c r="L803" s="24">
        <f>IF(I803=0,0,CAPITAL!$C$6/I803)
</f>
        <v>20000</v>
      </c>
      <c r="M803" s="24">
        <f>IF(J803=0,0,CAPITAL!$C$7/J803)
</f>
        <v>69444.44444</v>
      </c>
      <c r="N803" s="24">
        <f t="shared" si="1"/>
        <v>94444.44444</v>
      </c>
      <c r="O803" s="24">
        <f t="shared" si="2"/>
        <v>0.05294117647</v>
      </c>
      <c r="P803" s="24">
        <f t="shared" si="3"/>
        <v>0.2117647059</v>
      </c>
      <c r="Q803" s="24">
        <f t="shared" si="4"/>
        <v>0.7352941176</v>
      </c>
    </row>
    <row r="804">
      <c r="A804" s="32"/>
      <c r="B804" s="30"/>
      <c r="C804" s="33"/>
      <c r="D804" s="22"/>
      <c r="E804" s="31"/>
      <c r="F804" s="22"/>
      <c r="G804" s="33"/>
      <c r="H804" s="24">
        <v>30.0</v>
      </c>
      <c r="I804" s="24">
        <v>35.0</v>
      </c>
      <c r="J804" s="24">
        <v>36.0</v>
      </c>
      <c r="K804" s="24">
        <f>IF(H804=0,0,CAPITAL!$C$5/H804)
</f>
        <v>5000</v>
      </c>
      <c r="L804" s="24">
        <f>IF(I804=0,0,CAPITAL!$C$6/I804)
</f>
        <v>20000</v>
      </c>
      <c r="M804" s="24">
        <f>IF(J804=0,0,CAPITAL!$C$7/J804)
</f>
        <v>69444.44444</v>
      </c>
      <c r="N804" s="24">
        <f t="shared" si="1"/>
        <v>94444.44444</v>
      </c>
      <c r="O804" s="24">
        <f t="shared" si="2"/>
        <v>0.05294117647</v>
      </c>
      <c r="P804" s="24">
        <f t="shared" si="3"/>
        <v>0.2117647059</v>
      </c>
      <c r="Q804" s="24">
        <f t="shared" si="4"/>
        <v>0.7352941176</v>
      </c>
    </row>
    <row r="805">
      <c r="A805" s="32"/>
      <c r="B805" s="30"/>
      <c r="C805" s="33"/>
      <c r="D805" s="22"/>
      <c r="E805" s="31"/>
      <c r="F805" s="22"/>
      <c r="G805" s="33"/>
      <c r="H805" s="24">
        <v>30.0</v>
      </c>
      <c r="I805" s="24">
        <v>35.0</v>
      </c>
      <c r="J805" s="24">
        <v>36.0</v>
      </c>
      <c r="K805" s="24">
        <f>IF(H805=0,0,CAPITAL!$C$5/H805)
</f>
        <v>5000</v>
      </c>
      <c r="L805" s="24">
        <f>IF(I805=0,0,CAPITAL!$C$6/I805)
</f>
        <v>20000</v>
      </c>
      <c r="M805" s="24">
        <f>IF(J805=0,0,CAPITAL!$C$7/J805)
</f>
        <v>69444.44444</v>
      </c>
      <c r="N805" s="24">
        <f t="shared" si="1"/>
        <v>94444.44444</v>
      </c>
      <c r="O805" s="24">
        <f t="shared" si="2"/>
        <v>0.05294117647</v>
      </c>
      <c r="P805" s="24">
        <f t="shared" si="3"/>
        <v>0.2117647059</v>
      </c>
      <c r="Q805" s="24">
        <f t="shared" si="4"/>
        <v>0.7352941176</v>
      </c>
    </row>
    <row r="806">
      <c r="A806" s="32"/>
      <c r="B806" s="30"/>
      <c r="C806" s="33"/>
      <c r="D806" s="22"/>
      <c r="E806" s="31"/>
      <c r="F806" s="22"/>
      <c r="G806" s="33"/>
      <c r="H806" s="24">
        <v>30.0</v>
      </c>
      <c r="I806" s="24">
        <v>35.0</v>
      </c>
      <c r="J806" s="24">
        <v>36.0</v>
      </c>
      <c r="K806" s="24">
        <f>IF(H806=0,0,CAPITAL!$C$5/H806)
</f>
        <v>5000</v>
      </c>
      <c r="L806" s="24">
        <f>IF(I806=0,0,CAPITAL!$C$6/I806)
</f>
        <v>20000</v>
      </c>
      <c r="M806" s="24">
        <f>IF(J806=0,0,CAPITAL!$C$7/J806)
</f>
        <v>69444.44444</v>
      </c>
      <c r="N806" s="24">
        <f t="shared" si="1"/>
        <v>94444.44444</v>
      </c>
      <c r="O806" s="24">
        <f t="shared" si="2"/>
        <v>0.05294117647</v>
      </c>
      <c r="P806" s="24">
        <f t="shared" si="3"/>
        <v>0.2117647059</v>
      </c>
      <c r="Q806" s="24">
        <f t="shared" si="4"/>
        <v>0.7352941176</v>
      </c>
    </row>
    <row r="807">
      <c r="A807" s="32"/>
      <c r="B807" s="30"/>
      <c r="C807" s="33"/>
      <c r="D807" s="22"/>
      <c r="E807" s="31"/>
      <c r="F807" s="22"/>
      <c r="G807" s="33"/>
      <c r="H807" s="24">
        <v>30.0</v>
      </c>
      <c r="I807" s="24">
        <v>35.0</v>
      </c>
      <c r="J807" s="24">
        <v>36.0</v>
      </c>
      <c r="K807" s="24">
        <f>IF(H807=0,0,CAPITAL!$C$5/H807)
</f>
        <v>5000</v>
      </c>
      <c r="L807" s="24">
        <f>IF(I807=0,0,CAPITAL!$C$6/I807)
</f>
        <v>20000</v>
      </c>
      <c r="M807" s="24">
        <f>IF(J807=0,0,CAPITAL!$C$7/J807)
</f>
        <v>69444.44444</v>
      </c>
      <c r="N807" s="24">
        <f t="shared" si="1"/>
        <v>94444.44444</v>
      </c>
      <c r="O807" s="24">
        <f t="shared" si="2"/>
        <v>0.05294117647</v>
      </c>
      <c r="P807" s="24">
        <f t="shared" si="3"/>
        <v>0.2117647059</v>
      </c>
      <c r="Q807" s="24">
        <f t="shared" si="4"/>
        <v>0.7352941176</v>
      </c>
    </row>
    <row r="808">
      <c r="A808" s="32"/>
      <c r="B808" s="30"/>
      <c r="C808" s="33"/>
      <c r="D808" s="22"/>
      <c r="E808" s="31"/>
      <c r="F808" s="22"/>
      <c r="G808" s="33"/>
      <c r="H808" s="24">
        <v>30.0</v>
      </c>
      <c r="I808" s="24">
        <v>35.0</v>
      </c>
      <c r="J808" s="24">
        <v>36.0</v>
      </c>
      <c r="K808" s="24">
        <f>IF(H808=0,0,CAPITAL!$C$5/H808)
</f>
        <v>5000</v>
      </c>
      <c r="L808" s="24">
        <f>IF(I808=0,0,CAPITAL!$C$6/I808)
</f>
        <v>20000</v>
      </c>
      <c r="M808" s="24">
        <f>IF(J808=0,0,CAPITAL!$C$7/J808)
</f>
        <v>69444.44444</v>
      </c>
      <c r="N808" s="24">
        <f t="shared" si="1"/>
        <v>94444.44444</v>
      </c>
      <c r="O808" s="24">
        <f t="shared" si="2"/>
        <v>0.05294117647</v>
      </c>
      <c r="P808" s="24">
        <f t="shared" si="3"/>
        <v>0.2117647059</v>
      </c>
      <c r="Q808" s="24">
        <f t="shared" si="4"/>
        <v>0.7352941176</v>
      </c>
    </row>
    <row r="809">
      <c r="A809" s="32"/>
      <c r="B809" s="30"/>
      <c r="C809" s="33"/>
      <c r="D809" s="22"/>
      <c r="E809" s="31"/>
      <c r="F809" s="22"/>
      <c r="G809" s="33"/>
      <c r="H809" s="24">
        <v>30.0</v>
      </c>
      <c r="I809" s="24">
        <v>35.0</v>
      </c>
      <c r="J809" s="24">
        <v>36.0</v>
      </c>
      <c r="K809" s="24">
        <f>IF(H809=0,0,CAPITAL!$C$5/H809)
</f>
        <v>5000</v>
      </c>
      <c r="L809" s="24">
        <f>IF(I809=0,0,CAPITAL!$C$6/I809)
</f>
        <v>20000</v>
      </c>
      <c r="M809" s="24">
        <f>IF(J809=0,0,CAPITAL!$C$7/J809)
</f>
        <v>69444.44444</v>
      </c>
      <c r="N809" s="24">
        <f t="shared" si="1"/>
        <v>94444.44444</v>
      </c>
      <c r="O809" s="24">
        <f t="shared" si="2"/>
        <v>0.05294117647</v>
      </c>
      <c r="P809" s="24">
        <f t="shared" si="3"/>
        <v>0.2117647059</v>
      </c>
      <c r="Q809" s="24">
        <f t="shared" si="4"/>
        <v>0.7352941176</v>
      </c>
    </row>
    <row r="810">
      <c r="A810" s="32"/>
      <c r="B810" s="30"/>
      <c r="C810" s="33"/>
      <c r="D810" s="22"/>
      <c r="E810" s="31"/>
      <c r="F810" s="22"/>
      <c r="G810" s="33"/>
      <c r="H810" s="24">
        <v>30.0</v>
      </c>
      <c r="I810" s="24">
        <v>35.0</v>
      </c>
      <c r="J810" s="24">
        <v>36.0</v>
      </c>
      <c r="K810" s="24">
        <f>IF(H810=0,0,CAPITAL!$C$5/H810)
</f>
        <v>5000</v>
      </c>
      <c r="L810" s="24">
        <f>IF(I810=0,0,CAPITAL!$C$6/I810)
</f>
        <v>20000</v>
      </c>
      <c r="M810" s="24">
        <f>IF(J810=0,0,CAPITAL!$C$7/J810)
</f>
        <v>69444.44444</v>
      </c>
      <c r="N810" s="24">
        <f t="shared" si="1"/>
        <v>94444.44444</v>
      </c>
      <c r="O810" s="24">
        <f t="shared" si="2"/>
        <v>0.05294117647</v>
      </c>
      <c r="P810" s="24">
        <f t="shared" si="3"/>
        <v>0.2117647059</v>
      </c>
      <c r="Q810" s="24">
        <f t="shared" si="4"/>
        <v>0.7352941176</v>
      </c>
    </row>
    <row r="811">
      <c r="A811" s="32"/>
      <c r="B811" s="30"/>
      <c r="C811" s="33"/>
      <c r="D811" s="22"/>
      <c r="E811" s="31"/>
      <c r="F811" s="22"/>
      <c r="G811" s="33"/>
      <c r="H811" s="24">
        <v>30.0</v>
      </c>
      <c r="I811" s="24">
        <v>35.0</v>
      </c>
      <c r="J811" s="24">
        <v>36.0</v>
      </c>
      <c r="K811" s="24">
        <f>IF(H811=0,0,CAPITAL!$C$5/H811)
</f>
        <v>5000</v>
      </c>
      <c r="L811" s="24">
        <f>IF(I811=0,0,CAPITAL!$C$6/I811)
</f>
        <v>20000</v>
      </c>
      <c r="M811" s="24">
        <f>IF(J811=0,0,CAPITAL!$C$7/J811)
</f>
        <v>69444.44444</v>
      </c>
      <c r="N811" s="24">
        <f t="shared" si="1"/>
        <v>94444.44444</v>
      </c>
      <c r="O811" s="24">
        <f t="shared" si="2"/>
        <v>0.05294117647</v>
      </c>
      <c r="P811" s="24">
        <f t="shared" si="3"/>
        <v>0.2117647059</v>
      </c>
      <c r="Q811" s="24">
        <f t="shared" si="4"/>
        <v>0.7352941176</v>
      </c>
    </row>
    <row r="812">
      <c r="A812" s="32"/>
      <c r="B812" s="30"/>
      <c r="C812" s="33"/>
      <c r="D812" s="22"/>
      <c r="E812" s="31"/>
      <c r="F812" s="22"/>
      <c r="G812" s="33"/>
      <c r="H812" s="24">
        <v>30.0</v>
      </c>
      <c r="I812" s="24">
        <v>35.0</v>
      </c>
      <c r="J812" s="24">
        <v>36.0</v>
      </c>
      <c r="K812" s="24">
        <f>IF(H812=0,0,CAPITAL!$C$5/H812)
</f>
        <v>5000</v>
      </c>
      <c r="L812" s="24">
        <f>IF(I812=0,0,CAPITAL!$C$6/I812)
</f>
        <v>20000</v>
      </c>
      <c r="M812" s="24">
        <f>IF(J812=0,0,CAPITAL!$C$7/J812)
</f>
        <v>69444.44444</v>
      </c>
      <c r="N812" s="24">
        <f t="shared" si="1"/>
        <v>94444.44444</v>
      </c>
      <c r="O812" s="24">
        <f t="shared" si="2"/>
        <v>0.05294117647</v>
      </c>
      <c r="P812" s="24">
        <f t="shared" si="3"/>
        <v>0.2117647059</v>
      </c>
      <c r="Q812" s="24">
        <f t="shared" si="4"/>
        <v>0.7352941176</v>
      </c>
    </row>
    <row r="813">
      <c r="A813" s="32"/>
      <c r="B813" s="30"/>
      <c r="C813" s="33"/>
      <c r="D813" s="22"/>
      <c r="E813" s="31"/>
      <c r="F813" s="22"/>
      <c r="G813" s="33"/>
      <c r="H813" s="24">
        <v>30.0</v>
      </c>
      <c r="I813" s="24">
        <v>35.0</v>
      </c>
      <c r="J813" s="24">
        <v>36.0</v>
      </c>
      <c r="K813" s="24">
        <f>IF(H813=0,0,CAPITAL!$C$5/H813)
</f>
        <v>5000</v>
      </c>
      <c r="L813" s="24">
        <f>IF(I813=0,0,CAPITAL!$C$6/I813)
</f>
        <v>20000</v>
      </c>
      <c r="M813" s="24">
        <f>IF(J813=0,0,CAPITAL!$C$7/J813)
</f>
        <v>69444.44444</v>
      </c>
      <c r="N813" s="24">
        <f t="shared" si="1"/>
        <v>94444.44444</v>
      </c>
      <c r="O813" s="24">
        <f t="shared" si="2"/>
        <v>0.05294117647</v>
      </c>
      <c r="P813" s="24">
        <f t="shared" si="3"/>
        <v>0.2117647059</v>
      </c>
      <c r="Q813" s="24">
        <f t="shared" si="4"/>
        <v>0.7352941176</v>
      </c>
    </row>
    <row r="814">
      <c r="A814" s="32"/>
      <c r="B814" s="30"/>
      <c r="C814" s="33"/>
      <c r="D814" s="22"/>
      <c r="E814" s="31"/>
      <c r="F814" s="22"/>
      <c r="G814" s="33"/>
      <c r="H814" s="24">
        <v>30.0</v>
      </c>
      <c r="I814" s="24">
        <v>35.0</v>
      </c>
      <c r="J814" s="24">
        <v>36.0</v>
      </c>
      <c r="K814" s="24">
        <f>IF(H814=0,0,CAPITAL!$C$5/H814)
</f>
        <v>5000</v>
      </c>
      <c r="L814" s="24">
        <f>IF(I814=0,0,CAPITAL!$C$6/I814)
</f>
        <v>20000</v>
      </c>
      <c r="M814" s="24">
        <f>IF(J814=0,0,CAPITAL!$C$7/J814)
</f>
        <v>69444.44444</v>
      </c>
      <c r="N814" s="24">
        <f t="shared" si="1"/>
        <v>94444.44444</v>
      </c>
      <c r="O814" s="24">
        <f t="shared" si="2"/>
        <v>0.05294117647</v>
      </c>
      <c r="P814" s="24">
        <f t="shared" si="3"/>
        <v>0.2117647059</v>
      </c>
      <c r="Q814" s="24">
        <f t="shared" si="4"/>
        <v>0.7352941176</v>
      </c>
    </row>
    <row r="815">
      <c r="A815" s="32"/>
      <c r="B815" s="30"/>
      <c r="C815" s="33"/>
      <c r="D815" s="22"/>
      <c r="E815" s="31"/>
      <c r="F815" s="22"/>
      <c r="G815" s="33"/>
      <c r="H815" s="24">
        <v>30.0</v>
      </c>
      <c r="I815" s="24">
        <v>35.0</v>
      </c>
      <c r="J815" s="24">
        <v>36.0</v>
      </c>
      <c r="K815" s="24">
        <f>IF(H815=0,0,CAPITAL!$C$5/H815)
</f>
        <v>5000</v>
      </c>
      <c r="L815" s="24">
        <f>IF(I815=0,0,CAPITAL!$C$6/I815)
</f>
        <v>20000</v>
      </c>
      <c r="M815" s="24">
        <f>IF(J815=0,0,CAPITAL!$C$7/J815)
</f>
        <v>69444.44444</v>
      </c>
      <c r="N815" s="24">
        <f t="shared" si="1"/>
        <v>94444.44444</v>
      </c>
      <c r="O815" s="24">
        <f t="shared" si="2"/>
        <v>0.05294117647</v>
      </c>
      <c r="P815" s="24">
        <f t="shared" si="3"/>
        <v>0.2117647059</v>
      </c>
      <c r="Q815" s="24">
        <f t="shared" si="4"/>
        <v>0.7352941176</v>
      </c>
    </row>
    <row r="816">
      <c r="A816" s="32"/>
      <c r="B816" s="30"/>
      <c r="C816" s="33"/>
      <c r="D816" s="22"/>
      <c r="E816" s="31"/>
      <c r="F816" s="22"/>
      <c r="G816" s="33"/>
      <c r="H816" s="24">
        <v>30.0</v>
      </c>
      <c r="I816" s="24">
        <v>35.0</v>
      </c>
      <c r="J816" s="24">
        <v>36.0</v>
      </c>
      <c r="K816" s="24">
        <f>IF(H816=0,0,CAPITAL!$C$5/H816)
</f>
        <v>5000</v>
      </c>
      <c r="L816" s="24">
        <f>IF(I816=0,0,CAPITAL!$C$6/I816)
</f>
        <v>20000</v>
      </c>
      <c r="M816" s="24">
        <f>IF(J816=0,0,CAPITAL!$C$7/J816)
</f>
        <v>69444.44444</v>
      </c>
      <c r="N816" s="24">
        <f t="shared" si="1"/>
        <v>94444.44444</v>
      </c>
      <c r="O816" s="24">
        <f t="shared" si="2"/>
        <v>0.05294117647</v>
      </c>
      <c r="P816" s="24">
        <f t="shared" si="3"/>
        <v>0.2117647059</v>
      </c>
      <c r="Q816" s="24">
        <f t="shared" si="4"/>
        <v>0.7352941176</v>
      </c>
    </row>
    <row r="817">
      <c r="A817" s="32"/>
      <c r="B817" s="30"/>
      <c r="C817" s="33"/>
      <c r="D817" s="22"/>
      <c r="E817" s="31"/>
      <c r="F817" s="22"/>
      <c r="G817" s="33"/>
      <c r="H817" s="24">
        <v>30.0</v>
      </c>
      <c r="I817" s="24">
        <v>35.0</v>
      </c>
      <c r="J817" s="24">
        <v>36.0</v>
      </c>
      <c r="K817" s="24">
        <f>IF(H817=0,0,CAPITAL!$C$5/H817)
</f>
        <v>5000</v>
      </c>
      <c r="L817" s="24">
        <f>IF(I817=0,0,CAPITAL!$C$6/I817)
</f>
        <v>20000</v>
      </c>
      <c r="M817" s="24">
        <f>IF(J817=0,0,CAPITAL!$C$7/J817)
</f>
        <v>69444.44444</v>
      </c>
      <c r="N817" s="24">
        <f t="shared" si="1"/>
        <v>94444.44444</v>
      </c>
      <c r="O817" s="24">
        <f t="shared" si="2"/>
        <v>0.05294117647</v>
      </c>
      <c r="P817" s="24">
        <f t="shared" si="3"/>
        <v>0.2117647059</v>
      </c>
      <c r="Q817" s="24">
        <f t="shared" si="4"/>
        <v>0.7352941176</v>
      </c>
    </row>
    <row r="818">
      <c r="A818" s="32"/>
      <c r="B818" s="30"/>
      <c r="C818" s="33"/>
      <c r="D818" s="22"/>
      <c r="E818" s="31"/>
      <c r="F818" s="22"/>
      <c r="G818" s="33"/>
      <c r="H818" s="24">
        <v>30.0</v>
      </c>
      <c r="I818" s="24">
        <v>35.0</v>
      </c>
      <c r="J818" s="24">
        <v>36.0</v>
      </c>
      <c r="K818" s="24">
        <f>IF(H818=0,0,CAPITAL!$C$5/H818)
</f>
        <v>5000</v>
      </c>
      <c r="L818" s="24">
        <f>IF(I818=0,0,CAPITAL!$C$6/I818)
</f>
        <v>20000</v>
      </c>
      <c r="M818" s="24">
        <f>IF(J818=0,0,CAPITAL!$C$7/J818)
</f>
        <v>69444.44444</v>
      </c>
      <c r="N818" s="24">
        <f t="shared" si="1"/>
        <v>94444.44444</v>
      </c>
      <c r="O818" s="24">
        <f t="shared" si="2"/>
        <v>0.05294117647</v>
      </c>
      <c r="P818" s="24">
        <f t="shared" si="3"/>
        <v>0.2117647059</v>
      </c>
      <c r="Q818" s="24">
        <f t="shared" si="4"/>
        <v>0.7352941176</v>
      </c>
    </row>
    <row r="819">
      <c r="A819" s="32"/>
      <c r="B819" s="30"/>
      <c r="C819" s="33"/>
      <c r="D819" s="22"/>
      <c r="E819" s="31"/>
      <c r="F819" s="22"/>
      <c r="G819" s="33"/>
      <c r="H819" s="24">
        <v>30.0</v>
      </c>
      <c r="I819" s="24">
        <v>35.0</v>
      </c>
      <c r="J819" s="24">
        <v>36.0</v>
      </c>
      <c r="K819" s="24">
        <f>IF(H819=0,0,CAPITAL!$C$5/H819)
</f>
        <v>5000</v>
      </c>
      <c r="L819" s="24">
        <f>IF(I819=0,0,CAPITAL!$C$6/I819)
</f>
        <v>20000</v>
      </c>
      <c r="M819" s="24">
        <f>IF(J819=0,0,CAPITAL!$C$7/J819)
</f>
        <v>69444.44444</v>
      </c>
      <c r="N819" s="24">
        <f t="shared" si="1"/>
        <v>94444.44444</v>
      </c>
      <c r="O819" s="24">
        <f t="shared" si="2"/>
        <v>0.05294117647</v>
      </c>
      <c r="P819" s="24">
        <f t="shared" si="3"/>
        <v>0.2117647059</v>
      </c>
      <c r="Q819" s="24">
        <f t="shared" si="4"/>
        <v>0.7352941176</v>
      </c>
    </row>
    <row r="820">
      <c r="A820" s="32"/>
      <c r="B820" s="30"/>
      <c r="C820" s="33"/>
      <c r="D820" s="22"/>
      <c r="E820" s="31"/>
      <c r="F820" s="22"/>
      <c r="G820" s="33"/>
      <c r="H820" s="24">
        <v>30.0</v>
      </c>
      <c r="I820" s="24">
        <v>35.0</v>
      </c>
      <c r="J820" s="24">
        <v>36.0</v>
      </c>
      <c r="K820" s="24">
        <f>IF(H820=0,0,CAPITAL!$C$5/H820)
</f>
        <v>5000</v>
      </c>
      <c r="L820" s="24">
        <f>IF(I820=0,0,CAPITAL!$C$6/I820)
</f>
        <v>20000</v>
      </c>
      <c r="M820" s="24">
        <f>IF(J820=0,0,CAPITAL!$C$7/J820)
</f>
        <v>69444.44444</v>
      </c>
      <c r="N820" s="24">
        <f t="shared" si="1"/>
        <v>94444.44444</v>
      </c>
      <c r="O820" s="24">
        <f t="shared" si="2"/>
        <v>0.05294117647</v>
      </c>
      <c r="P820" s="24">
        <f t="shared" si="3"/>
        <v>0.2117647059</v>
      </c>
      <c r="Q820" s="24">
        <f t="shared" si="4"/>
        <v>0.7352941176</v>
      </c>
    </row>
    <row r="821">
      <c r="A821" s="32"/>
      <c r="B821" s="30"/>
      <c r="C821" s="33"/>
      <c r="D821" s="22"/>
      <c r="E821" s="31"/>
      <c r="F821" s="22"/>
      <c r="G821" s="33"/>
      <c r="H821" s="24">
        <v>30.0</v>
      </c>
      <c r="I821" s="24">
        <v>35.0</v>
      </c>
      <c r="J821" s="24">
        <v>36.0</v>
      </c>
      <c r="K821" s="24">
        <f>IF(H821=0,0,CAPITAL!$C$5/H821)
</f>
        <v>5000</v>
      </c>
      <c r="L821" s="24">
        <f>IF(I821=0,0,CAPITAL!$C$6/I821)
</f>
        <v>20000</v>
      </c>
      <c r="M821" s="24">
        <f>IF(J821=0,0,CAPITAL!$C$7/J821)
</f>
        <v>69444.44444</v>
      </c>
      <c r="N821" s="24">
        <f t="shared" si="1"/>
        <v>94444.44444</v>
      </c>
      <c r="O821" s="24">
        <f t="shared" si="2"/>
        <v>0.05294117647</v>
      </c>
      <c r="P821" s="24">
        <f t="shared" si="3"/>
        <v>0.2117647059</v>
      </c>
      <c r="Q821" s="24">
        <f t="shared" si="4"/>
        <v>0.7352941176</v>
      </c>
    </row>
    <row r="822">
      <c r="A822" s="32"/>
      <c r="B822" s="30"/>
      <c r="C822" s="33"/>
      <c r="D822" s="22"/>
      <c r="E822" s="31"/>
      <c r="F822" s="22"/>
      <c r="G822" s="33"/>
      <c r="H822" s="24">
        <v>30.0</v>
      </c>
      <c r="I822" s="24">
        <v>35.0</v>
      </c>
      <c r="J822" s="24">
        <v>36.0</v>
      </c>
      <c r="K822" s="24">
        <f>IF(H822=0,0,CAPITAL!$C$5/H822)
</f>
        <v>5000</v>
      </c>
      <c r="L822" s="24">
        <f>IF(I822=0,0,CAPITAL!$C$6/I822)
</f>
        <v>20000</v>
      </c>
      <c r="M822" s="24">
        <f>IF(J822=0,0,CAPITAL!$C$7/J822)
</f>
        <v>69444.44444</v>
      </c>
      <c r="N822" s="24">
        <f t="shared" si="1"/>
        <v>94444.44444</v>
      </c>
      <c r="O822" s="24">
        <f t="shared" si="2"/>
        <v>0.05294117647</v>
      </c>
      <c r="P822" s="24">
        <f t="shared" si="3"/>
        <v>0.2117647059</v>
      </c>
      <c r="Q822" s="24">
        <f t="shared" si="4"/>
        <v>0.7352941176</v>
      </c>
    </row>
    <row r="823">
      <c r="A823" s="32"/>
      <c r="B823" s="30"/>
      <c r="C823" s="33"/>
      <c r="D823" s="22"/>
      <c r="E823" s="31"/>
      <c r="F823" s="22"/>
      <c r="G823" s="33"/>
      <c r="H823" s="24">
        <v>30.0</v>
      </c>
      <c r="I823" s="24">
        <v>35.0</v>
      </c>
      <c r="J823" s="24">
        <v>36.0</v>
      </c>
      <c r="K823" s="24">
        <f>IF(H823=0,0,CAPITAL!$C$5/H823)
</f>
        <v>5000</v>
      </c>
      <c r="L823" s="24">
        <f>IF(I823=0,0,CAPITAL!$C$6/I823)
</f>
        <v>20000</v>
      </c>
      <c r="M823" s="24">
        <f>IF(J823=0,0,CAPITAL!$C$7/J823)
</f>
        <v>69444.44444</v>
      </c>
      <c r="N823" s="24">
        <f t="shared" si="1"/>
        <v>94444.44444</v>
      </c>
      <c r="O823" s="24">
        <f t="shared" si="2"/>
        <v>0.05294117647</v>
      </c>
      <c r="P823" s="24">
        <f t="shared" si="3"/>
        <v>0.2117647059</v>
      </c>
      <c r="Q823" s="24">
        <f t="shared" si="4"/>
        <v>0.7352941176</v>
      </c>
    </row>
    <row r="824">
      <c r="A824" s="32"/>
      <c r="B824" s="30"/>
      <c r="C824" s="33"/>
      <c r="D824" s="22"/>
      <c r="E824" s="31"/>
      <c r="F824" s="22"/>
      <c r="G824" s="33"/>
      <c r="H824" s="24">
        <v>30.0</v>
      </c>
      <c r="I824" s="24">
        <v>35.0</v>
      </c>
      <c r="J824" s="24">
        <v>36.0</v>
      </c>
      <c r="K824" s="24">
        <f>IF(H824=0,0,CAPITAL!$C$5/H824)
</f>
        <v>5000</v>
      </c>
      <c r="L824" s="24">
        <f>IF(I824=0,0,CAPITAL!$C$6/I824)
</f>
        <v>20000</v>
      </c>
      <c r="M824" s="24">
        <f>IF(J824=0,0,CAPITAL!$C$7/J824)
</f>
        <v>69444.44444</v>
      </c>
      <c r="N824" s="24">
        <f t="shared" si="1"/>
        <v>94444.44444</v>
      </c>
      <c r="O824" s="24">
        <f t="shared" si="2"/>
        <v>0.05294117647</v>
      </c>
      <c r="P824" s="24">
        <f t="shared" si="3"/>
        <v>0.2117647059</v>
      </c>
      <c r="Q824" s="24">
        <f t="shared" si="4"/>
        <v>0.7352941176</v>
      </c>
    </row>
    <row r="825">
      <c r="A825" s="32"/>
      <c r="B825" s="30"/>
      <c r="C825" s="33"/>
      <c r="D825" s="22"/>
      <c r="E825" s="31"/>
      <c r="F825" s="22"/>
      <c r="G825" s="33"/>
      <c r="H825" s="24">
        <v>30.0</v>
      </c>
      <c r="I825" s="24">
        <v>35.0</v>
      </c>
      <c r="J825" s="24">
        <v>36.0</v>
      </c>
      <c r="K825" s="24">
        <f>IF(H825=0,0,CAPITAL!$C$5/H825)
</f>
        <v>5000</v>
      </c>
      <c r="L825" s="24">
        <f>IF(I825=0,0,CAPITAL!$C$6/I825)
</f>
        <v>20000</v>
      </c>
      <c r="M825" s="24">
        <f>IF(J825=0,0,CAPITAL!$C$7/J825)
</f>
        <v>69444.44444</v>
      </c>
      <c r="N825" s="24">
        <f t="shared" si="1"/>
        <v>94444.44444</v>
      </c>
      <c r="O825" s="24">
        <f t="shared" si="2"/>
        <v>0.05294117647</v>
      </c>
      <c r="P825" s="24">
        <f t="shared" si="3"/>
        <v>0.2117647059</v>
      </c>
      <c r="Q825" s="24">
        <f t="shared" si="4"/>
        <v>0.7352941176</v>
      </c>
    </row>
    <row r="826">
      <c r="A826" s="32"/>
      <c r="B826" s="30"/>
      <c r="C826" s="33"/>
      <c r="D826" s="22"/>
      <c r="E826" s="31"/>
      <c r="F826" s="22"/>
      <c r="G826" s="33"/>
      <c r="H826" s="24">
        <v>30.0</v>
      </c>
      <c r="I826" s="24">
        <v>35.0</v>
      </c>
      <c r="J826" s="24">
        <v>36.0</v>
      </c>
      <c r="K826" s="24">
        <f>IF(H826=0,0,CAPITAL!$C$5/H826)
</f>
        <v>5000</v>
      </c>
      <c r="L826" s="24">
        <f>IF(I826=0,0,CAPITAL!$C$6/I826)
</f>
        <v>20000</v>
      </c>
      <c r="M826" s="24">
        <f>IF(J826=0,0,CAPITAL!$C$7/J826)
</f>
        <v>69444.44444</v>
      </c>
      <c r="N826" s="24">
        <f t="shared" si="1"/>
        <v>94444.44444</v>
      </c>
      <c r="O826" s="24">
        <f t="shared" si="2"/>
        <v>0.05294117647</v>
      </c>
      <c r="P826" s="24">
        <f t="shared" si="3"/>
        <v>0.2117647059</v>
      </c>
      <c r="Q826" s="24">
        <f t="shared" si="4"/>
        <v>0.7352941176</v>
      </c>
    </row>
    <row r="827">
      <c r="A827" s="32"/>
      <c r="B827" s="30"/>
      <c r="C827" s="33"/>
      <c r="D827" s="22"/>
      <c r="E827" s="31"/>
      <c r="F827" s="22"/>
      <c r="G827" s="33"/>
      <c r="H827" s="24">
        <v>30.0</v>
      </c>
      <c r="I827" s="24">
        <v>35.0</v>
      </c>
      <c r="J827" s="24">
        <v>36.0</v>
      </c>
      <c r="K827" s="24">
        <f>IF(H827=0,0,CAPITAL!$C$5/H827)
</f>
        <v>5000</v>
      </c>
      <c r="L827" s="24">
        <f>IF(I827=0,0,CAPITAL!$C$6/I827)
</f>
        <v>20000</v>
      </c>
      <c r="M827" s="24">
        <f>IF(J827=0,0,CAPITAL!$C$7/J827)
</f>
        <v>69444.44444</v>
      </c>
      <c r="N827" s="24">
        <f t="shared" si="1"/>
        <v>94444.44444</v>
      </c>
      <c r="O827" s="24">
        <f t="shared" si="2"/>
        <v>0.05294117647</v>
      </c>
      <c r="P827" s="24">
        <f t="shared" si="3"/>
        <v>0.2117647059</v>
      </c>
      <c r="Q827" s="24">
        <f t="shared" si="4"/>
        <v>0.7352941176</v>
      </c>
    </row>
    <row r="828">
      <c r="A828" s="32"/>
      <c r="B828" s="30"/>
      <c r="C828" s="33"/>
      <c r="D828" s="22"/>
      <c r="E828" s="31"/>
      <c r="F828" s="22"/>
      <c r="G828" s="33"/>
      <c r="H828" s="24">
        <v>30.0</v>
      </c>
      <c r="I828" s="24">
        <v>35.0</v>
      </c>
      <c r="J828" s="24">
        <v>36.0</v>
      </c>
      <c r="K828" s="24">
        <f>IF(H828=0,0,CAPITAL!$C$5/H828)
</f>
        <v>5000</v>
      </c>
      <c r="L828" s="24">
        <f>IF(I828=0,0,CAPITAL!$C$6/I828)
</f>
        <v>20000</v>
      </c>
      <c r="M828" s="24">
        <f>IF(J828=0,0,CAPITAL!$C$7/J828)
</f>
        <v>69444.44444</v>
      </c>
      <c r="N828" s="24">
        <f t="shared" si="1"/>
        <v>94444.44444</v>
      </c>
      <c r="O828" s="24">
        <f t="shared" si="2"/>
        <v>0.05294117647</v>
      </c>
      <c r="P828" s="24">
        <f t="shared" si="3"/>
        <v>0.2117647059</v>
      </c>
      <c r="Q828" s="24">
        <f t="shared" si="4"/>
        <v>0.7352941176</v>
      </c>
    </row>
    <row r="829">
      <c r="A829" s="32"/>
      <c r="B829" s="30"/>
      <c r="C829" s="33"/>
      <c r="D829" s="22"/>
      <c r="E829" s="31"/>
      <c r="F829" s="22"/>
      <c r="G829" s="33"/>
      <c r="H829" s="24">
        <v>30.0</v>
      </c>
      <c r="I829" s="24">
        <v>35.0</v>
      </c>
      <c r="J829" s="24">
        <v>36.0</v>
      </c>
      <c r="K829" s="24">
        <f>IF(H829=0,0,CAPITAL!$C$5/H829)
</f>
        <v>5000</v>
      </c>
      <c r="L829" s="24">
        <f>IF(I829=0,0,CAPITAL!$C$6/I829)
</f>
        <v>20000</v>
      </c>
      <c r="M829" s="24">
        <f>IF(J829=0,0,CAPITAL!$C$7/J829)
</f>
        <v>69444.44444</v>
      </c>
      <c r="N829" s="24">
        <f t="shared" si="1"/>
        <v>94444.44444</v>
      </c>
      <c r="O829" s="24">
        <f t="shared" si="2"/>
        <v>0.05294117647</v>
      </c>
      <c r="P829" s="24">
        <f t="shared" si="3"/>
        <v>0.2117647059</v>
      </c>
      <c r="Q829" s="24">
        <f t="shared" si="4"/>
        <v>0.7352941176</v>
      </c>
    </row>
    <row r="830">
      <c r="A830" s="32"/>
      <c r="B830" s="30"/>
      <c r="C830" s="33"/>
      <c r="D830" s="22"/>
      <c r="E830" s="31"/>
      <c r="F830" s="22"/>
      <c r="G830" s="33"/>
      <c r="H830" s="24">
        <v>30.0</v>
      </c>
      <c r="I830" s="24">
        <v>35.0</v>
      </c>
      <c r="J830" s="24">
        <v>36.0</v>
      </c>
      <c r="K830" s="24">
        <f>IF(H830=0,0,CAPITAL!$C$5/H830)
</f>
        <v>5000</v>
      </c>
      <c r="L830" s="24">
        <f>IF(I830=0,0,CAPITAL!$C$6/I830)
</f>
        <v>20000</v>
      </c>
      <c r="M830" s="24">
        <f>IF(J830=0,0,CAPITAL!$C$7/J830)
</f>
        <v>69444.44444</v>
      </c>
      <c r="N830" s="24">
        <f t="shared" si="1"/>
        <v>94444.44444</v>
      </c>
      <c r="O830" s="24">
        <f t="shared" si="2"/>
        <v>0.05294117647</v>
      </c>
      <c r="P830" s="24">
        <f t="shared" si="3"/>
        <v>0.2117647059</v>
      </c>
      <c r="Q830" s="24">
        <f t="shared" si="4"/>
        <v>0.7352941176</v>
      </c>
    </row>
    <row r="831">
      <c r="A831" s="32"/>
      <c r="B831" s="30"/>
      <c r="C831" s="33"/>
      <c r="D831" s="22"/>
      <c r="E831" s="31"/>
      <c r="F831" s="22"/>
      <c r="G831" s="33"/>
      <c r="H831" s="24">
        <v>30.0</v>
      </c>
      <c r="I831" s="24">
        <v>35.0</v>
      </c>
      <c r="J831" s="24">
        <v>36.0</v>
      </c>
      <c r="K831" s="24">
        <f>IF(H831=0,0,CAPITAL!$C$5/H831)
</f>
        <v>5000</v>
      </c>
      <c r="L831" s="24">
        <f>IF(I831=0,0,CAPITAL!$C$6/I831)
</f>
        <v>20000</v>
      </c>
      <c r="M831" s="24">
        <f>IF(J831=0,0,CAPITAL!$C$7/J831)
</f>
        <v>69444.44444</v>
      </c>
      <c r="N831" s="24">
        <f t="shared" si="1"/>
        <v>94444.44444</v>
      </c>
      <c r="O831" s="24">
        <f t="shared" si="2"/>
        <v>0.05294117647</v>
      </c>
      <c r="P831" s="24">
        <f t="shared" si="3"/>
        <v>0.2117647059</v>
      </c>
      <c r="Q831" s="24">
        <f t="shared" si="4"/>
        <v>0.7352941176</v>
      </c>
    </row>
    <row r="832">
      <c r="A832" s="32"/>
      <c r="B832" s="30"/>
      <c r="C832" s="33"/>
      <c r="D832" s="22"/>
      <c r="E832" s="31"/>
      <c r="F832" s="22"/>
      <c r="G832" s="33"/>
      <c r="H832" s="24">
        <v>30.0</v>
      </c>
      <c r="I832" s="24">
        <v>35.0</v>
      </c>
      <c r="J832" s="24">
        <v>36.0</v>
      </c>
      <c r="K832" s="24">
        <f>IF(H832=0,0,CAPITAL!$C$5/H832)
</f>
        <v>5000</v>
      </c>
      <c r="L832" s="24">
        <f>IF(I832=0,0,CAPITAL!$C$6/I832)
</f>
        <v>20000</v>
      </c>
      <c r="M832" s="24">
        <f>IF(J832=0,0,CAPITAL!$C$7/J832)
</f>
        <v>69444.44444</v>
      </c>
      <c r="N832" s="24">
        <f t="shared" si="1"/>
        <v>94444.44444</v>
      </c>
      <c r="O832" s="24">
        <f t="shared" si="2"/>
        <v>0.05294117647</v>
      </c>
      <c r="P832" s="24">
        <f t="shared" si="3"/>
        <v>0.2117647059</v>
      </c>
      <c r="Q832" s="24">
        <f t="shared" si="4"/>
        <v>0.7352941176</v>
      </c>
    </row>
    <row r="833">
      <c r="A833" s="32"/>
      <c r="B833" s="30"/>
      <c r="C833" s="33"/>
      <c r="D833" s="22"/>
      <c r="E833" s="31"/>
      <c r="F833" s="22"/>
      <c r="G833" s="33"/>
      <c r="H833" s="24">
        <v>30.0</v>
      </c>
      <c r="I833" s="24">
        <v>35.0</v>
      </c>
      <c r="J833" s="24">
        <v>36.0</v>
      </c>
      <c r="K833" s="24">
        <f>IF(H833=0,0,CAPITAL!$C$5/H833)
</f>
        <v>5000</v>
      </c>
      <c r="L833" s="24">
        <f>IF(I833=0,0,CAPITAL!$C$6/I833)
</f>
        <v>20000</v>
      </c>
      <c r="M833" s="24">
        <f>IF(J833=0,0,CAPITAL!$C$7/J833)
</f>
        <v>69444.44444</v>
      </c>
      <c r="N833" s="24">
        <f t="shared" si="1"/>
        <v>94444.44444</v>
      </c>
      <c r="O833" s="24">
        <f t="shared" si="2"/>
        <v>0.05294117647</v>
      </c>
      <c r="P833" s="24">
        <f t="shared" si="3"/>
        <v>0.2117647059</v>
      </c>
      <c r="Q833" s="24">
        <f t="shared" si="4"/>
        <v>0.7352941176</v>
      </c>
    </row>
    <row r="834">
      <c r="A834" s="32"/>
      <c r="B834" s="30"/>
      <c r="C834" s="33"/>
      <c r="D834" s="22"/>
      <c r="E834" s="31"/>
      <c r="F834" s="22"/>
      <c r="G834" s="33"/>
      <c r="H834" s="24">
        <v>30.0</v>
      </c>
      <c r="I834" s="24">
        <v>35.0</v>
      </c>
      <c r="J834" s="24">
        <v>36.0</v>
      </c>
      <c r="K834" s="24">
        <f>IF(H834=0,0,CAPITAL!$C$5/H834)
</f>
        <v>5000</v>
      </c>
      <c r="L834" s="24">
        <f>IF(I834=0,0,CAPITAL!$C$6/I834)
</f>
        <v>20000</v>
      </c>
      <c r="M834" s="24">
        <f>IF(J834=0,0,CAPITAL!$C$7/J834)
</f>
        <v>69444.44444</v>
      </c>
      <c r="N834" s="24">
        <f t="shared" si="1"/>
        <v>94444.44444</v>
      </c>
      <c r="O834" s="24">
        <f t="shared" si="2"/>
        <v>0.05294117647</v>
      </c>
      <c r="P834" s="24">
        <f t="shared" si="3"/>
        <v>0.2117647059</v>
      </c>
      <c r="Q834" s="24">
        <f t="shared" si="4"/>
        <v>0.7352941176</v>
      </c>
    </row>
    <row r="835">
      <c r="A835" s="32"/>
      <c r="B835" s="30"/>
      <c r="C835" s="33"/>
      <c r="D835" s="22"/>
      <c r="E835" s="31"/>
      <c r="F835" s="22"/>
      <c r="G835" s="33"/>
      <c r="H835" s="24">
        <v>30.0</v>
      </c>
      <c r="I835" s="24">
        <v>35.0</v>
      </c>
      <c r="J835" s="24">
        <v>36.0</v>
      </c>
      <c r="K835" s="24">
        <f>IF(H835=0,0,CAPITAL!$C$5/H835)
</f>
        <v>5000</v>
      </c>
      <c r="L835" s="24">
        <f>IF(I835=0,0,CAPITAL!$C$6/I835)
</f>
        <v>20000</v>
      </c>
      <c r="M835" s="24">
        <f>IF(J835=0,0,CAPITAL!$C$7/J835)
</f>
        <v>69444.44444</v>
      </c>
      <c r="N835" s="24">
        <f t="shared" si="1"/>
        <v>94444.44444</v>
      </c>
      <c r="O835" s="24">
        <f t="shared" si="2"/>
        <v>0.05294117647</v>
      </c>
      <c r="P835" s="24">
        <f t="shared" si="3"/>
        <v>0.2117647059</v>
      </c>
      <c r="Q835" s="24">
        <f t="shared" si="4"/>
        <v>0.7352941176</v>
      </c>
    </row>
    <row r="836">
      <c r="A836" s="32"/>
      <c r="B836" s="30"/>
      <c r="C836" s="33"/>
      <c r="D836" s="22"/>
      <c r="E836" s="31"/>
      <c r="F836" s="22"/>
      <c r="G836" s="33"/>
      <c r="H836" s="24">
        <v>30.0</v>
      </c>
      <c r="I836" s="24">
        <v>35.0</v>
      </c>
      <c r="J836" s="24">
        <v>36.0</v>
      </c>
      <c r="K836" s="24">
        <f>IF(H836=0,0,CAPITAL!$C$5/H836)
</f>
        <v>5000</v>
      </c>
      <c r="L836" s="24">
        <f>IF(I836=0,0,CAPITAL!$C$6/I836)
</f>
        <v>20000</v>
      </c>
      <c r="M836" s="24">
        <f>IF(J836=0,0,CAPITAL!$C$7/J836)
</f>
        <v>69444.44444</v>
      </c>
      <c r="N836" s="24">
        <f t="shared" si="1"/>
        <v>94444.44444</v>
      </c>
      <c r="O836" s="24">
        <f t="shared" si="2"/>
        <v>0.05294117647</v>
      </c>
      <c r="P836" s="24">
        <f t="shared" si="3"/>
        <v>0.2117647059</v>
      </c>
      <c r="Q836" s="24">
        <f t="shared" si="4"/>
        <v>0.7352941176</v>
      </c>
    </row>
    <row r="837">
      <c r="A837" s="32"/>
      <c r="B837" s="30"/>
      <c r="C837" s="33"/>
      <c r="D837" s="22"/>
      <c r="E837" s="31"/>
      <c r="F837" s="22"/>
      <c r="G837" s="33"/>
      <c r="H837" s="24">
        <v>30.0</v>
      </c>
      <c r="I837" s="24">
        <v>35.0</v>
      </c>
      <c r="J837" s="24">
        <v>36.0</v>
      </c>
      <c r="K837" s="24">
        <f>IF(H837=0,0,CAPITAL!$C$5/H837)
</f>
        <v>5000</v>
      </c>
      <c r="L837" s="24">
        <f>IF(I837=0,0,CAPITAL!$C$6/I837)
</f>
        <v>20000</v>
      </c>
      <c r="M837" s="24">
        <f>IF(J837=0,0,CAPITAL!$C$7/J837)
</f>
        <v>69444.44444</v>
      </c>
      <c r="N837" s="24">
        <f t="shared" si="1"/>
        <v>94444.44444</v>
      </c>
      <c r="O837" s="24">
        <f t="shared" si="2"/>
        <v>0.05294117647</v>
      </c>
      <c r="P837" s="24">
        <f t="shared" si="3"/>
        <v>0.2117647059</v>
      </c>
      <c r="Q837" s="24">
        <f t="shared" si="4"/>
        <v>0.7352941176</v>
      </c>
    </row>
    <row r="838">
      <c r="A838" s="32"/>
      <c r="B838" s="30"/>
      <c r="C838" s="33"/>
      <c r="D838" s="22"/>
      <c r="E838" s="31"/>
      <c r="F838" s="22"/>
      <c r="G838" s="33"/>
      <c r="H838" s="24">
        <v>30.0</v>
      </c>
      <c r="I838" s="24">
        <v>35.0</v>
      </c>
      <c r="J838" s="24">
        <v>36.0</v>
      </c>
      <c r="K838" s="24">
        <f>IF(H838=0,0,CAPITAL!$C$5/H838)
</f>
        <v>5000</v>
      </c>
      <c r="L838" s="24">
        <f>IF(I838=0,0,CAPITAL!$C$6/I838)
</f>
        <v>20000</v>
      </c>
      <c r="M838" s="24">
        <f>IF(J838=0,0,CAPITAL!$C$7/J838)
</f>
        <v>69444.44444</v>
      </c>
      <c r="N838" s="24">
        <f t="shared" si="1"/>
        <v>94444.44444</v>
      </c>
      <c r="O838" s="24">
        <f t="shared" si="2"/>
        <v>0.05294117647</v>
      </c>
      <c r="P838" s="24">
        <f t="shared" si="3"/>
        <v>0.2117647059</v>
      </c>
      <c r="Q838" s="24">
        <f t="shared" si="4"/>
        <v>0.7352941176</v>
      </c>
    </row>
    <row r="839">
      <c r="A839" s="32"/>
      <c r="B839" s="30"/>
      <c r="C839" s="33"/>
      <c r="D839" s="22"/>
      <c r="E839" s="31"/>
      <c r="F839" s="22"/>
      <c r="G839" s="33"/>
      <c r="H839" s="24">
        <v>30.0</v>
      </c>
      <c r="I839" s="24">
        <v>35.0</v>
      </c>
      <c r="J839" s="24">
        <v>36.0</v>
      </c>
      <c r="K839" s="24">
        <f>IF(H839=0,0,CAPITAL!$C$5/H839)
</f>
        <v>5000</v>
      </c>
      <c r="L839" s="24">
        <f>IF(I839=0,0,CAPITAL!$C$6/I839)
</f>
        <v>20000</v>
      </c>
      <c r="M839" s="24">
        <f>IF(J839=0,0,CAPITAL!$C$7/J839)
</f>
        <v>69444.44444</v>
      </c>
      <c r="N839" s="24">
        <f t="shared" si="1"/>
        <v>94444.44444</v>
      </c>
      <c r="O839" s="24">
        <f t="shared" si="2"/>
        <v>0.05294117647</v>
      </c>
      <c r="P839" s="24">
        <f t="shared" si="3"/>
        <v>0.2117647059</v>
      </c>
      <c r="Q839" s="24">
        <f t="shared" si="4"/>
        <v>0.7352941176</v>
      </c>
    </row>
    <row r="840">
      <c r="A840" s="32"/>
      <c r="B840" s="30"/>
      <c r="C840" s="33"/>
      <c r="D840" s="22"/>
      <c r="E840" s="31"/>
      <c r="F840" s="22"/>
      <c r="G840" s="33"/>
      <c r="H840" s="24">
        <v>30.0</v>
      </c>
      <c r="I840" s="24">
        <v>35.0</v>
      </c>
      <c r="J840" s="24">
        <v>36.0</v>
      </c>
      <c r="K840" s="24">
        <f>IF(H840=0,0,CAPITAL!$C$5/H840)
</f>
        <v>5000</v>
      </c>
      <c r="L840" s="24">
        <f>IF(I840=0,0,CAPITAL!$C$6/I840)
</f>
        <v>20000</v>
      </c>
      <c r="M840" s="24">
        <f>IF(J840=0,0,CAPITAL!$C$7/J840)
</f>
        <v>69444.44444</v>
      </c>
      <c r="N840" s="24">
        <f t="shared" si="1"/>
        <v>94444.44444</v>
      </c>
      <c r="O840" s="24">
        <f t="shared" si="2"/>
        <v>0.05294117647</v>
      </c>
      <c r="P840" s="24">
        <f t="shared" si="3"/>
        <v>0.2117647059</v>
      </c>
      <c r="Q840" s="24">
        <f t="shared" si="4"/>
        <v>0.7352941176</v>
      </c>
    </row>
    <row r="841">
      <c r="A841" s="32"/>
      <c r="B841" s="30"/>
      <c r="C841" s="33"/>
      <c r="D841" s="22"/>
      <c r="E841" s="31"/>
      <c r="F841" s="22"/>
      <c r="G841" s="33"/>
      <c r="H841" s="24">
        <v>30.0</v>
      </c>
      <c r="I841" s="24">
        <v>35.0</v>
      </c>
      <c r="J841" s="24">
        <v>36.0</v>
      </c>
      <c r="K841" s="24">
        <f>IF(H841=0,0,CAPITAL!$C$5/H841)
</f>
        <v>5000</v>
      </c>
      <c r="L841" s="24">
        <f>IF(I841=0,0,CAPITAL!$C$6/I841)
</f>
        <v>20000</v>
      </c>
      <c r="M841" s="24">
        <f>IF(J841=0,0,CAPITAL!$C$7/J841)
</f>
        <v>69444.44444</v>
      </c>
      <c r="N841" s="24">
        <f t="shared" si="1"/>
        <v>94444.44444</v>
      </c>
      <c r="O841" s="24">
        <f t="shared" si="2"/>
        <v>0.05294117647</v>
      </c>
      <c r="P841" s="24">
        <f t="shared" si="3"/>
        <v>0.2117647059</v>
      </c>
      <c r="Q841" s="24">
        <f t="shared" si="4"/>
        <v>0.7352941176</v>
      </c>
    </row>
    <row r="842">
      <c r="A842" s="32"/>
      <c r="B842" s="30"/>
      <c r="C842" s="33"/>
      <c r="D842" s="22"/>
      <c r="E842" s="31"/>
      <c r="F842" s="22"/>
      <c r="G842" s="33"/>
      <c r="H842" s="24">
        <v>30.0</v>
      </c>
      <c r="I842" s="24">
        <v>35.0</v>
      </c>
      <c r="J842" s="24">
        <v>36.0</v>
      </c>
      <c r="K842" s="24">
        <f>IF(H842=0,0,CAPITAL!$C$5/H842)
</f>
        <v>5000</v>
      </c>
      <c r="L842" s="24">
        <f>IF(I842=0,0,CAPITAL!$C$6/I842)
</f>
        <v>20000</v>
      </c>
      <c r="M842" s="24">
        <f>IF(J842=0,0,CAPITAL!$C$7/J842)
</f>
        <v>69444.44444</v>
      </c>
      <c r="N842" s="24">
        <f t="shared" si="1"/>
        <v>94444.44444</v>
      </c>
      <c r="O842" s="24">
        <f t="shared" si="2"/>
        <v>0.05294117647</v>
      </c>
      <c r="P842" s="24">
        <f t="shared" si="3"/>
        <v>0.2117647059</v>
      </c>
      <c r="Q842" s="24">
        <f t="shared" si="4"/>
        <v>0.7352941176</v>
      </c>
    </row>
    <row r="843">
      <c r="A843" s="32"/>
      <c r="B843" s="30"/>
      <c r="C843" s="33"/>
      <c r="D843" s="22"/>
      <c r="E843" s="31"/>
      <c r="F843" s="22"/>
      <c r="G843" s="33"/>
      <c r="H843" s="24">
        <v>30.0</v>
      </c>
      <c r="I843" s="24">
        <v>35.0</v>
      </c>
      <c r="J843" s="24">
        <v>36.0</v>
      </c>
      <c r="K843" s="24">
        <f>IF(H843=0,0,CAPITAL!$C$5/H843)
</f>
        <v>5000</v>
      </c>
      <c r="L843" s="24">
        <f>IF(I843=0,0,CAPITAL!$C$6/I843)
</f>
        <v>20000</v>
      </c>
      <c r="M843" s="24">
        <f>IF(J843=0,0,CAPITAL!$C$7/J843)
</f>
        <v>69444.44444</v>
      </c>
      <c r="N843" s="24">
        <f t="shared" si="1"/>
        <v>94444.44444</v>
      </c>
      <c r="O843" s="24">
        <f t="shared" si="2"/>
        <v>0.05294117647</v>
      </c>
      <c r="P843" s="24">
        <f t="shared" si="3"/>
        <v>0.2117647059</v>
      </c>
      <c r="Q843" s="24">
        <f t="shared" si="4"/>
        <v>0.7352941176</v>
      </c>
    </row>
    <row r="844">
      <c r="A844" s="32"/>
      <c r="B844" s="30"/>
      <c r="C844" s="33"/>
      <c r="D844" s="22"/>
      <c r="E844" s="31"/>
      <c r="F844" s="22"/>
      <c r="G844" s="33"/>
      <c r="H844" s="24">
        <v>30.0</v>
      </c>
      <c r="I844" s="24">
        <v>35.0</v>
      </c>
      <c r="J844" s="24">
        <v>36.0</v>
      </c>
      <c r="K844" s="24">
        <f>IF(H844=0,0,CAPITAL!$C$5/H844)
</f>
        <v>5000</v>
      </c>
      <c r="L844" s="24">
        <f>IF(I844=0,0,CAPITAL!$C$6/I844)
</f>
        <v>20000</v>
      </c>
      <c r="M844" s="24">
        <f>IF(J844=0,0,CAPITAL!$C$7/J844)
</f>
        <v>69444.44444</v>
      </c>
      <c r="N844" s="24">
        <f t="shared" si="1"/>
        <v>94444.44444</v>
      </c>
      <c r="O844" s="24">
        <f t="shared" si="2"/>
        <v>0.05294117647</v>
      </c>
      <c r="P844" s="24">
        <f t="shared" si="3"/>
        <v>0.2117647059</v>
      </c>
      <c r="Q844" s="24">
        <f t="shared" si="4"/>
        <v>0.7352941176</v>
      </c>
    </row>
    <row r="845">
      <c r="A845" s="32"/>
      <c r="B845" s="30"/>
      <c r="C845" s="33"/>
      <c r="D845" s="22"/>
      <c r="E845" s="31"/>
      <c r="F845" s="22"/>
      <c r="G845" s="33"/>
      <c r="H845" s="24">
        <v>30.0</v>
      </c>
      <c r="I845" s="24">
        <v>35.0</v>
      </c>
      <c r="J845" s="24">
        <v>36.0</v>
      </c>
      <c r="K845" s="24">
        <f>IF(H845=0,0,CAPITAL!$C$5/H845)
</f>
        <v>5000</v>
      </c>
      <c r="L845" s="24">
        <f>IF(I845=0,0,CAPITAL!$C$6/I845)
</f>
        <v>20000</v>
      </c>
      <c r="M845" s="24">
        <f>IF(J845=0,0,CAPITAL!$C$7/J845)
</f>
        <v>69444.44444</v>
      </c>
      <c r="N845" s="24">
        <f t="shared" si="1"/>
        <v>94444.44444</v>
      </c>
      <c r="O845" s="24">
        <f t="shared" si="2"/>
        <v>0.05294117647</v>
      </c>
      <c r="P845" s="24">
        <f t="shared" si="3"/>
        <v>0.2117647059</v>
      </c>
      <c r="Q845" s="24">
        <f t="shared" si="4"/>
        <v>0.7352941176</v>
      </c>
    </row>
    <row r="846">
      <c r="A846" s="32"/>
      <c r="B846" s="30"/>
      <c r="C846" s="33"/>
      <c r="D846" s="22"/>
      <c r="E846" s="31"/>
      <c r="F846" s="22"/>
      <c r="G846" s="33"/>
      <c r="H846" s="24">
        <v>30.0</v>
      </c>
      <c r="I846" s="24">
        <v>35.0</v>
      </c>
      <c r="J846" s="24">
        <v>36.0</v>
      </c>
      <c r="K846" s="24">
        <f>IF(H846=0,0,CAPITAL!$C$5/H846)
</f>
        <v>5000</v>
      </c>
      <c r="L846" s="24">
        <f>IF(I846=0,0,CAPITAL!$C$6/I846)
</f>
        <v>20000</v>
      </c>
      <c r="M846" s="24">
        <f>IF(J846=0,0,CAPITAL!$C$7/J846)
</f>
        <v>69444.44444</v>
      </c>
      <c r="N846" s="24">
        <f t="shared" si="1"/>
        <v>94444.44444</v>
      </c>
      <c r="O846" s="24">
        <f t="shared" si="2"/>
        <v>0.05294117647</v>
      </c>
      <c r="P846" s="24">
        <f t="shared" si="3"/>
        <v>0.2117647059</v>
      </c>
      <c r="Q846" s="24">
        <f t="shared" si="4"/>
        <v>0.7352941176</v>
      </c>
    </row>
    <row r="847">
      <c r="A847" s="32"/>
      <c r="B847" s="30"/>
      <c r="C847" s="33"/>
      <c r="D847" s="22"/>
      <c r="E847" s="31"/>
      <c r="F847" s="22"/>
      <c r="G847" s="33"/>
      <c r="H847" s="24">
        <v>30.0</v>
      </c>
      <c r="I847" s="24">
        <v>35.0</v>
      </c>
      <c r="J847" s="24">
        <v>36.0</v>
      </c>
      <c r="K847" s="24">
        <f>IF(H847=0,0,CAPITAL!$C$5/H847)
</f>
        <v>5000</v>
      </c>
      <c r="L847" s="24">
        <f>IF(I847=0,0,CAPITAL!$C$6/I847)
</f>
        <v>20000</v>
      </c>
      <c r="M847" s="24">
        <f>IF(J847=0,0,CAPITAL!$C$7/J847)
</f>
        <v>69444.44444</v>
      </c>
      <c r="N847" s="24">
        <f t="shared" si="1"/>
        <v>94444.44444</v>
      </c>
      <c r="O847" s="24">
        <f t="shared" si="2"/>
        <v>0.05294117647</v>
      </c>
      <c r="P847" s="24">
        <f t="shared" si="3"/>
        <v>0.2117647059</v>
      </c>
      <c r="Q847" s="24">
        <f t="shared" si="4"/>
        <v>0.7352941176</v>
      </c>
    </row>
    <row r="848">
      <c r="A848" s="32"/>
      <c r="B848" s="30"/>
      <c r="C848" s="33"/>
      <c r="D848" s="22"/>
      <c r="E848" s="31"/>
      <c r="F848" s="22"/>
      <c r="G848" s="33"/>
      <c r="H848" s="24">
        <v>30.0</v>
      </c>
      <c r="I848" s="24">
        <v>35.0</v>
      </c>
      <c r="J848" s="24">
        <v>36.0</v>
      </c>
      <c r="K848" s="24">
        <f>IF(H848=0,0,CAPITAL!$C$5/H848)
</f>
        <v>5000</v>
      </c>
      <c r="L848" s="24">
        <f>IF(I848=0,0,CAPITAL!$C$6/I848)
</f>
        <v>20000</v>
      </c>
      <c r="M848" s="24">
        <f>IF(J848=0,0,CAPITAL!$C$7/J848)
</f>
        <v>69444.44444</v>
      </c>
      <c r="N848" s="24">
        <f t="shared" si="1"/>
        <v>94444.44444</v>
      </c>
      <c r="O848" s="24">
        <f t="shared" si="2"/>
        <v>0.05294117647</v>
      </c>
      <c r="P848" s="24">
        <f t="shared" si="3"/>
        <v>0.2117647059</v>
      </c>
      <c r="Q848" s="24">
        <f t="shared" si="4"/>
        <v>0.7352941176</v>
      </c>
    </row>
    <row r="849">
      <c r="A849" s="32"/>
      <c r="B849" s="30"/>
      <c r="C849" s="33"/>
      <c r="D849" s="22"/>
      <c r="E849" s="31"/>
      <c r="F849" s="22"/>
      <c r="G849" s="33"/>
      <c r="H849" s="24">
        <v>30.0</v>
      </c>
      <c r="I849" s="24">
        <v>35.0</v>
      </c>
      <c r="J849" s="24">
        <v>36.0</v>
      </c>
      <c r="K849" s="24">
        <f>IF(H849=0,0,CAPITAL!$C$5/H849)
</f>
        <v>5000</v>
      </c>
      <c r="L849" s="24">
        <f>IF(I849=0,0,CAPITAL!$C$6/I849)
</f>
        <v>20000</v>
      </c>
      <c r="M849" s="24">
        <f>IF(J849=0,0,CAPITAL!$C$7/J849)
</f>
        <v>69444.44444</v>
      </c>
      <c r="N849" s="24">
        <f t="shared" si="1"/>
        <v>94444.44444</v>
      </c>
      <c r="O849" s="24">
        <f t="shared" si="2"/>
        <v>0.05294117647</v>
      </c>
      <c r="P849" s="24">
        <f t="shared" si="3"/>
        <v>0.2117647059</v>
      </c>
      <c r="Q849" s="24">
        <f t="shared" si="4"/>
        <v>0.7352941176</v>
      </c>
    </row>
    <row r="850">
      <c r="A850" s="32"/>
      <c r="B850" s="30"/>
      <c r="C850" s="33"/>
      <c r="D850" s="22"/>
      <c r="E850" s="31"/>
      <c r="F850" s="22"/>
      <c r="G850" s="33"/>
      <c r="H850" s="24">
        <v>30.0</v>
      </c>
      <c r="I850" s="24">
        <v>35.0</v>
      </c>
      <c r="J850" s="24">
        <v>36.0</v>
      </c>
      <c r="K850" s="24">
        <f>IF(H850=0,0,CAPITAL!$C$5/H850)
</f>
        <v>5000</v>
      </c>
      <c r="L850" s="24">
        <f>IF(I850=0,0,CAPITAL!$C$6/I850)
</f>
        <v>20000</v>
      </c>
      <c r="M850" s="24">
        <f>IF(J850=0,0,CAPITAL!$C$7/J850)
</f>
        <v>69444.44444</v>
      </c>
      <c r="N850" s="24">
        <f t="shared" si="1"/>
        <v>94444.44444</v>
      </c>
      <c r="O850" s="24">
        <f t="shared" si="2"/>
        <v>0.05294117647</v>
      </c>
      <c r="P850" s="24">
        <f t="shared" si="3"/>
        <v>0.2117647059</v>
      </c>
      <c r="Q850" s="24">
        <f t="shared" si="4"/>
        <v>0.7352941176</v>
      </c>
    </row>
    <row r="851">
      <c r="A851" s="32"/>
      <c r="B851" s="30"/>
      <c r="C851" s="33"/>
      <c r="D851" s="22"/>
      <c r="E851" s="31"/>
      <c r="F851" s="22"/>
      <c r="G851" s="33"/>
      <c r="H851" s="24">
        <v>30.0</v>
      </c>
      <c r="I851" s="24">
        <v>35.0</v>
      </c>
      <c r="J851" s="24">
        <v>36.0</v>
      </c>
      <c r="K851" s="24">
        <f>IF(H851=0,0,CAPITAL!$C$5/H851)
</f>
        <v>5000</v>
      </c>
      <c r="L851" s="24">
        <f>IF(I851=0,0,CAPITAL!$C$6/I851)
</f>
        <v>20000</v>
      </c>
      <c r="M851" s="24">
        <f>IF(J851=0,0,CAPITAL!$C$7/J851)
</f>
        <v>69444.44444</v>
      </c>
      <c r="N851" s="24">
        <f t="shared" si="1"/>
        <v>94444.44444</v>
      </c>
      <c r="O851" s="24">
        <f t="shared" si="2"/>
        <v>0.05294117647</v>
      </c>
      <c r="P851" s="24">
        <f t="shared" si="3"/>
        <v>0.2117647059</v>
      </c>
      <c r="Q851" s="24">
        <f t="shared" si="4"/>
        <v>0.7352941176</v>
      </c>
    </row>
    <row r="852">
      <c r="A852" s="32"/>
      <c r="B852" s="30"/>
      <c r="C852" s="33"/>
      <c r="D852" s="22"/>
      <c r="E852" s="31"/>
      <c r="F852" s="22"/>
      <c r="G852" s="33"/>
      <c r="H852" s="24">
        <v>30.0</v>
      </c>
      <c r="I852" s="24">
        <v>35.0</v>
      </c>
      <c r="J852" s="24">
        <v>36.0</v>
      </c>
      <c r="K852" s="24">
        <f>IF(H852=0,0,CAPITAL!$C$5/H852)
</f>
        <v>5000</v>
      </c>
      <c r="L852" s="24">
        <f>IF(I852=0,0,CAPITAL!$C$6/I852)
</f>
        <v>20000</v>
      </c>
      <c r="M852" s="24">
        <f>IF(J852=0,0,CAPITAL!$C$7/J852)
</f>
        <v>69444.44444</v>
      </c>
      <c r="N852" s="24">
        <f t="shared" si="1"/>
        <v>94444.44444</v>
      </c>
      <c r="O852" s="24">
        <f t="shared" si="2"/>
        <v>0.05294117647</v>
      </c>
      <c r="P852" s="24">
        <f t="shared" si="3"/>
        <v>0.2117647059</v>
      </c>
      <c r="Q852" s="24">
        <f t="shared" si="4"/>
        <v>0.7352941176</v>
      </c>
    </row>
    <row r="853">
      <c r="A853" s="32"/>
      <c r="B853" s="30"/>
      <c r="C853" s="33"/>
      <c r="D853" s="22"/>
      <c r="E853" s="31"/>
      <c r="F853" s="22"/>
      <c r="G853" s="33"/>
      <c r="H853" s="24">
        <v>30.0</v>
      </c>
      <c r="I853" s="24">
        <v>35.0</v>
      </c>
      <c r="J853" s="24">
        <v>36.0</v>
      </c>
      <c r="K853" s="24">
        <f>IF(H853=0,0,CAPITAL!$C$5/H853)
</f>
        <v>5000</v>
      </c>
      <c r="L853" s="24">
        <f>IF(I853=0,0,CAPITAL!$C$6/I853)
</f>
        <v>20000</v>
      </c>
      <c r="M853" s="24">
        <f>IF(J853=0,0,CAPITAL!$C$7/J853)
</f>
        <v>69444.44444</v>
      </c>
      <c r="N853" s="24">
        <f t="shared" si="1"/>
        <v>94444.44444</v>
      </c>
      <c r="O853" s="24">
        <f t="shared" si="2"/>
        <v>0.05294117647</v>
      </c>
      <c r="P853" s="24">
        <f t="shared" si="3"/>
        <v>0.2117647059</v>
      </c>
      <c r="Q853" s="24">
        <f t="shared" si="4"/>
        <v>0.7352941176</v>
      </c>
    </row>
    <row r="854">
      <c r="A854" s="32"/>
      <c r="B854" s="30"/>
      <c r="C854" s="33"/>
      <c r="D854" s="22"/>
      <c r="E854" s="31"/>
      <c r="F854" s="22"/>
      <c r="G854" s="33"/>
      <c r="H854" s="24">
        <v>30.0</v>
      </c>
      <c r="I854" s="24">
        <v>35.0</v>
      </c>
      <c r="J854" s="24">
        <v>36.0</v>
      </c>
      <c r="K854" s="24">
        <f>IF(H854=0,0,CAPITAL!$C$5/H854)
</f>
        <v>5000</v>
      </c>
      <c r="L854" s="24">
        <f>IF(I854=0,0,CAPITAL!$C$6/I854)
</f>
        <v>20000</v>
      </c>
      <c r="M854" s="24">
        <f>IF(J854=0,0,CAPITAL!$C$7/J854)
</f>
        <v>69444.44444</v>
      </c>
      <c r="N854" s="24">
        <f t="shared" si="1"/>
        <v>94444.44444</v>
      </c>
      <c r="O854" s="24">
        <f t="shared" si="2"/>
        <v>0.05294117647</v>
      </c>
      <c r="P854" s="24">
        <f t="shared" si="3"/>
        <v>0.2117647059</v>
      </c>
      <c r="Q854" s="24">
        <f t="shared" si="4"/>
        <v>0.7352941176</v>
      </c>
    </row>
    <row r="855">
      <c r="A855" s="32"/>
      <c r="B855" s="30"/>
      <c r="C855" s="33"/>
      <c r="D855" s="22"/>
      <c r="E855" s="31"/>
      <c r="F855" s="22"/>
      <c r="G855" s="33"/>
      <c r="H855" s="24">
        <v>30.0</v>
      </c>
      <c r="I855" s="24">
        <v>35.0</v>
      </c>
      <c r="J855" s="24">
        <v>36.0</v>
      </c>
      <c r="K855" s="24">
        <f>IF(H855=0,0,CAPITAL!$C$5/H855)
</f>
        <v>5000</v>
      </c>
      <c r="L855" s="24">
        <f>IF(I855=0,0,CAPITAL!$C$6/I855)
</f>
        <v>20000</v>
      </c>
      <c r="M855" s="24">
        <f>IF(J855=0,0,CAPITAL!$C$7/J855)
</f>
        <v>69444.44444</v>
      </c>
      <c r="N855" s="24">
        <f t="shared" si="1"/>
        <v>94444.44444</v>
      </c>
      <c r="O855" s="24">
        <f t="shared" si="2"/>
        <v>0.05294117647</v>
      </c>
      <c r="P855" s="24">
        <f t="shared" si="3"/>
        <v>0.2117647059</v>
      </c>
      <c r="Q855" s="24">
        <f t="shared" si="4"/>
        <v>0.7352941176</v>
      </c>
    </row>
    <row r="856">
      <c r="A856" s="32"/>
      <c r="B856" s="30"/>
      <c r="C856" s="33"/>
      <c r="D856" s="22"/>
      <c r="E856" s="31"/>
      <c r="F856" s="22"/>
      <c r="G856" s="33"/>
      <c r="H856" s="24">
        <v>30.0</v>
      </c>
      <c r="I856" s="24">
        <v>35.0</v>
      </c>
      <c r="J856" s="24">
        <v>36.0</v>
      </c>
      <c r="K856" s="24">
        <f>IF(H856=0,0,CAPITAL!$C$5/H856)
</f>
        <v>5000</v>
      </c>
      <c r="L856" s="24">
        <f>IF(I856=0,0,CAPITAL!$C$6/I856)
</f>
        <v>20000</v>
      </c>
      <c r="M856" s="24">
        <f>IF(J856=0,0,CAPITAL!$C$7/J856)
</f>
        <v>69444.44444</v>
      </c>
      <c r="N856" s="24">
        <f t="shared" si="1"/>
        <v>94444.44444</v>
      </c>
      <c r="O856" s="24">
        <f t="shared" si="2"/>
        <v>0.05294117647</v>
      </c>
      <c r="P856" s="24">
        <f t="shared" si="3"/>
        <v>0.2117647059</v>
      </c>
      <c r="Q856" s="24">
        <f t="shared" si="4"/>
        <v>0.7352941176</v>
      </c>
    </row>
    <row r="857">
      <c r="A857" s="32"/>
      <c r="B857" s="30"/>
      <c r="C857" s="33"/>
      <c r="D857" s="22"/>
      <c r="E857" s="31"/>
      <c r="F857" s="22"/>
      <c r="G857" s="33"/>
      <c r="H857" s="24">
        <v>30.0</v>
      </c>
      <c r="I857" s="24">
        <v>35.0</v>
      </c>
      <c r="J857" s="24">
        <v>36.0</v>
      </c>
      <c r="K857" s="24">
        <f>IF(H857=0,0,CAPITAL!$C$5/H857)
</f>
        <v>5000</v>
      </c>
      <c r="L857" s="24">
        <f>IF(I857=0,0,CAPITAL!$C$6/I857)
</f>
        <v>20000</v>
      </c>
      <c r="M857" s="24">
        <f>IF(J857=0,0,CAPITAL!$C$7/J857)
</f>
        <v>69444.44444</v>
      </c>
      <c r="N857" s="24">
        <f t="shared" si="1"/>
        <v>94444.44444</v>
      </c>
      <c r="O857" s="24">
        <f t="shared" si="2"/>
        <v>0.05294117647</v>
      </c>
      <c r="P857" s="24">
        <f t="shared" si="3"/>
        <v>0.2117647059</v>
      </c>
      <c r="Q857" s="24">
        <f t="shared" si="4"/>
        <v>0.7352941176</v>
      </c>
    </row>
    <row r="858">
      <c r="A858" s="32"/>
      <c r="B858" s="30"/>
      <c r="C858" s="33"/>
      <c r="D858" s="22"/>
      <c r="E858" s="31"/>
      <c r="F858" s="22"/>
      <c r="G858" s="33"/>
      <c r="H858" s="24">
        <v>30.0</v>
      </c>
      <c r="I858" s="24">
        <v>35.0</v>
      </c>
      <c r="J858" s="24">
        <v>36.0</v>
      </c>
      <c r="K858" s="24">
        <f>IF(H858=0,0,CAPITAL!$C$5/H858)
</f>
        <v>5000</v>
      </c>
      <c r="L858" s="24">
        <f>IF(I858=0,0,CAPITAL!$C$6/I858)
</f>
        <v>20000</v>
      </c>
      <c r="M858" s="24">
        <f>IF(J858=0,0,CAPITAL!$C$7/J858)
</f>
        <v>69444.44444</v>
      </c>
      <c r="N858" s="24">
        <f t="shared" si="1"/>
        <v>94444.44444</v>
      </c>
      <c r="O858" s="24">
        <f t="shared" si="2"/>
        <v>0.05294117647</v>
      </c>
      <c r="P858" s="24">
        <f t="shared" si="3"/>
        <v>0.2117647059</v>
      </c>
      <c r="Q858" s="24">
        <f t="shared" si="4"/>
        <v>0.7352941176</v>
      </c>
    </row>
    <row r="859">
      <c r="A859" s="32"/>
      <c r="B859" s="30"/>
      <c r="C859" s="33"/>
      <c r="D859" s="22"/>
      <c r="E859" s="31"/>
      <c r="F859" s="22"/>
      <c r="G859" s="33"/>
      <c r="H859" s="24">
        <v>30.0</v>
      </c>
      <c r="I859" s="24">
        <v>35.0</v>
      </c>
      <c r="J859" s="24">
        <v>36.0</v>
      </c>
      <c r="K859" s="24">
        <f>IF(H859=0,0,CAPITAL!$C$5/H859)
</f>
        <v>5000</v>
      </c>
      <c r="L859" s="24">
        <f>IF(I859=0,0,CAPITAL!$C$6/I859)
</f>
        <v>20000</v>
      </c>
      <c r="M859" s="24">
        <f>IF(J859=0,0,CAPITAL!$C$7/J859)
</f>
        <v>69444.44444</v>
      </c>
      <c r="N859" s="24">
        <f t="shared" si="1"/>
        <v>94444.44444</v>
      </c>
      <c r="O859" s="24">
        <f t="shared" si="2"/>
        <v>0.05294117647</v>
      </c>
      <c r="P859" s="24">
        <f t="shared" si="3"/>
        <v>0.2117647059</v>
      </c>
      <c r="Q859" s="24">
        <f t="shared" si="4"/>
        <v>0.7352941176</v>
      </c>
    </row>
    <row r="860">
      <c r="A860" s="32"/>
      <c r="B860" s="30"/>
      <c r="C860" s="33"/>
      <c r="D860" s="22"/>
      <c r="E860" s="31"/>
      <c r="F860" s="22"/>
      <c r="G860" s="33"/>
      <c r="H860" s="24">
        <v>30.0</v>
      </c>
      <c r="I860" s="24">
        <v>35.0</v>
      </c>
      <c r="J860" s="24">
        <v>36.0</v>
      </c>
      <c r="K860" s="24">
        <f>IF(H860=0,0,CAPITAL!$C$5/H860)
</f>
        <v>5000</v>
      </c>
      <c r="L860" s="24">
        <f>IF(I860=0,0,CAPITAL!$C$6/I860)
</f>
        <v>20000</v>
      </c>
      <c r="M860" s="24">
        <f>IF(J860=0,0,CAPITAL!$C$7/J860)
</f>
        <v>69444.44444</v>
      </c>
      <c r="N860" s="24">
        <f t="shared" si="1"/>
        <v>94444.44444</v>
      </c>
      <c r="O860" s="24">
        <f t="shared" si="2"/>
        <v>0.05294117647</v>
      </c>
      <c r="P860" s="24">
        <f t="shared" si="3"/>
        <v>0.2117647059</v>
      </c>
      <c r="Q860" s="24">
        <f t="shared" si="4"/>
        <v>0.7352941176</v>
      </c>
    </row>
    <row r="861">
      <c r="A861" s="32"/>
      <c r="B861" s="30"/>
      <c r="C861" s="33"/>
      <c r="D861" s="22"/>
      <c r="E861" s="31"/>
      <c r="F861" s="22"/>
      <c r="G861" s="33"/>
      <c r="H861" s="24">
        <v>30.0</v>
      </c>
      <c r="I861" s="24">
        <v>35.0</v>
      </c>
      <c r="J861" s="24">
        <v>36.0</v>
      </c>
      <c r="K861" s="24">
        <f>IF(H861=0,0,CAPITAL!$C$5/H861)
</f>
        <v>5000</v>
      </c>
      <c r="L861" s="24">
        <f>IF(I861=0,0,CAPITAL!$C$6/I861)
</f>
        <v>20000</v>
      </c>
      <c r="M861" s="24">
        <f>IF(J861=0,0,CAPITAL!$C$7/J861)
</f>
        <v>69444.44444</v>
      </c>
      <c r="N861" s="24">
        <f t="shared" si="1"/>
        <v>94444.44444</v>
      </c>
      <c r="O861" s="24">
        <f t="shared" si="2"/>
        <v>0.05294117647</v>
      </c>
      <c r="P861" s="24">
        <f t="shared" si="3"/>
        <v>0.2117647059</v>
      </c>
      <c r="Q861" s="24">
        <f t="shared" si="4"/>
        <v>0.7352941176</v>
      </c>
    </row>
    <row r="862">
      <c r="A862" s="32"/>
      <c r="B862" s="30"/>
      <c r="C862" s="33"/>
      <c r="D862" s="22"/>
      <c r="E862" s="31"/>
      <c r="F862" s="22"/>
      <c r="G862" s="33"/>
      <c r="H862" s="24">
        <v>30.0</v>
      </c>
      <c r="I862" s="24">
        <v>35.0</v>
      </c>
      <c r="J862" s="24">
        <v>36.0</v>
      </c>
      <c r="K862" s="24">
        <f>IF(H862=0,0,CAPITAL!$C$5/H862)
</f>
        <v>5000</v>
      </c>
      <c r="L862" s="24">
        <f>IF(I862=0,0,CAPITAL!$C$6/I862)
</f>
        <v>20000</v>
      </c>
      <c r="M862" s="24">
        <f>IF(J862=0,0,CAPITAL!$C$7/J862)
</f>
        <v>69444.44444</v>
      </c>
      <c r="N862" s="24">
        <f t="shared" si="1"/>
        <v>94444.44444</v>
      </c>
      <c r="O862" s="24">
        <f t="shared" si="2"/>
        <v>0.05294117647</v>
      </c>
      <c r="P862" s="24">
        <f t="shared" si="3"/>
        <v>0.2117647059</v>
      </c>
      <c r="Q862" s="24">
        <f t="shared" si="4"/>
        <v>0.7352941176</v>
      </c>
    </row>
    <row r="863">
      <c r="A863" s="32"/>
      <c r="B863" s="30"/>
      <c r="C863" s="33"/>
      <c r="D863" s="22"/>
      <c r="E863" s="31"/>
      <c r="F863" s="22"/>
      <c r="G863" s="33"/>
      <c r="H863" s="24">
        <v>30.0</v>
      </c>
      <c r="I863" s="24">
        <v>35.0</v>
      </c>
      <c r="J863" s="24">
        <v>36.0</v>
      </c>
      <c r="K863" s="24">
        <f>IF(H863=0,0,CAPITAL!$C$5/H863)
</f>
        <v>5000</v>
      </c>
      <c r="L863" s="24">
        <f>IF(I863=0,0,CAPITAL!$C$6/I863)
</f>
        <v>20000</v>
      </c>
      <c r="M863" s="24">
        <f>IF(J863=0,0,CAPITAL!$C$7/J863)
</f>
        <v>69444.44444</v>
      </c>
      <c r="N863" s="24">
        <f t="shared" si="1"/>
        <v>94444.44444</v>
      </c>
      <c r="O863" s="24">
        <f t="shared" si="2"/>
        <v>0.05294117647</v>
      </c>
      <c r="P863" s="24">
        <f t="shared" si="3"/>
        <v>0.2117647059</v>
      </c>
      <c r="Q863" s="24">
        <f t="shared" si="4"/>
        <v>0.7352941176</v>
      </c>
    </row>
    <row r="864">
      <c r="A864" s="32"/>
      <c r="B864" s="30"/>
      <c r="C864" s="33"/>
      <c r="D864" s="22"/>
      <c r="E864" s="31"/>
      <c r="F864" s="22"/>
      <c r="G864" s="33"/>
      <c r="H864" s="24">
        <v>30.0</v>
      </c>
      <c r="I864" s="24">
        <v>35.0</v>
      </c>
      <c r="J864" s="24">
        <v>36.0</v>
      </c>
      <c r="K864" s="24">
        <f>IF(H864=0,0,CAPITAL!$C$5/H864)
</f>
        <v>5000</v>
      </c>
      <c r="L864" s="24">
        <f>IF(I864=0,0,CAPITAL!$C$6/I864)
</f>
        <v>20000</v>
      </c>
      <c r="M864" s="24">
        <f>IF(J864=0,0,CAPITAL!$C$7/J864)
</f>
        <v>69444.44444</v>
      </c>
      <c r="N864" s="24">
        <f t="shared" si="1"/>
        <v>94444.44444</v>
      </c>
      <c r="O864" s="24">
        <f t="shared" si="2"/>
        <v>0.05294117647</v>
      </c>
      <c r="P864" s="24">
        <f t="shared" si="3"/>
        <v>0.2117647059</v>
      </c>
      <c r="Q864" s="24">
        <f t="shared" si="4"/>
        <v>0.7352941176</v>
      </c>
    </row>
    <row r="865">
      <c r="A865" s="32"/>
      <c r="B865" s="30"/>
      <c r="C865" s="33"/>
      <c r="D865" s="22"/>
      <c r="E865" s="31"/>
      <c r="F865" s="22"/>
      <c r="G865" s="33"/>
      <c r="H865" s="24">
        <v>30.0</v>
      </c>
      <c r="I865" s="24">
        <v>35.0</v>
      </c>
      <c r="J865" s="24">
        <v>36.0</v>
      </c>
      <c r="K865" s="24">
        <f>IF(H865=0,0,CAPITAL!$C$5/H865)
</f>
        <v>5000</v>
      </c>
      <c r="L865" s="24">
        <f>IF(I865=0,0,CAPITAL!$C$6/I865)
</f>
        <v>20000</v>
      </c>
      <c r="M865" s="24">
        <f>IF(J865=0,0,CAPITAL!$C$7/J865)
</f>
        <v>69444.44444</v>
      </c>
      <c r="N865" s="24">
        <f t="shared" si="1"/>
        <v>94444.44444</v>
      </c>
      <c r="O865" s="24">
        <f t="shared" si="2"/>
        <v>0.05294117647</v>
      </c>
      <c r="P865" s="24">
        <f t="shared" si="3"/>
        <v>0.2117647059</v>
      </c>
      <c r="Q865" s="24">
        <f t="shared" si="4"/>
        <v>0.7352941176</v>
      </c>
    </row>
    <row r="866">
      <c r="A866" s="32"/>
      <c r="B866" s="30"/>
      <c r="C866" s="33"/>
      <c r="D866" s="22"/>
      <c r="E866" s="31"/>
      <c r="F866" s="22"/>
      <c r="G866" s="33"/>
      <c r="H866" s="24">
        <v>30.0</v>
      </c>
      <c r="I866" s="24">
        <v>35.0</v>
      </c>
      <c r="J866" s="24">
        <v>36.0</v>
      </c>
      <c r="K866" s="24">
        <f>IF(H866=0,0,CAPITAL!$C$5/H866)
</f>
        <v>5000</v>
      </c>
      <c r="L866" s="24">
        <f>IF(I866=0,0,CAPITAL!$C$6/I866)
</f>
        <v>20000</v>
      </c>
      <c r="M866" s="24">
        <f>IF(J866=0,0,CAPITAL!$C$7/J866)
</f>
        <v>69444.44444</v>
      </c>
      <c r="N866" s="24">
        <f t="shared" si="1"/>
        <v>94444.44444</v>
      </c>
      <c r="O866" s="24">
        <f t="shared" si="2"/>
        <v>0.05294117647</v>
      </c>
      <c r="P866" s="24">
        <f t="shared" si="3"/>
        <v>0.2117647059</v>
      </c>
      <c r="Q866" s="24">
        <f t="shared" si="4"/>
        <v>0.7352941176</v>
      </c>
    </row>
    <row r="867">
      <c r="A867" s="32"/>
      <c r="B867" s="30"/>
      <c r="C867" s="33"/>
      <c r="D867" s="22"/>
      <c r="E867" s="31"/>
      <c r="F867" s="22"/>
      <c r="G867" s="33"/>
      <c r="H867" s="24">
        <v>30.0</v>
      </c>
      <c r="I867" s="24">
        <v>35.0</v>
      </c>
      <c r="J867" s="24">
        <v>36.0</v>
      </c>
      <c r="K867" s="24">
        <f>IF(H867=0,0,CAPITAL!$C$5/H867)
</f>
        <v>5000</v>
      </c>
      <c r="L867" s="24">
        <f>IF(I867=0,0,CAPITAL!$C$6/I867)
</f>
        <v>20000</v>
      </c>
      <c r="M867" s="24">
        <f>IF(J867=0,0,CAPITAL!$C$7/J867)
</f>
        <v>69444.44444</v>
      </c>
      <c r="N867" s="24">
        <f t="shared" si="1"/>
        <v>94444.44444</v>
      </c>
      <c r="O867" s="24">
        <f t="shared" si="2"/>
        <v>0.05294117647</v>
      </c>
      <c r="P867" s="24">
        <f t="shared" si="3"/>
        <v>0.2117647059</v>
      </c>
      <c r="Q867" s="24">
        <f t="shared" si="4"/>
        <v>0.7352941176</v>
      </c>
    </row>
    <row r="868">
      <c r="A868" s="32"/>
      <c r="B868" s="30"/>
      <c r="C868" s="33"/>
      <c r="D868" s="22"/>
      <c r="E868" s="31"/>
      <c r="F868" s="22"/>
      <c r="G868" s="33"/>
      <c r="H868" s="24">
        <v>30.0</v>
      </c>
      <c r="I868" s="24">
        <v>35.0</v>
      </c>
      <c r="J868" s="24">
        <v>36.0</v>
      </c>
      <c r="K868" s="24">
        <f>IF(H868=0,0,CAPITAL!$C$5/H868)
</f>
        <v>5000</v>
      </c>
      <c r="L868" s="24">
        <f>IF(I868=0,0,CAPITAL!$C$6/I868)
</f>
        <v>20000</v>
      </c>
      <c r="M868" s="24">
        <f>IF(J868=0,0,CAPITAL!$C$7/J868)
</f>
        <v>69444.44444</v>
      </c>
      <c r="N868" s="24">
        <f t="shared" si="1"/>
        <v>94444.44444</v>
      </c>
      <c r="O868" s="24">
        <f t="shared" si="2"/>
        <v>0.05294117647</v>
      </c>
      <c r="P868" s="24">
        <f t="shared" si="3"/>
        <v>0.2117647059</v>
      </c>
      <c r="Q868" s="24">
        <f t="shared" si="4"/>
        <v>0.7352941176</v>
      </c>
    </row>
    <row r="869">
      <c r="A869" s="32"/>
      <c r="B869" s="30"/>
      <c r="C869" s="33"/>
      <c r="D869" s="22"/>
      <c r="E869" s="31"/>
      <c r="F869" s="22"/>
      <c r="G869" s="33"/>
      <c r="H869" s="24">
        <v>30.0</v>
      </c>
      <c r="I869" s="24">
        <v>35.0</v>
      </c>
      <c r="J869" s="24">
        <v>36.0</v>
      </c>
      <c r="K869" s="24">
        <f>IF(H869=0,0,CAPITAL!$C$5/H869)
</f>
        <v>5000</v>
      </c>
      <c r="L869" s="24">
        <f>IF(I869=0,0,CAPITAL!$C$6/I869)
</f>
        <v>20000</v>
      </c>
      <c r="M869" s="24">
        <f>IF(J869=0,0,CAPITAL!$C$7/J869)
</f>
        <v>69444.44444</v>
      </c>
      <c r="N869" s="24">
        <f t="shared" si="1"/>
        <v>94444.44444</v>
      </c>
      <c r="O869" s="24">
        <f t="shared" si="2"/>
        <v>0.05294117647</v>
      </c>
      <c r="P869" s="24">
        <f t="shared" si="3"/>
        <v>0.2117647059</v>
      </c>
      <c r="Q869" s="24">
        <f t="shared" si="4"/>
        <v>0.7352941176</v>
      </c>
    </row>
    <row r="870">
      <c r="A870" s="32"/>
      <c r="B870" s="30"/>
      <c r="C870" s="33"/>
      <c r="D870" s="22"/>
      <c r="E870" s="31"/>
      <c r="F870" s="22"/>
      <c r="G870" s="33"/>
      <c r="H870" s="24">
        <v>30.0</v>
      </c>
      <c r="I870" s="24">
        <v>35.0</v>
      </c>
      <c r="J870" s="24">
        <v>36.0</v>
      </c>
      <c r="K870" s="24">
        <f>IF(H870=0,0,CAPITAL!$C$5/H870)
</f>
        <v>5000</v>
      </c>
      <c r="L870" s="24">
        <f>IF(I870=0,0,CAPITAL!$C$6/I870)
</f>
        <v>20000</v>
      </c>
      <c r="M870" s="24">
        <f>IF(J870=0,0,CAPITAL!$C$7/J870)
</f>
        <v>69444.44444</v>
      </c>
      <c r="N870" s="24">
        <f t="shared" si="1"/>
        <v>94444.44444</v>
      </c>
      <c r="O870" s="24">
        <f t="shared" si="2"/>
        <v>0.05294117647</v>
      </c>
      <c r="P870" s="24">
        <f t="shared" si="3"/>
        <v>0.2117647059</v>
      </c>
      <c r="Q870" s="24">
        <f t="shared" si="4"/>
        <v>0.7352941176</v>
      </c>
    </row>
    <row r="871">
      <c r="A871" s="32"/>
      <c r="B871" s="30"/>
      <c r="C871" s="33"/>
      <c r="D871" s="22"/>
      <c r="E871" s="31"/>
      <c r="F871" s="22"/>
      <c r="G871" s="33"/>
      <c r="H871" s="24">
        <v>30.0</v>
      </c>
      <c r="I871" s="24">
        <v>35.0</v>
      </c>
      <c r="J871" s="24">
        <v>36.0</v>
      </c>
      <c r="K871" s="24">
        <f>IF(H871=0,0,CAPITAL!$C$5/H871)
</f>
        <v>5000</v>
      </c>
      <c r="L871" s="24">
        <f>IF(I871=0,0,CAPITAL!$C$6/I871)
</f>
        <v>20000</v>
      </c>
      <c r="M871" s="24">
        <f>IF(J871=0,0,CAPITAL!$C$7/J871)
</f>
        <v>69444.44444</v>
      </c>
      <c r="N871" s="24">
        <f t="shared" si="1"/>
        <v>94444.44444</v>
      </c>
      <c r="O871" s="24">
        <f t="shared" si="2"/>
        <v>0.05294117647</v>
      </c>
      <c r="P871" s="24">
        <f t="shared" si="3"/>
        <v>0.2117647059</v>
      </c>
      <c r="Q871" s="24">
        <f t="shared" si="4"/>
        <v>0.7352941176</v>
      </c>
    </row>
    <row r="872">
      <c r="A872" s="32"/>
      <c r="B872" s="30"/>
      <c r="C872" s="33"/>
      <c r="D872" s="22"/>
      <c r="E872" s="31"/>
      <c r="F872" s="22"/>
      <c r="G872" s="33"/>
      <c r="H872" s="24">
        <v>30.0</v>
      </c>
      <c r="I872" s="24">
        <v>35.0</v>
      </c>
      <c r="J872" s="24">
        <v>36.0</v>
      </c>
      <c r="K872" s="24">
        <f>IF(H872=0,0,CAPITAL!$C$5/H872)
</f>
        <v>5000</v>
      </c>
      <c r="L872" s="24">
        <f>IF(I872=0,0,CAPITAL!$C$6/I872)
</f>
        <v>20000</v>
      </c>
      <c r="M872" s="24">
        <f>IF(J872=0,0,CAPITAL!$C$7/J872)
</f>
        <v>69444.44444</v>
      </c>
      <c r="N872" s="24">
        <f t="shared" si="1"/>
        <v>94444.44444</v>
      </c>
      <c r="O872" s="24">
        <f t="shared" si="2"/>
        <v>0.05294117647</v>
      </c>
      <c r="P872" s="24">
        <f t="shared" si="3"/>
        <v>0.2117647059</v>
      </c>
      <c r="Q872" s="24">
        <f t="shared" si="4"/>
        <v>0.7352941176</v>
      </c>
    </row>
    <row r="873">
      <c r="A873" s="32"/>
      <c r="B873" s="30"/>
      <c r="C873" s="33"/>
      <c r="D873" s="22"/>
      <c r="E873" s="31"/>
      <c r="F873" s="22"/>
      <c r="G873" s="33"/>
      <c r="H873" s="24">
        <v>30.0</v>
      </c>
      <c r="I873" s="24">
        <v>35.0</v>
      </c>
      <c r="J873" s="24">
        <v>36.0</v>
      </c>
      <c r="K873" s="24">
        <f>IF(H873=0,0,CAPITAL!$C$5/H873)
</f>
        <v>5000</v>
      </c>
      <c r="L873" s="24">
        <f>IF(I873=0,0,CAPITAL!$C$6/I873)
</f>
        <v>20000</v>
      </c>
      <c r="M873" s="24">
        <f>IF(J873=0,0,CAPITAL!$C$7/J873)
</f>
        <v>69444.44444</v>
      </c>
      <c r="N873" s="24">
        <f t="shared" si="1"/>
        <v>94444.44444</v>
      </c>
      <c r="O873" s="24">
        <f t="shared" si="2"/>
        <v>0.05294117647</v>
      </c>
      <c r="P873" s="24">
        <f t="shared" si="3"/>
        <v>0.2117647059</v>
      </c>
      <c r="Q873" s="24">
        <f t="shared" si="4"/>
        <v>0.7352941176</v>
      </c>
    </row>
    <row r="874">
      <c r="A874" s="32"/>
      <c r="B874" s="30"/>
      <c r="C874" s="33"/>
      <c r="D874" s="22"/>
      <c r="E874" s="31"/>
      <c r="F874" s="22"/>
      <c r="G874" s="33"/>
      <c r="H874" s="24">
        <v>30.0</v>
      </c>
      <c r="I874" s="24">
        <v>35.0</v>
      </c>
      <c r="J874" s="24">
        <v>36.0</v>
      </c>
      <c r="K874" s="24">
        <f>IF(H874=0,0,CAPITAL!$C$5/H874)
</f>
        <v>5000</v>
      </c>
      <c r="L874" s="24">
        <f>IF(I874=0,0,CAPITAL!$C$6/I874)
</f>
        <v>20000</v>
      </c>
      <c r="M874" s="24">
        <f>IF(J874=0,0,CAPITAL!$C$7/J874)
</f>
        <v>69444.44444</v>
      </c>
      <c r="N874" s="24">
        <f t="shared" si="1"/>
        <v>94444.44444</v>
      </c>
      <c r="O874" s="24">
        <f t="shared" si="2"/>
        <v>0.05294117647</v>
      </c>
      <c r="P874" s="24">
        <f t="shared" si="3"/>
        <v>0.2117647059</v>
      </c>
      <c r="Q874" s="24">
        <f t="shared" si="4"/>
        <v>0.7352941176</v>
      </c>
    </row>
    <row r="875">
      <c r="A875" s="32"/>
      <c r="B875" s="30"/>
      <c r="C875" s="33"/>
      <c r="D875" s="22"/>
      <c r="E875" s="31"/>
      <c r="F875" s="22"/>
      <c r="G875" s="33"/>
      <c r="H875" s="24">
        <v>30.0</v>
      </c>
      <c r="I875" s="24">
        <v>35.0</v>
      </c>
      <c r="J875" s="24">
        <v>36.0</v>
      </c>
      <c r="K875" s="24">
        <f>IF(H875=0,0,CAPITAL!$C$5/H875)
</f>
        <v>5000</v>
      </c>
      <c r="L875" s="24">
        <f>IF(I875=0,0,CAPITAL!$C$6/I875)
</f>
        <v>20000</v>
      </c>
      <c r="M875" s="24">
        <f>IF(J875=0,0,CAPITAL!$C$7/J875)
</f>
        <v>69444.44444</v>
      </c>
      <c r="N875" s="24">
        <f t="shared" si="1"/>
        <v>94444.44444</v>
      </c>
      <c r="O875" s="24">
        <f t="shared" si="2"/>
        <v>0.05294117647</v>
      </c>
      <c r="P875" s="24">
        <f t="shared" si="3"/>
        <v>0.2117647059</v>
      </c>
      <c r="Q875" s="24">
        <f t="shared" si="4"/>
        <v>0.7352941176</v>
      </c>
    </row>
    <row r="876">
      <c r="A876" s="32"/>
      <c r="B876" s="30"/>
      <c r="C876" s="33"/>
      <c r="D876" s="22"/>
      <c r="E876" s="31"/>
      <c r="F876" s="22"/>
      <c r="G876" s="33"/>
      <c r="H876" s="24">
        <v>30.0</v>
      </c>
      <c r="I876" s="24">
        <v>35.0</v>
      </c>
      <c r="J876" s="24">
        <v>36.0</v>
      </c>
      <c r="K876" s="24">
        <f>IF(H876=0,0,CAPITAL!$C$5/H876)
</f>
        <v>5000</v>
      </c>
      <c r="L876" s="24">
        <f>IF(I876=0,0,CAPITAL!$C$6/I876)
</f>
        <v>20000</v>
      </c>
      <c r="M876" s="24">
        <f>IF(J876=0,0,CAPITAL!$C$7/J876)
</f>
        <v>69444.44444</v>
      </c>
      <c r="N876" s="24">
        <f t="shared" si="1"/>
        <v>94444.44444</v>
      </c>
      <c r="O876" s="24">
        <f t="shared" si="2"/>
        <v>0.05294117647</v>
      </c>
      <c r="P876" s="24">
        <f t="shared" si="3"/>
        <v>0.2117647059</v>
      </c>
      <c r="Q876" s="24">
        <f t="shared" si="4"/>
        <v>0.7352941176</v>
      </c>
    </row>
    <row r="877">
      <c r="A877" s="32"/>
      <c r="B877" s="30"/>
      <c r="C877" s="33"/>
      <c r="D877" s="22"/>
      <c r="E877" s="31"/>
      <c r="F877" s="22"/>
      <c r="G877" s="33"/>
      <c r="H877" s="24">
        <v>30.0</v>
      </c>
      <c r="I877" s="24">
        <v>35.0</v>
      </c>
      <c r="J877" s="24">
        <v>36.0</v>
      </c>
      <c r="K877" s="24">
        <f>IF(H877=0,0,CAPITAL!$C$5/H877)
</f>
        <v>5000</v>
      </c>
      <c r="L877" s="24">
        <f>IF(I877=0,0,CAPITAL!$C$6/I877)
</f>
        <v>20000</v>
      </c>
      <c r="M877" s="24">
        <f>IF(J877=0,0,CAPITAL!$C$7/J877)
</f>
        <v>69444.44444</v>
      </c>
      <c r="N877" s="24">
        <f t="shared" si="1"/>
        <v>94444.44444</v>
      </c>
      <c r="O877" s="24">
        <f t="shared" si="2"/>
        <v>0.05294117647</v>
      </c>
      <c r="P877" s="24">
        <f t="shared" si="3"/>
        <v>0.2117647059</v>
      </c>
      <c r="Q877" s="24">
        <f t="shared" si="4"/>
        <v>0.7352941176</v>
      </c>
    </row>
    <row r="878">
      <c r="A878" s="32"/>
      <c r="B878" s="30"/>
      <c r="C878" s="33"/>
      <c r="D878" s="22"/>
      <c r="E878" s="31"/>
      <c r="F878" s="22"/>
      <c r="G878" s="33"/>
      <c r="H878" s="24">
        <v>30.0</v>
      </c>
      <c r="I878" s="24">
        <v>35.0</v>
      </c>
      <c r="J878" s="24">
        <v>36.0</v>
      </c>
      <c r="K878" s="24">
        <f>IF(H878=0,0,CAPITAL!$C$5/H878)
</f>
        <v>5000</v>
      </c>
      <c r="L878" s="24">
        <f>IF(I878=0,0,CAPITAL!$C$6/I878)
</f>
        <v>20000</v>
      </c>
      <c r="M878" s="24">
        <f>IF(J878=0,0,CAPITAL!$C$7/J878)
</f>
        <v>69444.44444</v>
      </c>
      <c r="N878" s="24">
        <f t="shared" si="1"/>
        <v>94444.44444</v>
      </c>
      <c r="O878" s="24">
        <f t="shared" si="2"/>
        <v>0.05294117647</v>
      </c>
      <c r="P878" s="24">
        <f t="shared" si="3"/>
        <v>0.2117647059</v>
      </c>
      <c r="Q878" s="24">
        <f t="shared" si="4"/>
        <v>0.7352941176</v>
      </c>
    </row>
    <row r="879">
      <c r="A879" s="32"/>
      <c r="B879" s="30"/>
      <c r="C879" s="33"/>
      <c r="D879" s="22"/>
      <c r="E879" s="31"/>
      <c r="F879" s="22"/>
      <c r="G879" s="33"/>
      <c r="H879" s="24">
        <v>30.0</v>
      </c>
      <c r="I879" s="24">
        <v>35.0</v>
      </c>
      <c r="J879" s="24">
        <v>36.0</v>
      </c>
      <c r="K879" s="24">
        <f>IF(H879=0,0,CAPITAL!$C$5/H879)
</f>
        <v>5000</v>
      </c>
      <c r="L879" s="24">
        <f>IF(I879=0,0,CAPITAL!$C$6/I879)
</f>
        <v>20000</v>
      </c>
      <c r="M879" s="24">
        <f>IF(J879=0,0,CAPITAL!$C$7/J879)
</f>
        <v>69444.44444</v>
      </c>
      <c r="N879" s="24">
        <f t="shared" si="1"/>
        <v>94444.44444</v>
      </c>
      <c r="O879" s="24">
        <f t="shared" si="2"/>
        <v>0.05294117647</v>
      </c>
      <c r="P879" s="24">
        <f t="shared" si="3"/>
        <v>0.2117647059</v>
      </c>
      <c r="Q879" s="24">
        <f t="shared" si="4"/>
        <v>0.7352941176</v>
      </c>
    </row>
    <row r="880">
      <c r="A880" s="32"/>
      <c r="B880" s="30"/>
      <c r="C880" s="33"/>
      <c r="D880" s="22"/>
      <c r="E880" s="31"/>
      <c r="F880" s="22"/>
      <c r="G880" s="33"/>
      <c r="H880" s="24">
        <v>30.0</v>
      </c>
      <c r="I880" s="24">
        <v>35.0</v>
      </c>
      <c r="J880" s="24">
        <v>36.0</v>
      </c>
      <c r="K880" s="24">
        <f>IF(H880=0,0,CAPITAL!$C$5/H880)
</f>
        <v>5000</v>
      </c>
      <c r="L880" s="24">
        <f>IF(I880=0,0,CAPITAL!$C$6/I880)
</f>
        <v>20000</v>
      </c>
      <c r="M880" s="24">
        <f>IF(J880=0,0,CAPITAL!$C$7/J880)
</f>
        <v>69444.44444</v>
      </c>
      <c r="N880" s="24">
        <f t="shared" si="1"/>
        <v>94444.44444</v>
      </c>
      <c r="O880" s="24">
        <f t="shared" si="2"/>
        <v>0.05294117647</v>
      </c>
      <c r="P880" s="24">
        <f t="shared" si="3"/>
        <v>0.2117647059</v>
      </c>
      <c r="Q880" s="24">
        <f t="shared" si="4"/>
        <v>0.7352941176</v>
      </c>
    </row>
    <row r="881">
      <c r="A881" s="32"/>
      <c r="B881" s="30"/>
      <c r="C881" s="33"/>
      <c r="D881" s="22"/>
      <c r="E881" s="31"/>
      <c r="F881" s="22"/>
      <c r="G881" s="33"/>
      <c r="H881" s="24">
        <v>30.0</v>
      </c>
      <c r="I881" s="24">
        <v>35.0</v>
      </c>
      <c r="J881" s="24">
        <v>36.0</v>
      </c>
      <c r="K881" s="24">
        <f>IF(H881=0,0,CAPITAL!$C$5/H881)
</f>
        <v>5000</v>
      </c>
      <c r="L881" s="24">
        <f>IF(I881=0,0,CAPITAL!$C$6/I881)
</f>
        <v>20000</v>
      </c>
      <c r="M881" s="24">
        <f>IF(J881=0,0,CAPITAL!$C$7/J881)
</f>
        <v>69444.44444</v>
      </c>
      <c r="N881" s="24">
        <f t="shared" si="1"/>
        <v>94444.44444</v>
      </c>
      <c r="O881" s="24">
        <f t="shared" si="2"/>
        <v>0.05294117647</v>
      </c>
      <c r="P881" s="24">
        <f t="shared" si="3"/>
        <v>0.2117647059</v>
      </c>
      <c r="Q881" s="24">
        <f t="shared" si="4"/>
        <v>0.7352941176</v>
      </c>
    </row>
    <row r="882">
      <c r="A882" s="32"/>
      <c r="B882" s="30"/>
      <c r="C882" s="33"/>
      <c r="D882" s="22"/>
      <c r="E882" s="31"/>
      <c r="F882" s="22"/>
      <c r="G882" s="33"/>
      <c r="H882" s="24">
        <v>30.0</v>
      </c>
      <c r="I882" s="24">
        <v>35.0</v>
      </c>
      <c r="J882" s="24">
        <v>36.0</v>
      </c>
      <c r="K882" s="24">
        <f>IF(H882=0,0,CAPITAL!$C$5/H882)
</f>
        <v>5000</v>
      </c>
      <c r="L882" s="24">
        <f>IF(I882=0,0,CAPITAL!$C$6/I882)
</f>
        <v>20000</v>
      </c>
      <c r="M882" s="24">
        <f>IF(J882=0,0,CAPITAL!$C$7/J882)
</f>
        <v>69444.44444</v>
      </c>
      <c r="N882" s="24">
        <f t="shared" si="1"/>
        <v>94444.44444</v>
      </c>
      <c r="O882" s="24">
        <f t="shared" si="2"/>
        <v>0.05294117647</v>
      </c>
      <c r="P882" s="24">
        <f t="shared" si="3"/>
        <v>0.2117647059</v>
      </c>
      <c r="Q882" s="24">
        <f t="shared" si="4"/>
        <v>0.7352941176</v>
      </c>
    </row>
    <row r="883">
      <c r="A883" s="32"/>
      <c r="B883" s="30"/>
      <c r="C883" s="33"/>
      <c r="D883" s="22"/>
      <c r="E883" s="31"/>
      <c r="F883" s="22"/>
      <c r="G883" s="33"/>
      <c r="H883" s="24">
        <v>30.0</v>
      </c>
      <c r="I883" s="24">
        <v>35.0</v>
      </c>
      <c r="J883" s="24">
        <v>36.0</v>
      </c>
      <c r="K883" s="24">
        <f>IF(H883=0,0,CAPITAL!$C$5/H883)
</f>
        <v>5000</v>
      </c>
      <c r="L883" s="24">
        <f>IF(I883=0,0,CAPITAL!$C$6/I883)
</f>
        <v>20000</v>
      </c>
      <c r="M883" s="24">
        <f>IF(J883=0,0,CAPITAL!$C$7/J883)
</f>
        <v>69444.44444</v>
      </c>
      <c r="N883" s="24">
        <f t="shared" si="1"/>
        <v>94444.44444</v>
      </c>
      <c r="O883" s="24">
        <f t="shared" si="2"/>
        <v>0.05294117647</v>
      </c>
      <c r="P883" s="24">
        <f t="shared" si="3"/>
        <v>0.2117647059</v>
      </c>
      <c r="Q883" s="24">
        <f t="shared" si="4"/>
        <v>0.7352941176</v>
      </c>
    </row>
    <row r="884">
      <c r="A884" s="32"/>
      <c r="B884" s="30"/>
      <c r="C884" s="33"/>
      <c r="D884" s="22"/>
      <c r="E884" s="31"/>
      <c r="F884" s="22"/>
      <c r="G884" s="33"/>
      <c r="H884" s="24">
        <v>30.0</v>
      </c>
      <c r="I884" s="24">
        <v>35.0</v>
      </c>
      <c r="J884" s="24">
        <v>36.0</v>
      </c>
      <c r="K884" s="24">
        <f>IF(H884=0,0,CAPITAL!$C$5/H884)
</f>
        <v>5000</v>
      </c>
      <c r="L884" s="24">
        <f>IF(I884=0,0,CAPITAL!$C$6/I884)
</f>
        <v>20000</v>
      </c>
      <c r="M884" s="24">
        <f>IF(J884=0,0,CAPITAL!$C$7/J884)
</f>
        <v>69444.44444</v>
      </c>
      <c r="N884" s="24">
        <f t="shared" si="1"/>
        <v>94444.44444</v>
      </c>
      <c r="O884" s="24">
        <f t="shared" si="2"/>
        <v>0.05294117647</v>
      </c>
      <c r="P884" s="24">
        <f t="shared" si="3"/>
        <v>0.2117647059</v>
      </c>
      <c r="Q884" s="24">
        <f t="shared" si="4"/>
        <v>0.7352941176</v>
      </c>
    </row>
    <row r="885">
      <c r="A885" s="32"/>
      <c r="B885" s="30"/>
      <c r="C885" s="33"/>
      <c r="D885" s="22"/>
      <c r="E885" s="31"/>
      <c r="F885" s="22"/>
      <c r="G885" s="33"/>
      <c r="H885" s="24">
        <v>30.0</v>
      </c>
      <c r="I885" s="24">
        <v>35.0</v>
      </c>
      <c r="J885" s="24">
        <v>36.0</v>
      </c>
      <c r="K885" s="24">
        <f>IF(H885=0,0,CAPITAL!$C$5/H885)
</f>
        <v>5000</v>
      </c>
      <c r="L885" s="24">
        <f>IF(I885=0,0,CAPITAL!$C$6/I885)
</f>
        <v>20000</v>
      </c>
      <c r="M885" s="24">
        <f>IF(J885=0,0,CAPITAL!$C$7/J885)
</f>
        <v>69444.44444</v>
      </c>
      <c r="N885" s="24">
        <f t="shared" si="1"/>
        <v>94444.44444</v>
      </c>
      <c r="O885" s="24">
        <f t="shared" si="2"/>
        <v>0.05294117647</v>
      </c>
      <c r="P885" s="24">
        <f t="shared" si="3"/>
        <v>0.2117647059</v>
      </c>
      <c r="Q885" s="24">
        <f t="shared" si="4"/>
        <v>0.7352941176</v>
      </c>
    </row>
    <row r="886">
      <c r="A886" s="32"/>
      <c r="B886" s="30"/>
      <c r="C886" s="33"/>
      <c r="D886" s="22"/>
      <c r="E886" s="31"/>
      <c r="F886" s="22"/>
      <c r="G886" s="33"/>
      <c r="H886" s="24">
        <v>30.0</v>
      </c>
      <c r="I886" s="24">
        <v>35.0</v>
      </c>
      <c r="J886" s="24">
        <v>36.0</v>
      </c>
      <c r="K886" s="24">
        <f>IF(H886=0,0,CAPITAL!$C$5/H886)
</f>
        <v>5000</v>
      </c>
      <c r="L886" s="24">
        <f>IF(I886=0,0,CAPITAL!$C$6/I886)
</f>
        <v>20000</v>
      </c>
      <c r="M886" s="24">
        <f>IF(J886=0,0,CAPITAL!$C$7/J886)
</f>
        <v>69444.44444</v>
      </c>
      <c r="N886" s="24">
        <f t="shared" si="1"/>
        <v>94444.44444</v>
      </c>
      <c r="O886" s="24">
        <f t="shared" si="2"/>
        <v>0.05294117647</v>
      </c>
      <c r="P886" s="24">
        <f t="shared" si="3"/>
        <v>0.2117647059</v>
      </c>
      <c r="Q886" s="24">
        <f t="shared" si="4"/>
        <v>0.7352941176</v>
      </c>
    </row>
    <row r="887">
      <c r="A887" s="32"/>
      <c r="B887" s="30"/>
      <c r="C887" s="33"/>
      <c r="D887" s="22"/>
      <c r="E887" s="31"/>
      <c r="F887" s="22"/>
      <c r="G887" s="33"/>
      <c r="H887" s="24">
        <v>30.0</v>
      </c>
      <c r="I887" s="24">
        <v>35.0</v>
      </c>
      <c r="J887" s="24">
        <v>36.0</v>
      </c>
      <c r="K887" s="24">
        <f>IF(H887=0,0,CAPITAL!$C$5/H887)
</f>
        <v>5000</v>
      </c>
      <c r="L887" s="24">
        <f>IF(I887=0,0,CAPITAL!$C$6/I887)
</f>
        <v>20000</v>
      </c>
      <c r="M887" s="24">
        <f>IF(J887=0,0,CAPITAL!$C$7/J887)
</f>
        <v>69444.44444</v>
      </c>
      <c r="N887" s="24">
        <f t="shared" si="1"/>
        <v>94444.44444</v>
      </c>
      <c r="O887" s="24">
        <f t="shared" si="2"/>
        <v>0.05294117647</v>
      </c>
      <c r="P887" s="24">
        <f t="shared" si="3"/>
        <v>0.2117647059</v>
      </c>
      <c r="Q887" s="24">
        <f t="shared" si="4"/>
        <v>0.7352941176</v>
      </c>
    </row>
    <row r="888">
      <c r="A888" s="32"/>
      <c r="B888" s="30"/>
      <c r="C888" s="33"/>
      <c r="D888" s="22"/>
      <c r="E888" s="31"/>
      <c r="F888" s="22"/>
      <c r="G888" s="33"/>
      <c r="H888" s="24">
        <v>30.0</v>
      </c>
      <c r="I888" s="24">
        <v>35.0</v>
      </c>
      <c r="J888" s="24">
        <v>36.0</v>
      </c>
      <c r="K888" s="24">
        <f>IF(H888=0,0,CAPITAL!$C$5/H888)
</f>
        <v>5000</v>
      </c>
      <c r="L888" s="24">
        <f>IF(I888=0,0,CAPITAL!$C$6/I888)
</f>
        <v>20000</v>
      </c>
      <c r="M888" s="24">
        <f>IF(J888=0,0,CAPITAL!$C$7/J888)
</f>
        <v>69444.44444</v>
      </c>
      <c r="N888" s="24">
        <f t="shared" si="1"/>
        <v>94444.44444</v>
      </c>
      <c r="O888" s="24">
        <f t="shared" si="2"/>
        <v>0.05294117647</v>
      </c>
      <c r="P888" s="24">
        <f t="shared" si="3"/>
        <v>0.2117647059</v>
      </c>
      <c r="Q888" s="24">
        <f t="shared" si="4"/>
        <v>0.7352941176</v>
      </c>
    </row>
    <row r="889">
      <c r="A889" s="32"/>
      <c r="B889" s="30"/>
      <c r="C889" s="33"/>
      <c r="D889" s="22"/>
      <c r="E889" s="31"/>
      <c r="F889" s="22"/>
      <c r="G889" s="33"/>
      <c r="H889" s="24">
        <v>30.0</v>
      </c>
      <c r="I889" s="24">
        <v>35.0</v>
      </c>
      <c r="J889" s="24">
        <v>36.0</v>
      </c>
      <c r="K889" s="24">
        <f>IF(H889=0,0,CAPITAL!$C$5/H889)
</f>
        <v>5000</v>
      </c>
      <c r="L889" s="24">
        <f>IF(I889=0,0,CAPITAL!$C$6/I889)
</f>
        <v>20000</v>
      </c>
      <c r="M889" s="24">
        <f>IF(J889=0,0,CAPITAL!$C$7/J889)
</f>
        <v>69444.44444</v>
      </c>
      <c r="N889" s="24">
        <f t="shared" si="1"/>
        <v>94444.44444</v>
      </c>
      <c r="O889" s="24">
        <f t="shared" si="2"/>
        <v>0.05294117647</v>
      </c>
      <c r="P889" s="24">
        <f t="shared" si="3"/>
        <v>0.2117647059</v>
      </c>
      <c r="Q889" s="24">
        <f t="shared" si="4"/>
        <v>0.7352941176</v>
      </c>
    </row>
    <row r="890">
      <c r="A890" s="32"/>
      <c r="B890" s="30"/>
      <c r="C890" s="33"/>
      <c r="D890" s="22"/>
      <c r="E890" s="31"/>
      <c r="F890" s="22"/>
      <c r="G890" s="33"/>
      <c r="H890" s="24">
        <v>30.0</v>
      </c>
      <c r="I890" s="24">
        <v>35.0</v>
      </c>
      <c r="J890" s="24">
        <v>36.0</v>
      </c>
      <c r="K890" s="24">
        <f>IF(H890=0,0,CAPITAL!$C$5/H890)
</f>
        <v>5000</v>
      </c>
      <c r="L890" s="24">
        <f>IF(I890=0,0,CAPITAL!$C$6/I890)
</f>
        <v>20000</v>
      </c>
      <c r="M890" s="24">
        <f>IF(J890=0,0,CAPITAL!$C$7/J890)
</f>
        <v>69444.44444</v>
      </c>
      <c r="N890" s="24">
        <f t="shared" si="1"/>
        <v>94444.44444</v>
      </c>
      <c r="O890" s="24">
        <f t="shared" si="2"/>
        <v>0.05294117647</v>
      </c>
      <c r="P890" s="24">
        <f t="shared" si="3"/>
        <v>0.2117647059</v>
      </c>
      <c r="Q890" s="24">
        <f t="shared" si="4"/>
        <v>0.7352941176</v>
      </c>
    </row>
    <row r="891">
      <c r="A891" s="32"/>
      <c r="B891" s="30"/>
      <c r="C891" s="33"/>
      <c r="D891" s="22"/>
      <c r="E891" s="31"/>
      <c r="F891" s="22"/>
      <c r="G891" s="33"/>
      <c r="H891" s="24">
        <v>30.0</v>
      </c>
      <c r="I891" s="24">
        <v>35.0</v>
      </c>
      <c r="J891" s="24">
        <v>36.0</v>
      </c>
      <c r="K891" s="24">
        <f>IF(H891=0,0,CAPITAL!$C$5/H891)
</f>
        <v>5000</v>
      </c>
      <c r="L891" s="24">
        <f>IF(I891=0,0,CAPITAL!$C$6/I891)
</f>
        <v>20000</v>
      </c>
      <c r="M891" s="24">
        <f>IF(J891=0,0,CAPITAL!$C$7/J891)
</f>
        <v>69444.44444</v>
      </c>
      <c r="N891" s="24">
        <f t="shared" si="1"/>
        <v>94444.44444</v>
      </c>
      <c r="O891" s="24">
        <f t="shared" si="2"/>
        <v>0.05294117647</v>
      </c>
      <c r="P891" s="24">
        <f t="shared" si="3"/>
        <v>0.2117647059</v>
      </c>
      <c r="Q891" s="24">
        <f t="shared" si="4"/>
        <v>0.7352941176</v>
      </c>
    </row>
    <row r="892">
      <c r="A892" s="32"/>
      <c r="B892" s="30"/>
      <c r="C892" s="33"/>
      <c r="D892" s="22"/>
      <c r="E892" s="31"/>
      <c r="F892" s="22"/>
      <c r="G892" s="33"/>
      <c r="H892" s="24">
        <v>30.0</v>
      </c>
      <c r="I892" s="24">
        <v>35.0</v>
      </c>
      <c r="J892" s="24">
        <v>36.0</v>
      </c>
      <c r="K892" s="24">
        <f>IF(H892=0,0,CAPITAL!$C$5/H892)
</f>
        <v>5000</v>
      </c>
      <c r="L892" s="24">
        <f>IF(I892=0,0,CAPITAL!$C$6/I892)
</f>
        <v>20000</v>
      </c>
      <c r="M892" s="24">
        <f>IF(J892=0,0,CAPITAL!$C$7/J892)
</f>
        <v>69444.44444</v>
      </c>
      <c r="N892" s="24">
        <f t="shared" si="1"/>
        <v>94444.44444</v>
      </c>
      <c r="O892" s="24">
        <f t="shared" si="2"/>
        <v>0.05294117647</v>
      </c>
      <c r="P892" s="24">
        <f t="shared" si="3"/>
        <v>0.2117647059</v>
      </c>
      <c r="Q892" s="24">
        <f t="shared" si="4"/>
        <v>0.7352941176</v>
      </c>
    </row>
    <row r="893">
      <c r="A893" s="32"/>
      <c r="B893" s="30"/>
      <c r="C893" s="33"/>
      <c r="D893" s="22"/>
      <c r="E893" s="31"/>
      <c r="F893" s="22"/>
      <c r="G893" s="33"/>
      <c r="H893" s="24">
        <v>30.0</v>
      </c>
      <c r="I893" s="24">
        <v>35.0</v>
      </c>
      <c r="J893" s="24">
        <v>36.0</v>
      </c>
      <c r="K893" s="24">
        <f>IF(H893=0,0,CAPITAL!$C$5/H893)
</f>
        <v>5000</v>
      </c>
      <c r="L893" s="24">
        <f>IF(I893=0,0,CAPITAL!$C$6/I893)
</f>
        <v>20000</v>
      </c>
      <c r="M893" s="24">
        <f>IF(J893=0,0,CAPITAL!$C$7/J893)
</f>
        <v>69444.44444</v>
      </c>
      <c r="N893" s="24">
        <f t="shared" si="1"/>
        <v>94444.44444</v>
      </c>
      <c r="O893" s="24">
        <f t="shared" si="2"/>
        <v>0.05294117647</v>
      </c>
      <c r="P893" s="24">
        <f t="shared" si="3"/>
        <v>0.2117647059</v>
      </c>
      <c r="Q893" s="24">
        <f t="shared" si="4"/>
        <v>0.7352941176</v>
      </c>
    </row>
    <row r="894">
      <c r="A894" s="32"/>
      <c r="B894" s="30"/>
      <c r="C894" s="33"/>
      <c r="D894" s="22"/>
      <c r="E894" s="31"/>
      <c r="F894" s="22"/>
      <c r="G894" s="33"/>
      <c r="H894" s="24">
        <v>30.0</v>
      </c>
      <c r="I894" s="24">
        <v>35.0</v>
      </c>
      <c r="J894" s="24">
        <v>36.0</v>
      </c>
      <c r="K894" s="24">
        <f>IF(H894=0,0,CAPITAL!$C$5/H894)
</f>
        <v>5000</v>
      </c>
      <c r="L894" s="24">
        <f>IF(I894=0,0,CAPITAL!$C$6/I894)
</f>
        <v>20000</v>
      </c>
      <c r="M894" s="24">
        <f>IF(J894=0,0,CAPITAL!$C$7/J894)
</f>
        <v>69444.44444</v>
      </c>
      <c r="N894" s="24">
        <f t="shared" si="1"/>
        <v>94444.44444</v>
      </c>
      <c r="O894" s="24">
        <f t="shared" si="2"/>
        <v>0.05294117647</v>
      </c>
      <c r="P894" s="24">
        <f t="shared" si="3"/>
        <v>0.2117647059</v>
      </c>
      <c r="Q894" s="24">
        <f t="shared" si="4"/>
        <v>0.7352941176</v>
      </c>
    </row>
    <row r="895">
      <c r="A895" s="32"/>
      <c r="B895" s="30"/>
      <c r="C895" s="33"/>
      <c r="D895" s="22"/>
      <c r="E895" s="31"/>
      <c r="F895" s="22"/>
      <c r="G895" s="33"/>
      <c r="H895" s="24">
        <v>30.0</v>
      </c>
      <c r="I895" s="24">
        <v>35.0</v>
      </c>
      <c r="J895" s="24">
        <v>36.0</v>
      </c>
      <c r="K895" s="24">
        <f>IF(H895=0,0,CAPITAL!$C$5/H895)
</f>
        <v>5000</v>
      </c>
      <c r="L895" s="24">
        <f>IF(I895=0,0,CAPITAL!$C$6/I895)
</f>
        <v>20000</v>
      </c>
      <c r="M895" s="24">
        <f>IF(J895=0,0,CAPITAL!$C$7/J895)
</f>
        <v>69444.44444</v>
      </c>
      <c r="N895" s="24">
        <f t="shared" si="1"/>
        <v>94444.44444</v>
      </c>
      <c r="O895" s="24">
        <f t="shared" si="2"/>
        <v>0.05294117647</v>
      </c>
      <c r="P895" s="24">
        <f t="shared" si="3"/>
        <v>0.2117647059</v>
      </c>
      <c r="Q895" s="24">
        <f t="shared" si="4"/>
        <v>0.7352941176</v>
      </c>
    </row>
    <row r="896">
      <c r="A896" s="32"/>
      <c r="B896" s="30"/>
      <c r="C896" s="33"/>
      <c r="D896" s="22"/>
      <c r="E896" s="31"/>
      <c r="F896" s="22"/>
      <c r="G896" s="33"/>
      <c r="H896" s="24">
        <v>30.0</v>
      </c>
      <c r="I896" s="24">
        <v>35.0</v>
      </c>
      <c r="J896" s="24">
        <v>36.0</v>
      </c>
      <c r="K896" s="24">
        <f>IF(H896=0,0,CAPITAL!$C$5/H896)
</f>
        <v>5000</v>
      </c>
      <c r="L896" s="24">
        <f>IF(I896=0,0,CAPITAL!$C$6/I896)
</f>
        <v>20000</v>
      </c>
      <c r="M896" s="24">
        <f>IF(J896=0,0,CAPITAL!$C$7/J896)
</f>
        <v>69444.44444</v>
      </c>
      <c r="N896" s="24">
        <f t="shared" si="1"/>
        <v>94444.44444</v>
      </c>
      <c r="O896" s="24">
        <f t="shared" si="2"/>
        <v>0.05294117647</v>
      </c>
      <c r="P896" s="24">
        <f t="shared" si="3"/>
        <v>0.2117647059</v>
      </c>
      <c r="Q896" s="24">
        <f t="shared" si="4"/>
        <v>0.7352941176</v>
      </c>
    </row>
    <row r="897">
      <c r="A897" s="32"/>
      <c r="B897" s="30"/>
      <c r="C897" s="33"/>
      <c r="D897" s="22"/>
      <c r="E897" s="31"/>
      <c r="F897" s="22"/>
      <c r="G897" s="33"/>
      <c r="H897" s="24">
        <v>30.0</v>
      </c>
      <c r="I897" s="24">
        <v>35.0</v>
      </c>
      <c r="J897" s="24">
        <v>36.0</v>
      </c>
      <c r="K897" s="24">
        <f>IF(H897=0,0,CAPITAL!$C$5/H897)
</f>
        <v>5000</v>
      </c>
      <c r="L897" s="24">
        <f>IF(I897=0,0,CAPITAL!$C$6/I897)
</f>
        <v>20000</v>
      </c>
      <c r="M897" s="24">
        <f>IF(J897=0,0,CAPITAL!$C$7/J897)
</f>
        <v>69444.44444</v>
      </c>
      <c r="N897" s="24">
        <f t="shared" si="1"/>
        <v>94444.44444</v>
      </c>
      <c r="O897" s="24">
        <f t="shared" si="2"/>
        <v>0.05294117647</v>
      </c>
      <c r="P897" s="24">
        <f t="shared" si="3"/>
        <v>0.2117647059</v>
      </c>
      <c r="Q897" s="24">
        <f t="shared" si="4"/>
        <v>0.7352941176</v>
      </c>
    </row>
    <row r="898">
      <c r="A898" s="32"/>
      <c r="B898" s="30"/>
      <c r="C898" s="33"/>
      <c r="D898" s="22"/>
      <c r="E898" s="31"/>
      <c r="F898" s="22"/>
      <c r="G898" s="33"/>
      <c r="H898" s="24">
        <v>30.0</v>
      </c>
      <c r="I898" s="24">
        <v>35.0</v>
      </c>
      <c r="J898" s="24">
        <v>36.0</v>
      </c>
      <c r="K898" s="24">
        <f>IF(H898=0,0,CAPITAL!$C$5/H898)
</f>
        <v>5000</v>
      </c>
      <c r="L898" s="24">
        <f>IF(I898=0,0,CAPITAL!$C$6/I898)
</f>
        <v>20000</v>
      </c>
      <c r="M898" s="24">
        <f>IF(J898=0,0,CAPITAL!$C$7/J898)
</f>
        <v>69444.44444</v>
      </c>
      <c r="N898" s="24">
        <f t="shared" si="1"/>
        <v>94444.44444</v>
      </c>
      <c r="O898" s="24">
        <f t="shared" si="2"/>
        <v>0.05294117647</v>
      </c>
      <c r="P898" s="24">
        <f t="shared" si="3"/>
        <v>0.2117647059</v>
      </c>
      <c r="Q898" s="24">
        <f t="shared" si="4"/>
        <v>0.7352941176</v>
      </c>
    </row>
    <row r="899">
      <c r="A899" s="32"/>
      <c r="B899" s="30"/>
      <c r="C899" s="33"/>
      <c r="D899" s="22"/>
      <c r="E899" s="31"/>
      <c r="F899" s="22"/>
      <c r="G899" s="33"/>
      <c r="H899" s="24">
        <v>30.0</v>
      </c>
      <c r="I899" s="24">
        <v>35.0</v>
      </c>
      <c r="J899" s="24">
        <v>36.0</v>
      </c>
      <c r="K899" s="24">
        <f>IF(H899=0,0,CAPITAL!$C$5/H899)
</f>
        <v>5000</v>
      </c>
      <c r="L899" s="24">
        <f>IF(I899=0,0,CAPITAL!$C$6/I899)
</f>
        <v>20000</v>
      </c>
      <c r="M899" s="24">
        <f>IF(J899=0,0,CAPITAL!$C$7/J899)
</f>
        <v>69444.44444</v>
      </c>
      <c r="N899" s="24">
        <f t="shared" si="1"/>
        <v>94444.44444</v>
      </c>
      <c r="O899" s="24">
        <f t="shared" si="2"/>
        <v>0.05294117647</v>
      </c>
      <c r="P899" s="24">
        <f t="shared" si="3"/>
        <v>0.2117647059</v>
      </c>
      <c r="Q899" s="24">
        <f t="shared" si="4"/>
        <v>0.7352941176</v>
      </c>
    </row>
    <row r="900">
      <c r="A900" s="32"/>
      <c r="B900" s="30"/>
      <c r="C900" s="33"/>
      <c r="D900" s="22"/>
      <c r="E900" s="31"/>
      <c r="F900" s="22"/>
      <c r="G900" s="33"/>
      <c r="H900" s="24">
        <v>30.0</v>
      </c>
      <c r="I900" s="24">
        <v>35.0</v>
      </c>
      <c r="J900" s="24">
        <v>36.0</v>
      </c>
      <c r="K900" s="24">
        <f>IF(H900=0,0,CAPITAL!$C$5/H900)
</f>
        <v>5000</v>
      </c>
      <c r="L900" s="24">
        <f>IF(I900=0,0,CAPITAL!$C$6/I900)
</f>
        <v>20000</v>
      </c>
      <c r="M900" s="24">
        <f>IF(J900=0,0,CAPITAL!$C$7/J900)
</f>
        <v>69444.44444</v>
      </c>
      <c r="N900" s="24">
        <f t="shared" si="1"/>
        <v>94444.44444</v>
      </c>
      <c r="O900" s="24">
        <f t="shared" si="2"/>
        <v>0.05294117647</v>
      </c>
      <c r="P900" s="24">
        <f t="shared" si="3"/>
        <v>0.2117647059</v>
      </c>
      <c r="Q900" s="24">
        <f t="shared" si="4"/>
        <v>0.7352941176</v>
      </c>
    </row>
    <row r="901">
      <c r="A901" s="32"/>
      <c r="B901" s="30"/>
      <c r="C901" s="33"/>
      <c r="D901" s="22"/>
      <c r="E901" s="31"/>
      <c r="F901" s="22"/>
      <c r="G901" s="33"/>
      <c r="H901" s="24">
        <v>30.0</v>
      </c>
      <c r="I901" s="24">
        <v>35.0</v>
      </c>
      <c r="J901" s="24">
        <v>36.0</v>
      </c>
      <c r="K901" s="24">
        <f>IF(H901=0,0,CAPITAL!$C$5/H901)
</f>
        <v>5000</v>
      </c>
      <c r="L901" s="24">
        <f>IF(I901=0,0,CAPITAL!$C$6/I901)
</f>
        <v>20000</v>
      </c>
      <c r="M901" s="24">
        <f>IF(J901=0,0,CAPITAL!$C$7/J901)
</f>
        <v>69444.44444</v>
      </c>
      <c r="N901" s="24">
        <f t="shared" si="1"/>
        <v>94444.44444</v>
      </c>
      <c r="O901" s="24">
        <f t="shared" si="2"/>
        <v>0.05294117647</v>
      </c>
      <c r="P901" s="24">
        <f t="shared" si="3"/>
        <v>0.2117647059</v>
      </c>
      <c r="Q901" s="24">
        <f t="shared" si="4"/>
        <v>0.7352941176</v>
      </c>
    </row>
    <row r="902">
      <c r="A902" s="32"/>
      <c r="B902" s="30"/>
      <c r="C902" s="33"/>
      <c r="D902" s="22"/>
      <c r="E902" s="31"/>
      <c r="F902" s="22"/>
      <c r="G902" s="33"/>
      <c r="H902" s="24">
        <v>30.0</v>
      </c>
      <c r="I902" s="24">
        <v>35.0</v>
      </c>
      <c r="J902" s="24">
        <v>36.0</v>
      </c>
      <c r="K902" s="24">
        <f>IF(H902=0,0,CAPITAL!$C$5/H902)
</f>
        <v>5000</v>
      </c>
      <c r="L902" s="24">
        <f>IF(I902=0,0,CAPITAL!$C$6/I902)
</f>
        <v>20000</v>
      </c>
      <c r="M902" s="24">
        <f>IF(J902=0,0,CAPITAL!$C$7/J902)
</f>
        <v>69444.44444</v>
      </c>
      <c r="N902" s="24">
        <f t="shared" si="1"/>
        <v>94444.44444</v>
      </c>
      <c r="O902" s="24">
        <f t="shared" si="2"/>
        <v>0.05294117647</v>
      </c>
      <c r="P902" s="24">
        <f t="shared" si="3"/>
        <v>0.2117647059</v>
      </c>
      <c r="Q902" s="24">
        <f t="shared" si="4"/>
        <v>0.7352941176</v>
      </c>
    </row>
    <row r="903">
      <c r="A903" s="32"/>
      <c r="B903" s="30"/>
      <c r="C903" s="33"/>
      <c r="D903" s="22"/>
      <c r="E903" s="31"/>
      <c r="F903" s="22"/>
      <c r="G903" s="33"/>
      <c r="H903" s="24">
        <v>30.0</v>
      </c>
      <c r="I903" s="24">
        <v>35.0</v>
      </c>
      <c r="J903" s="24">
        <v>36.0</v>
      </c>
      <c r="K903" s="24">
        <f>IF(H903=0,0,CAPITAL!$C$5/H903)
</f>
        <v>5000</v>
      </c>
      <c r="L903" s="24">
        <f>IF(I903=0,0,CAPITAL!$C$6/I903)
</f>
        <v>20000</v>
      </c>
      <c r="M903" s="24">
        <f>IF(J903=0,0,CAPITAL!$C$7/J903)
</f>
        <v>69444.44444</v>
      </c>
      <c r="N903" s="24">
        <f t="shared" si="1"/>
        <v>94444.44444</v>
      </c>
      <c r="O903" s="24">
        <f t="shared" si="2"/>
        <v>0.05294117647</v>
      </c>
      <c r="P903" s="24">
        <f t="shared" si="3"/>
        <v>0.2117647059</v>
      </c>
      <c r="Q903" s="24">
        <f t="shared" si="4"/>
        <v>0.7352941176</v>
      </c>
    </row>
    <row r="904">
      <c r="A904" s="32"/>
      <c r="B904" s="30"/>
      <c r="C904" s="33"/>
      <c r="D904" s="22"/>
      <c r="E904" s="31"/>
      <c r="F904" s="22"/>
      <c r="G904" s="33"/>
      <c r="H904" s="24">
        <v>30.0</v>
      </c>
      <c r="I904" s="24">
        <v>35.0</v>
      </c>
      <c r="J904" s="24">
        <v>36.0</v>
      </c>
      <c r="K904" s="24">
        <f>IF(H904=0,0,CAPITAL!$C$5/H904)
</f>
        <v>5000</v>
      </c>
      <c r="L904" s="24">
        <f>IF(I904=0,0,CAPITAL!$C$6/I904)
</f>
        <v>20000</v>
      </c>
      <c r="M904" s="24">
        <f>IF(J904=0,0,CAPITAL!$C$7/J904)
</f>
        <v>69444.44444</v>
      </c>
      <c r="N904" s="24">
        <f t="shared" si="1"/>
        <v>94444.44444</v>
      </c>
      <c r="O904" s="24">
        <f t="shared" si="2"/>
        <v>0.05294117647</v>
      </c>
      <c r="P904" s="24">
        <f t="shared" si="3"/>
        <v>0.2117647059</v>
      </c>
      <c r="Q904" s="24">
        <f t="shared" si="4"/>
        <v>0.7352941176</v>
      </c>
    </row>
    <row r="905">
      <c r="A905" s="32"/>
      <c r="B905" s="30"/>
      <c r="C905" s="33"/>
      <c r="D905" s="22"/>
      <c r="E905" s="31"/>
      <c r="F905" s="22"/>
      <c r="G905" s="33"/>
      <c r="H905" s="24">
        <v>30.0</v>
      </c>
      <c r="I905" s="24">
        <v>35.0</v>
      </c>
      <c r="J905" s="24">
        <v>36.0</v>
      </c>
      <c r="K905" s="24">
        <f>IF(H905=0,0,CAPITAL!$C$5/H905)
</f>
        <v>5000</v>
      </c>
      <c r="L905" s="24">
        <f>IF(I905=0,0,CAPITAL!$C$6/I905)
</f>
        <v>20000</v>
      </c>
      <c r="M905" s="24">
        <f>IF(J905=0,0,CAPITAL!$C$7/J905)
</f>
        <v>69444.44444</v>
      </c>
      <c r="N905" s="24">
        <f t="shared" si="1"/>
        <v>94444.44444</v>
      </c>
      <c r="O905" s="24">
        <f t="shared" si="2"/>
        <v>0.05294117647</v>
      </c>
      <c r="P905" s="24">
        <f t="shared" si="3"/>
        <v>0.2117647059</v>
      </c>
      <c r="Q905" s="24">
        <f t="shared" si="4"/>
        <v>0.7352941176</v>
      </c>
    </row>
    <row r="906">
      <c r="A906" s="32"/>
      <c r="B906" s="30"/>
      <c r="C906" s="33"/>
      <c r="D906" s="22"/>
      <c r="E906" s="31"/>
      <c r="F906" s="22"/>
      <c r="G906" s="33"/>
      <c r="H906" s="24">
        <v>30.0</v>
      </c>
      <c r="I906" s="24">
        <v>35.0</v>
      </c>
      <c r="J906" s="24">
        <v>36.0</v>
      </c>
      <c r="K906" s="24">
        <f>IF(H906=0,0,CAPITAL!$C$5/H906)
</f>
        <v>5000</v>
      </c>
      <c r="L906" s="24">
        <f>IF(I906=0,0,CAPITAL!$C$6/I906)
</f>
        <v>20000</v>
      </c>
      <c r="M906" s="24">
        <f>IF(J906=0,0,CAPITAL!$C$7/J906)
</f>
        <v>69444.44444</v>
      </c>
      <c r="N906" s="24">
        <f t="shared" si="1"/>
        <v>94444.44444</v>
      </c>
      <c r="O906" s="24">
        <f t="shared" si="2"/>
        <v>0.05294117647</v>
      </c>
      <c r="P906" s="24">
        <f t="shared" si="3"/>
        <v>0.2117647059</v>
      </c>
      <c r="Q906" s="24">
        <f t="shared" si="4"/>
        <v>0.7352941176</v>
      </c>
    </row>
    <row r="907">
      <c r="A907" s="32"/>
      <c r="B907" s="30"/>
      <c r="C907" s="33"/>
      <c r="D907" s="22"/>
      <c r="E907" s="31"/>
      <c r="F907" s="22"/>
      <c r="G907" s="33"/>
      <c r="H907" s="24">
        <v>30.0</v>
      </c>
      <c r="I907" s="24">
        <v>35.0</v>
      </c>
      <c r="J907" s="24">
        <v>36.0</v>
      </c>
      <c r="K907" s="24">
        <f>IF(H907=0,0,CAPITAL!$C$5/H907)
</f>
        <v>5000</v>
      </c>
      <c r="L907" s="24">
        <f>IF(I907=0,0,CAPITAL!$C$6/I907)
</f>
        <v>20000</v>
      </c>
      <c r="M907" s="24">
        <f>IF(J907=0,0,CAPITAL!$C$7/J907)
</f>
        <v>69444.44444</v>
      </c>
      <c r="N907" s="24">
        <f t="shared" si="1"/>
        <v>94444.44444</v>
      </c>
      <c r="O907" s="24">
        <f t="shared" si="2"/>
        <v>0.05294117647</v>
      </c>
      <c r="P907" s="24">
        <f t="shared" si="3"/>
        <v>0.2117647059</v>
      </c>
      <c r="Q907" s="24">
        <f t="shared" si="4"/>
        <v>0.7352941176</v>
      </c>
    </row>
    <row r="908">
      <c r="A908" s="32"/>
      <c r="B908" s="30"/>
      <c r="C908" s="33"/>
      <c r="D908" s="22"/>
      <c r="E908" s="31"/>
      <c r="F908" s="22"/>
      <c r="G908" s="33"/>
      <c r="H908" s="24">
        <v>30.0</v>
      </c>
      <c r="I908" s="24">
        <v>35.0</v>
      </c>
      <c r="J908" s="24">
        <v>36.0</v>
      </c>
      <c r="K908" s="24">
        <f>IF(H908=0,0,CAPITAL!$C$5/H908)
</f>
        <v>5000</v>
      </c>
      <c r="L908" s="24">
        <f>IF(I908=0,0,CAPITAL!$C$6/I908)
</f>
        <v>20000</v>
      </c>
      <c r="M908" s="24">
        <f>IF(J908=0,0,CAPITAL!$C$7/J908)
</f>
        <v>69444.44444</v>
      </c>
      <c r="N908" s="24">
        <f t="shared" si="1"/>
        <v>94444.44444</v>
      </c>
      <c r="O908" s="24">
        <f t="shared" si="2"/>
        <v>0.05294117647</v>
      </c>
      <c r="P908" s="24">
        <f t="shared" si="3"/>
        <v>0.2117647059</v>
      </c>
      <c r="Q908" s="24">
        <f t="shared" si="4"/>
        <v>0.7352941176</v>
      </c>
    </row>
    <row r="909">
      <c r="A909" s="32"/>
      <c r="B909" s="30"/>
      <c r="C909" s="33"/>
      <c r="D909" s="22"/>
      <c r="E909" s="31"/>
      <c r="F909" s="22"/>
      <c r="G909" s="33"/>
      <c r="H909" s="24">
        <v>30.0</v>
      </c>
      <c r="I909" s="24">
        <v>35.0</v>
      </c>
      <c r="J909" s="24">
        <v>36.0</v>
      </c>
      <c r="K909" s="24">
        <f>IF(H909=0,0,CAPITAL!$C$5/H909)
</f>
        <v>5000</v>
      </c>
      <c r="L909" s="24">
        <f>IF(I909=0,0,CAPITAL!$C$6/I909)
</f>
        <v>20000</v>
      </c>
      <c r="M909" s="24">
        <f>IF(J909=0,0,CAPITAL!$C$7/J909)
</f>
        <v>69444.44444</v>
      </c>
      <c r="N909" s="24">
        <f t="shared" si="1"/>
        <v>94444.44444</v>
      </c>
      <c r="O909" s="24">
        <f t="shared" si="2"/>
        <v>0.05294117647</v>
      </c>
      <c r="P909" s="24">
        <f t="shared" si="3"/>
        <v>0.2117647059</v>
      </c>
      <c r="Q909" s="24">
        <f t="shared" si="4"/>
        <v>0.7352941176</v>
      </c>
    </row>
    <row r="910">
      <c r="A910" s="32"/>
      <c r="B910" s="30"/>
      <c r="C910" s="33"/>
      <c r="D910" s="22"/>
      <c r="E910" s="31"/>
      <c r="F910" s="22"/>
      <c r="G910" s="33"/>
      <c r="H910" s="24">
        <v>30.0</v>
      </c>
      <c r="I910" s="24">
        <v>35.0</v>
      </c>
      <c r="J910" s="24">
        <v>36.0</v>
      </c>
      <c r="K910" s="24">
        <f>IF(H910=0,0,CAPITAL!$C$5/H910)
</f>
        <v>5000</v>
      </c>
      <c r="L910" s="24">
        <f>IF(I910=0,0,CAPITAL!$C$6/I910)
</f>
        <v>20000</v>
      </c>
      <c r="M910" s="24">
        <f>IF(J910=0,0,CAPITAL!$C$7/J910)
</f>
        <v>69444.44444</v>
      </c>
      <c r="N910" s="24">
        <f t="shared" si="1"/>
        <v>94444.44444</v>
      </c>
      <c r="O910" s="24">
        <f t="shared" si="2"/>
        <v>0.05294117647</v>
      </c>
      <c r="P910" s="24">
        <f t="shared" si="3"/>
        <v>0.2117647059</v>
      </c>
      <c r="Q910" s="24">
        <f t="shared" si="4"/>
        <v>0.7352941176</v>
      </c>
    </row>
    <row r="911">
      <c r="A911" s="32"/>
      <c r="B911" s="30"/>
      <c r="C911" s="33"/>
      <c r="D911" s="22"/>
      <c r="E911" s="31"/>
      <c r="F911" s="22"/>
      <c r="G911" s="33"/>
      <c r="H911" s="24">
        <v>30.0</v>
      </c>
      <c r="I911" s="24">
        <v>35.0</v>
      </c>
      <c r="J911" s="24">
        <v>36.0</v>
      </c>
      <c r="K911" s="24">
        <f>IF(H911=0,0,CAPITAL!$C$5/H911)
</f>
        <v>5000</v>
      </c>
      <c r="L911" s="24">
        <f>IF(I911=0,0,CAPITAL!$C$6/I911)
</f>
        <v>20000</v>
      </c>
      <c r="M911" s="24">
        <f>IF(J911=0,0,CAPITAL!$C$7/J911)
</f>
        <v>69444.44444</v>
      </c>
      <c r="N911" s="24">
        <f t="shared" si="1"/>
        <v>94444.44444</v>
      </c>
      <c r="O911" s="24">
        <f t="shared" si="2"/>
        <v>0.05294117647</v>
      </c>
      <c r="P911" s="24">
        <f t="shared" si="3"/>
        <v>0.2117647059</v>
      </c>
      <c r="Q911" s="24">
        <f t="shared" si="4"/>
        <v>0.7352941176</v>
      </c>
    </row>
    <row r="912">
      <c r="A912" s="32"/>
      <c r="B912" s="30"/>
      <c r="C912" s="33"/>
      <c r="D912" s="22"/>
      <c r="E912" s="31"/>
      <c r="F912" s="22"/>
      <c r="G912" s="33"/>
      <c r="H912" s="24">
        <v>30.0</v>
      </c>
      <c r="I912" s="24">
        <v>35.0</v>
      </c>
      <c r="J912" s="24">
        <v>36.0</v>
      </c>
      <c r="K912" s="24">
        <f>IF(H912=0,0,CAPITAL!$C$5/H912)
</f>
        <v>5000</v>
      </c>
      <c r="L912" s="24">
        <f>IF(I912=0,0,CAPITAL!$C$6/I912)
</f>
        <v>20000</v>
      </c>
      <c r="M912" s="24">
        <f>IF(J912=0,0,CAPITAL!$C$7/J912)
</f>
        <v>69444.44444</v>
      </c>
      <c r="N912" s="24">
        <f t="shared" si="1"/>
        <v>94444.44444</v>
      </c>
      <c r="O912" s="24">
        <f t="shared" si="2"/>
        <v>0.05294117647</v>
      </c>
      <c r="P912" s="24">
        <f t="shared" si="3"/>
        <v>0.2117647059</v>
      </c>
      <c r="Q912" s="24">
        <f t="shared" si="4"/>
        <v>0.7352941176</v>
      </c>
    </row>
    <row r="913">
      <c r="A913" s="32"/>
      <c r="B913" s="30"/>
      <c r="C913" s="33"/>
      <c r="D913" s="22"/>
      <c r="E913" s="31"/>
      <c r="F913" s="22"/>
      <c r="G913" s="33"/>
      <c r="H913" s="24">
        <v>30.0</v>
      </c>
      <c r="I913" s="24">
        <v>35.0</v>
      </c>
      <c r="J913" s="24">
        <v>36.0</v>
      </c>
      <c r="K913" s="24">
        <f>IF(H913=0,0,CAPITAL!$C$5/H913)
</f>
        <v>5000</v>
      </c>
      <c r="L913" s="24">
        <f>IF(I913=0,0,CAPITAL!$C$6/I913)
</f>
        <v>20000</v>
      </c>
      <c r="M913" s="24">
        <f>IF(J913=0,0,CAPITAL!$C$7/J913)
</f>
        <v>69444.44444</v>
      </c>
      <c r="N913" s="24">
        <f t="shared" si="1"/>
        <v>94444.44444</v>
      </c>
      <c r="O913" s="24">
        <f t="shared" si="2"/>
        <v>0.05294117647</v>
      </c>
      <c r="P913" s="24">
        <f t="shared" si="3"/>
        <v>0.2117647059</v>
      </c>
      <c r="Q913" s="24">
        <f t="shared" si="4"/>
        <v>0.7352941176</v>
      </c>
    </row>
    <row r="914">
      <c r="A914" s="32"/>
      <c r="B914" s="30"/>
      <c r="C914" s="33"/>
      <c r="D914" s="22"/>
      <c r="E914" s="31"/>
      <c r="F914" s="22"/>
      <c r="G914" s="33"/>
      <c r="H914" s="24">
        <v>30.0</v>
      </c>
      <c r="I914" s="24">
        <v>35.0</v>
      </c>
      <c r="J914" s="24">
        <v>36.0</v>
      </c>
      <c r="K914" s="24">
        <f>IF(H914=0,0,CAPITAL!$C$5/H914)
</f>
        <v>5000</v>
      </c>
      <c r="L914" s="24">
        <f>IF(I914=0,0,CAPITAL!$C$6/I914)
</f>
        <v>20000</v>
      </c>
      <c r="M914" s="24">
        <f>IF(J914=0,0,CAPITAL!$C$7/J914)
</f>
        <v>69444.44444</v>
      </c>
      <c r="N914" s="24">
        <f t="shared" si="1"/>
        <v>94444.44444</v>
      </c>
      <c r="O914" s="24">
        <f t="shared" si="2"/>
        <v>0.05294117647</v>
      </c>
      <c r="P914" s="24">
        <f t="shared" si="3"/>
        <v>0.2117647059</v>
      </c>
      <c r="Q914" s="24">
        <f t="shared" si="4"/>
        <v>0.7352941176</v>
      </c>
    </row>
    <row r="915">
      <c r="A915" s="32"/>
      <c r="B915" s="30"/>
      <c r="C915" s="33"/>
      <c r="D915" s="22"/>
      <c r="E915" s="31"/>
      <c r="F915" s="22"/>
      <c r="G915" s="33"/>
      <c r="H915" s="24">
        <v>30.0</v>
      </c>
      <c r="I915" s="24">
        <v>35.0</v>
      </c>
      <c r="J915" s="24">
        <v>36.0</v>
      </c>
      <c r="K915" s="24">
        <f>IF(H915=0,0,CAPITAL!$C$5/H915)
</f>
        <v>5000</v>
      </c>
      <c r="L915" s="24">
        <f>IF(I915=0,0,CAPITAL!$C$6/I915)
</f>
        <v>20000</v>
      </c>
      <c r="M915" s="24">
        <f>IF(J915=0,0,CAPITAL!$C$7/J915)
</f>
        <v>69444.44444</v>
      </c>
      <c r="N915" s="24">
        <f t="shared" si="1"/>
        <v>94444.44444</v>
      </c>
      <c r="O915" s="24">
        <f t="shared" si="2"/>
        <v>0.05294117647</v>
      </c>
      <c r="P915" s="24">
        <f t="shared" si="3"/>
        <v>0.2117647059</v>
      </c>
      <c r="Q915" s="24">
        <f t="shared" si="4"/>
        <v>0.7352941176</v>
      </c>
    </row>
    <row r="916">
      <c r="A916" s="32"/>
      <c r="B916" s="30"/>
      <c r="C916" s="33"/>
      <c r="D916" s="22"/>
      <c r="E916" s="31"/>
      <c r="F916" s="22"/>
      <c r="G916" s="33"/>
      <c r="H916" s="24">
        <v>30.0</v>
      </c>
      <c r="I916" s="24">
        <v>35.0</v>
      </c>
      <c r="J916" s="24">
        <v>36.0</v>
      </c>
      <c r="K916" s="24">
        <f>IF(H916=0,0,CAPITAL!$C$5/H916)
</f>
        <v>5000</v>
      </c>
      <c r="L916" s="24">
        <f>IF(I916=0,0,CAPITAL!$C$6/I916)
</f>
        <v>20000</v>
      </c>
      <c r="M916" s="24">
        <f>IF(J916=0,0,CAPITAL!$C$7/J916)
</f>
        <v>69444.44444</v>
      </c>
      <c r="N916" s="24">
        <f t="shared" si="1"/>
        <v>94444.44444</v>
      </c>
      <c r="O916" s="24">
        <f t="shared" si="2"/>
        <v>0.05294117647</v>
      </c>
      <c r="P916" s="24">
        <f t="shared" si="3"/>
        <v>0.2117647059</v>
      </c>
      <c r="Q916" s="24">
        <f t="shared" si="4"/>
        <v>0.7352941176</v>
      </c>
    </row>
    <row r="917">
      <c r="A917" s="32"/>
      <c r="B917" s="30"/>
      <c r="C917" s="33"/>
      <c r="D917" s="22"/>
      <c r="E917" s="31"/>
      <c r="F917" s="22"/>
      <c r="G917" s="33"/>
      <c r="H917" s="24">
        <v>30.0</v>
      </c>
      <c r="I917" s="24">
        <v>35.0</v>
      </c>
      <c r="J917" s="24">
        <v>36.0</v>
      </c>
      <c r="K917" s="24">
        <f>IF(H917=0,0,CAPITAL!$C$5/H917)
</f>
        <v>5000</v>
      </c>
      <c r="L917" s="24">
        <f>IF(I917=0,0,CAPITAL!$C$6/I917)
</f>
        <v>20000</v>
      </c>
      <c r="M917" s="24">
        <f>IF(J917=0,0,CAPITAL!$C$7/J917)
</f>
        <v>69444.44444</v>
      </c>
      <c r="N917" s="24">
        <f t="shared" si="1"/>
        <v>94444.44444</v>
      </c>
      <c r="O917" s="24">
        <f t="shared" si="2"/>
        <v>0.05294117647</v>
      </c>
      <c r="P917" s="24">
        <f t="shared" si="3"/>
        <v>0.2117647059</v>
      </c>
      <c r="Q917" s="24">
        <f t="shared" si="4"/>
        <v>0.7352941176</v>
      </c>
    </row>
    <row r="918">
      <c r="A918" s="32"/>
      <c r="B918" s="30"/>
      <c r="C918" s="33"/>
      <c r="D918" s="22"/>
      <c r="E918" s="31"/>
      <c r="F918" s="22"/>
      <c r="G918" s="33"/>
      <c r="H918" s="24">
        <v>30.0</v>
      </c>
      <c r="I918" s="24">
        <v>35.0</v>
      </c>
      <c r="J918" s="24">
        <v>36.0</v>
      </c>
      <c r="K918" s="24">
        <f>IF(H918=0,0,CAPITAL!$C$5/H918)
</f>
        <v>5000</v>
      </c>
      <c r="L918" s="24">
        <f>IF(I918=0,0,CAPITAL!$C$6/I918)
</f>
        <v>20000</v>
      </c>
      <c r="M918" s="24">
        <f>IF(J918=0,0,CAPITAL!$C$7/J918)
</f>
        <v>69444.44444</v>
      </c>
      <c r="N918" s="24">
        <f t="shared" si="1"/>
        <v>94444.44444</v>
      </c>
      <c r="O918" s="24">
        <f t="shared" si="2"/>
        <v>0.05294117647</v>
      </c>
      <c r="P918" s="24">
        <f t="shared" si="3"/>
        <v>0.2117647059</v>
      </c>
      <c r="Q918" s="24">
        <f t="shared" si="4"/>
        <v>0.7352941176</v>
      </c>
    </row>
    <row r="919">
      <c r="A919" s="32"/>
      <c r="B919" s="30"/>
      <c r="C919" s="33"/>
      <c r="D919" s="22"/>
      <c r="E919" s="31"/>
      <c r="F919" s="22"/>
      <c r="G919" s="33"/>
      <c r="H919" s="24">
        <v>30.0</v>
      </c>
      <c r="I919" s="24">
        <v>35.0</v>
      </c>
      <c r="J919" s="24">
        <v>36.0</v>
      </c>
      <c r="K919" s="24">
        <f>IF(H919=0,0,CAPITAL!$C$5/H919)
</f>
        <v>5000</v>
      </c>
      <c r="L919" s="24">
        <f>IF(I919=0,0,CAPITAL!$C$6/I919)
</f>
        <v>20000</v>
      </c>
      <c r="M919" s="24">
        <f>IF(J919=0,0,CAPITAL!$C$7/J919)
</f>
        <v>69444.44444</v>
      </c>
      <c r="N919" s="24">
        <f t="shared" si="1"/>
        <v>94444.44444</v>
      </c>
      <c r="O919" s="24">
        <f t="shared" si="2"/>
        <v>0.05294117647</v>
      </c>
      <c r="P919" s="24">
        <f t="shared" si="3"/>
        <v>0.2117647059</v>
      </c>
      <c r="Q919" s="24">
        <f t="shared" si="4"/>
        <v>0.7352941176</v>
      </c>
    </row>
    <row r="920">
      <c r="A920" s="32"/>
      <c r="B920" s="30"/>
      <c r="C920" s="33"/>
      <c r="D920" s="22"/>
      <c r="E920" s="31"/>
      <c r="F920" s="22"/>
      <c r="G920" s="33"/>
      <c r="H920" s="24">
        <v>30.0</v>
      </c>
      <c r="I920" s="24">
        <v>35.0</v>
      </c>
      <c r="J920" s="24">
        <v>36.0</v>
      </c>
      <c r="K920" s="24">
        <f>IF(H920=0,0,CAPITAL!$C$5/H920)
</f>
        <v>5000</v>
      </c>
      <c r="L920" s="24">
        <f>IF(I920=0,0,CAPITAL!$C$6/I920)
</f>
        <v>20000</v>
      </c>
      <c r="M920" s="24">
        <f>IF(J920=0,0,CAPITAL!$C$7/J920)
</f>
        <v>69444.44444</v>
      </c>
      <c r="N920" s="24">
        <f t="shared" si="1"/>
        <v>94444.44444</v>
      </c>
      <c r="O920" s="24">
        <f t="shared" si="2"/>
        <v>0.05294117647</v>
      </c>
      <c r="P920" s="24">
        <f t="shared" si="3"/>
        <v>0.2117647059</v>
      </c>
      <c r="Q920" s="24">
        <f t="shared" si="4"/>
        <v>0.7352941176</v>
      </c>
    </row>
    <row r="921">
      <c r="A921" s="32"/>
      <c r="B921" s="30"/>
      <c r="C921" s="33"/>
      <c r="D921" s="22"/>
      <c r="E921" s="31"/>
      <c r="F921" s="22"/>
      <c r="G921" s="33"/>
      <c r="H921" s="24">
        <v>30.0</v>
      </c>
      <c r="I921" s="24">
        <v>35.0</v>
      </c>
      <c r="J921" s="24">
        <v>36.0</v>
      </c>
      <c r="K921" s="24">
        <f>IF(H921=0,0,CAPITAL!$C$5/H921)
</f>
        <v>5000</v>
      </c>
      <c r="L921" s="24">
        <f>IF(I921=0,0,CAPITAL!$C$6/I921)
</f>
        <v>20000</v>
      </c>
      <c r="M921" s="24">
        <f>IF(J921=0,0,CAPITAL!$C$7/J921)
</f>
        <v>69444.44444</v>
      </c>
      <c r="N921" s="24">
        <f t="shared" si="1"/>
        <v>94444.44444</v>
      </c>
      <c r="O921" s="24">
        <f t="shared" si="2"/>
        <v>0.05294117647</v>
      </c>
      <c r="P921" s="24">
        <f t="shared" si="3"/>
        <v>0.2117647059</v>
      </c>
      <c r="Q921" s="24">
        <f t="shared" si="4"/>
        <v>0.7352941176</v>
      </c>
    </row>
    <row r="922">
      <c r="A922" s="32"/>
      <c r="B922" s="30"/>
      <c r="C922" s="33"/>
      <c r="D922" s="22"/>
      <c r="E922" s="31"/>
      <c r="F922" s="22"/>
      <c r="G922" s="33"/>
      <c r="H922" s="24">
        <v>30.0</v>
      </c>
      <c r="I922" s="24">
        <v>35.0</v>
      </c>
      <c r="J922" s="24">
        <v>36.0</v>
      </c>
      <c r="K922" s="24">
        <f>IF(H922=0,0,CAPITAL!$C$5/H922)
</f>
        <v>5000</v>
      </c>
      <c r="L922" s="24">
        <f>IF(I922=0,0,CAPITAL!$C$6/I922)
</f>
        <v>20000</v>
      </c>
      <c r="M922" s="24">
        <f>IF(J922=0,0,CAPITAL!$C$7/J922)
</f>
        <v>69444.44444</v>
      </c>
      <c r="N922" s="24">
        <f t="shared" si="1"/>
        <v>94444.44444</v>
      </c>
      <c r="O922" s="24">
        <f t="shared" si="2"/>
        <v>0.05294117647</v>
      </c>
      <c r="P922" s="24">
        <f t="shared" si="3"/>
        <v>0.2117647059</v>
      </c>
      <c r="Q922" s="24">
        <f t="shared" si="4"/>
        <v>0.7352941176</v>
      </c>
    </row>
    <row r="923">
      <c r="A923" s="32"/>
      <c r="B923" s="30"/>
      <c r="C923" s="33"/>
      <c r="D923" s="22"/>
      <c r="E923" s="31"/>
      <c r="F923" s="22"/>
      <c r="G923" s="33"/>
      <c r="H923" s="24">
        <v>30.0</v>
      </c>
      <c r="I923" s="24">
        <v>35.0</v>
      </c>
      <c r="J923" s="24">
        <v>36.0</v>
      </c>
      <c r="K923" s="24">
        <f>IF(H923=0,0,CAPITAL!$C$5/H923)
</f>
        <v>5000</v>
      </c>
      <c r="L923" s="24">
        <f>IF(I923=0,0,CAPITAL!$C$6/I923)
</f>
        <v>20000</v>
      </c>
      <c r="M923" s="24">
        <f>IF(J923=0,0,CAPITAL!$C$7/J923)
</f>
        <v>69444.44444</v>
      </c>
      <c r="N923" s="24">
        <f t="shared" si="1"/>
        <v>94444.44444</v>
      </c>
      <c r="O923" s="24">
        <f t="shared" si="2"/>
        <v>0.05294117647</v>
      </c>
      <c r="P923" s="24">
        <f t="shared" si="3"/>
        <v>0.2117647059</v>
      </c>
      <c r="Q923" s="24">
        <f t="shared" si="4"/>
        <v>0.7352941176</v>
      </c>
    </row>
    <row r="924">
      <c r="A924" s="32"/>
      <c r="B924" s="30"/>
      <c r="C924" s="33"/>
      <c r="D924" s="22"/>
      <c r="E924" s="31"/>
      <c r="F924" s="22"/>
      <c r="G924" s="33"/>
      <c r="H924" s="24">
        <v>30.0</v>
      </c>
      <c r="I924" s="24">
        <v>35.0</v>
      </c>
      <c r="J924" s="24">
        <v>36.0</v>
      </c>
      <c r="K924" s="24">
        <f>IF(H924=0,0,CAPITAL!$C$5/H924)
</f>
        <v>5000</v>
      </c>
      <c r="L924" s="24">
        <f>IF(I924=0,0,CAPITAL!$C$6/I924)
</f>
        <v>20000</v>
      </c>
      <c r="M924" s="24">
        <f>IF(J924=0,0,CAPITAL!$C$7/J924)
</f>
        <v>69444.44444</v>
      </c>
      <c r="N924" s="24">
        <f t="shared" si="1"/>
        <v>94444.44444</v>
      </c>
      <c r="O924" s="24">
        <f t="shared" si="2"/>
        <v>0.05294117647</v>
      </c>
      <c r="P924" s="24">
        <f t="shared" si="3"/>
        <v>0.2117647059</v>
      </c>
      <c r="Q924" s="24">
        <f t="shared" si="4"/>
        <v>0.7352941176</v>
      </c>
    </row>
    <row r="925">
      <c r="A925" s="32"/>
      <c r="B925" s="30"/>
      <c r="C925" s="33"/>
      <c r="D925" s="22"/>
      <c r="E925" s="31"/>
      <c r="F925" s="22"/>
      <c r="G925" s="33"/>
      <c r="H925" s="24">
        <v>30.0</v>
      </c>
      <c r="I925" s="24">
        <v>35.0</v>
      </c>
      <c r="J925" s="24">
        <v>36.0</v>
      </c>
      <c r="K925" s="24">
        <f>IF(H925=0,0,CAPITAL!$C$5/H925)
</f>
        <v>5000</v>
      </c>
      <c r="L925" s="24">
        <f>IF(I925=0,0,CAPITAL!$C$6/I925)
</f>
        <v>20000</v>
      </c>
      <c r="M925" s="24">
        <f>IF(J925=0,0,CAPITAL!$C$7/J925)
</f>
        <v>69444.44444</v>
      </c>
      <c r="N925" s="24">
        <f t="shared" si="1"/>
        <v>94444.44444</v>
      </c>
      <c r="O925" s="24">
        <f t="shared" si="2"/>
        <v>0.05294117647</v>
      </c>
      <c r="P925" s="24">
        <f t="shared" si="3"/>
        <v>0.2117647059</v>
      </c>
      <c r="Q925" s="24">
        <f t="shared" si="4"/>
        <v>0.7352941176</v>
      </c>
    </row>
    <row r="926">
      <c r="A926" s="32"/>
      <c r="B926" s="30"/>
      <c r="C926" s="33"/>
      <c r="D926" s="22"/>
      <c r="E926" s="31"/>
      <c r="F926" s="22"/>
      <c r="G926" s="33"/>
      <c r="H926" s="24">
        <v>30.0</v>
      </c>
      <c r="I926" s="24">
        <v>35.0</v>
      </c>
      <c r="J926" s="24">
        <v>36.0</v>
      </c>
      <c r="K926" s="24">
        <f>IF(H926=0,0,CAPITAL!$C$5/H926)
</f>
        <v>5000</v>
      </c>
      <c r="L926" s="24">
        <f>IF(I926=0,0,CAPITAL!$C$6/I926)
</f>
        <v>20000</v>
      </c>
      <c r="M926" s="24">
        <f>IF(J926=0,0,CAPITAL!$C$7/J926)
</f>
        <v>69444.44444</v>
      </c>
      <c r="N926" s="24">
        <f t="shared" si="1"/>
        <v>94444.44444</v>
      </c>
      <c r="O926" s="24">
        <f t="shared" si="2"/>
        <v>0.05294117647</v>
      </c>
      <c r="P926" s="24">
        <f t="shared" si="3"/>
        <v>0.2117647059</v>
      </c>
      <c r="Q926" s="24">
        <f t="shared" si="4"/>
        <v>0.7352941176</v>
      </c>
    </row>
    <row r="927">
      <c r="A927" s="32"/>
      <c r="B927" s="30"/>
      <c r="C927" s="33"/>
      <c r="D927" s="22"/>
      <c r="E927" s="31"/>
      <c r="F927" s="22"/>
      <c r="G927" s="33"/>
      <c r="H927" s="24">
        <v>30.0</v>
      </c>
      <c r="I927" s="24">
        <v>35.0</v>
      </c>
      <c r="J927" s="24">
        <v>36.0</v>
      </c>
      <c r="K927" s="24">
        <f>IF(H927=0,0,CAPITAL!$C$5/H927)
</f>
        <v>5000</v>
      </c>
      <c r="L927" s="24">
        <f>IF(I927=0,0,CAPITAL!$C$6/I927)
</f>
        <v>20000</v>
      </c>
      <c r="M927" s="24">
        <f>IF(J927=0,0,CAPITAL!$C$7/J927)
</f>
        <v>69444.44444</v>
      </c>
      <c r="N927" s="24">
        <f t="shared" si="1"/>
        <v>94444.44444</v>
      </c>
      <c r="O927" s="24">
        <f t="shared" si="2"/>
        <v>0.05294117647</v>
      </c>
      <c r="P927" s="24">
        <f t="shared" si="3"/>
        <v>0.2117647059</v>
      </c>
      <c r="Q927" s="24">
        <f t="shared" si="4"/>
        <v>0.7352941176</v>
      </c>
    </row>
    <row r="928">
      <c r="A928" s="32"/>
      <c r="B928" s="30"/>
      <c r="C928" s="33"/>
      <c r="D928" s="22"/>
      <c r="E928" s="31"/>
      <c r="F928" s="22"/>
      <c r="G928" s="33"/>
      <c r="H928" s="24">
        <v>30.0</v>
      </c>
      <c r="I928" s="24">
        <v>35.0</v>
      </c>
      <c r="J928" s="24">
        <v>36.0</v>
      </c>
      <c r="K928" s="24">
        <f>IF(H928=0,0,CAPITAL!$C$5/H928)
</f>
        <v>5000</v>
      </c>
      <c r="L928" s="24">
        <f>IF(I928=0,0,CAPITAL!$C$6/I928)
</f>
        <v>20000</v>
      </c>
      <c r="M928" s="24">
        <f>IF(J928=0,0,CAPITAL!$C$7/J928)
</f>
        <v>69444.44444</v>
      </c>
      <c r="N928" s="24">
        <f t="shared" si="1"/>
        <v>94444.44444</v>
      </c>
      <c r="O928" s="24">
        <f t="shared" si="2"/>
        <v>0.05294117647</v>
      </c>
      <c r="P928" s="24">
        <f t="shared" si="3"/>
        <v>0.2117647059</v>
      </c>
      <c r="Q928" s="24">
        <f t="shared" si="4"/>
        <v>0.7352941176</v>
      </c>
    </row>
    <row r="929">
      <c r="A929" s="32"/>
      <c r="B929" s="30"/>
      <c r="C929" s="33"/>
      <c r="D929" s="22"/>
      <c r="E929" s="31"/>
      <c r="F929" s="22"/>
      <c r="G929" s="33"/>
      <c r="H929" s="24">
        <v>30.0</v>
      </c>
      <c r="I929" s="24">
        <v>35.0</v>
      </c>
      <c r="J929" s="24">
        <v>36.0</v>
      </c>
      <c r="K929" s="24">
        <f>IF(H929=0,0,CAPITAL!$C$5/H929)
</f>
        <v>5000</v>
      </c>
      <c r="L929" s="24">
        <f>IF(I929=0,0,CAPITAL!$C$6/I929)
</f>
        <v>20000</v>
      </c>
      <c r="M929" s="24">
        <f>IF(J929=0,0,CAPITAL!$C$7/J929)
</f>
        <v>69444.44444</v>
      </c>
      <c r="N929" s="24">
        <f t="shared" si="1"/>
        <v>94444.44444</v>
      </c>
      <c r="O929" s="24">
        <f t="shared" si="2"/>
        <v>0.05294117647</v>
      </c>
      <c r="P929" s="24">
        <f t="shared" si="3"/>
        <v>0.2117647059</v>
      </c>
      <c r="Q929" s="24">
        <f t="shared" si="4"/>
        <v>0.7352941176</v>
      </c>
    </row>
    <row r="930">
      <c r="A930" s="32"/>
      <c r="B930" s="30"/>
      <c r="C930" s="33"/>
      <c r="D930" s="22"/>
      <c r="E930" s="31"/>
      <c r="F930" s="22"/>
      <c r="G930" s="33"/>
      <c r="H930" s="24">
        <v>30.0</v>
      </c>
      <c r="I930" s="24">
        <v>35.0</v>
      </c>
      <c r="J930" s="24">
        <v>36.0</v>
      </c>
      <c r="K930" s="24">
        <f>IF(H930=0,0,CAPITAL!$C$5/H930)
</f>
        <v>5000</v>
      </c>
      <c r="L930" s="24">
        <f>IF(I930=0,0,CAPITAL!$C$6/I930)
</f>
        <v>20000</v>
      </c>
      <c r="M930" s="24">
        <f>IF(J930=0,0,CAPITAL!$C$7/J930)
</f>
        <v>69444.44444</v>
      </c>
      <c r="N930" s="24">
        <f t="shared" si="1"/>
        <v>94444.44444</v>
      </c>
      <c r="O930" s="24">
        <f t="shared" si="2"/>
        <v>0.05294117647</v>
      </c>
      <c r="P930" s="24">
        <f t="shared" si="3"/>
        <v>0.2117647059</v>
      </c>
      <c r="Q930" s="24">
        <f t="shared" si="4"/>
        <v>0.7352941176</v>
      </c>
    </row>
    <row r="931">
      <c r="A931" s="32"/>
      <c r="B931" s="30"/>
      <c r="C931" s="33"/>
      <c r="D931" s="22"/>
      <c r="E931" s="31"/>
      <c r="F931" s="22"/>
      <c r="G931" s="33"/>
      <c r="H931" s="24">
        <v>30.0</v>
      </c>
      <c r="I931" s="24">
        <v>35.0</v>
      </c>
      <c r="J931" s="24">
        <v>36.0</v>
      </c>
      <c r="K931" s="24">
        <f>IF(H931=0,0,CAPITAL!$C$5/H931)
</f>
        <v>5000</v>
      </c>
      <c r="L931" s="24">
        <f>IF(I931=0,0,CAPITAL!$C$6/I931)
</f>
        <v>20000</v>
      </c>
      <c r="M931" s="24">
        <f>IF(J931=0,0,CAPITAL!$C$7/J931)
</f>
        <v>69444.44444</v>
      </c>
      <c r="N931" s="24">
        <f t="shared" si="1"/>
        <v>94444.44444</v>
      </c>
      <c r="O931" s="24">
        <f t="shared" si="2"/>
        <v>0.05294117647</v>
      </c>
      <c r="P931" s="24">
        <f t="shared" si="3"/>
        <v>0.2117647059</v>
      </c>
      <c r="Q931" s="24">
        <f t="shared" si="4"/>
        <v>0.7352941176</v>
      </c>
    </row>
    <row r="932">
      <c r="A932" s="32"/>
      <c r="B932" s="30"/>
      <c r="C932" s="33"/>
      <c r="D932" s="22"/>
      <c r="E932" s="31"/>
      <c r="F932" s="22"/>
      <c r="G932" s="33"/>
      <c r="H932" s="24">
        <v>30.0</v>
      </c>
      <c r="I932" s="24">
        <v>35.0</v>
      </c>
      <c r="J932" s="24">
        <v>36.0</v>
      </c>
      <c r="K932" s="24">
        <f>IF(H932=0,0,CAPITAL!$C$5/H932)
</f>
        <v>5000</v>
      </c>
      <c r="L932" s="24">
        <f>IF(I932=0,0,CAPITAL!$C$6/I932)
</f>
        <v>20000</v>
      </c>
      <c r="M932" s="24">
        <f>IF(J932=0,0,CAPITAL!$C$7/J932)
</f>
        <v>69444.44444</v>
      </c>
      <c r="N932" s="24">
        <f t="shared" si="1"/>
        <v>94444.44444</v>
      </c>
      <c r="O932" s="24">
        <f t="shared" si="2"/>
        <v>0.05294117647</v>
      </c>
      <c r="P932" s="24">
        <f t="shared" si="3"/>
        <v>0.2117647059</v>
      </c>
      <c r="Q932" s="24">
        <f t="shared" si="4"/>
        <v>0.7352941176</v>
      </c>
    </row>
    <row r="933">
      <c r="A933" s="32"/>
      <c r="B933" s="30"/>
      <c r="C933" s="33"/>
      <c r="D933" s="22"/>
      <c r="E933" s="31"/>
      <c r="F933" s="22"/>
      <c r="G933" s="33"/>
      <c r="H933" s="24">
        <v>30.0</v>
      </c>
      <c r="I933" s="24">
        <v>35.0</v>
      </c>
      <c r="J933" s="24">
        <v>36.0</v>
      </c>
      <c r="K933" s="24">
        <f>IF(H933=0,0,CAPITAL!$C$5/H933)
</f>
        <v>5000</v>
      </c>
      <c r="L933" s="24">
        <f>IF(I933=0,0,CAPITAL!$C$6/I933)
</f>
        <v>20000</v>
      </c>
      <c r="M933" s="24">
        <f>IF(J933=0,0,CAPITAL!$C$7/J933)
</f>
        <v>69444.44444</v>
      </c>
      <c r="N933" s="24">
        <f t="shared" si="1"/>
        <v>94444.44444</v>
      </c>
      <c r="O933" s="24">
        <f t="shared" si="2"/>
        <v>0.05294117647</v>
      </c>
      <c r="P933" s="24">
        <f t="shared" si="3"/>
        <v>0.2117647059</v>
      </c>
      <c r="Q933" s="24">
        <f t="shared" si="4"/>
        <v>0.7352941176</v>
      </c>
    </row>
    <row r="934">
      <c r="A934" s="32"/>
      <c r="B934" s="30"/>
      <c r="C934" s="33"/>
      <c r="D934" s="22"/>
      <c r="E934" s="31"/>
      <c r="F934" s="22"/>
      <c r="G934" s="33"/>
      <c r="H934" s="24">
        <v>30.0</v>
      </c>
      <c r="I934" s="24">
        <v>35.0</v>
      </c>
      <c r="J934" s="24">
        <v>36.0</v>
      </c>
      <c r="K934" s="24">
        <f>IF(H934=0,0,CAPITAL!$C$5/H934)
</f>
        <v>5000</v>
      </c>
      <c r="L934" s="24">
        <f>IF(I934=0,0,CAPITAL!$C$6/I934)
</f>
        <v>20000</v>
      </c>
      <c r="M934" s="24">
        <f>IF(J934=0,0,CAPITAL!$C$7/J934)
</f>
        <v>69444.44444</v>
      </c>
      <c r="N934" s="24">
        <f t="shared" si="1"/>
        <v>94444.44444</v>
      </c>
      <c r="O934" s="24">
        <f t="shared" si="2"/>
        <v>0.05294117647</v>
      </c>
      <c r="P934" s="24">
        <f t="shared" si="3"/>
        <v>0.2117647059</v>
      </c>
      <c r="Q934" s="24">
        <f t="shared" si="4"/>
        <v>0.7352941176</v>
      </c>
    </row>
    <row r="935">
      <c r="A935" s="32"/>
      <c r="B935" s="30"/>
      <c r="C935" s="33"/>
      <c r="D935" s="22"/>
      <c r="E935" s="31"/>
      <c r="F935" s="22"/>
      <c r="G935" s="33"/>
      <c r="H935" s="24">
        <v>30.0</v>
      </c>
      <c r="I935" s="24">
        <v>35.0</v>
      </c>
      <c r="J935" s="24">
        <v>36.0</v>
      </c>
      <c r="K935" s="24">
        <f>IF(H935=0,0,CAPITAL!$C$5/H935)
</f>
        <v>5000</v>
      </c>
      <c r="L935" s="24">
        <f>IF(I935=0,0,CAPITAL!$C$6/I935)
</f>
        <v>20000</v>
      </c>
      <c r="M935" s="24">
        <f>IF(J935=0,0,CAPITAL!$C$7/J935)
</f>
        <v>69444.44444</v>
      </c>
      <c r="N935" s="24">
        <f t="shared" si="1"/>
        <v>94444.44444</v>
      </c>
      <c r="O935" s="24">
        <f t="shared" si="2"/>
        <v>0.05294117647</v>
      </c>
      <c r="P935" s="24">
        <f t="shared" si="3"/>
        <v>0.2117647059</v>
      </c>
      <c r="Q935" s="24">
        <f t="shared" si="4"/>
        <v>0.7352941176</v>
      </c>
    </row>
    <row r="936">
      <c r="A936" s="32"/>
      <c r="B936" s="30"/>
      <c r="C936" s="33"/>
      <c r="D936" s="22"/>
      <c r="E936" s="31"/>
      <c r="F936" s="22"/>
      <c r="G936" s="33"/>
      <c r="H936" s="24">
        <v>30.0</v>
      </c>
      <c r="I936" s="24">
        <v>35.0</v>
      </c>
      <c r="J936" s="24">
        <v>36.0</v>
      </c>
      <c r="K936" s="24">
        <f>IF(H936=0,0,CAPITAL!$C$5/H936)
</f>
        <v>5000</v>
      </c>
      <c r="L936" s="24">
        <f>IF(I936=0,0,CAPITAL!$C$6/I936)
</f>
        <v>20000</v>
      </c>
      <c r="M936" s="24">
        <f>IF(J936=0,0,CAPITAL!$C$7/J936)
</f>
        <v>69444.44444</v>
      </c>
      <c r="N936" s="24">
        <f t="shared" si="1"/>
        <v>94444.44444</v>
      </c>
      <c r="O936" s="24">
        <f t="shared" si="2"/>
        <v>0.05294117647</v>
      </c>
      <c r="P936" s="24">
        <f t="shared" si="3"/>
        <v>0.2117647059</v>
      </c>
      <c r="Q936" s="24">
        <f t="shared" si="4"/>
        <v>0.7352941176</v>
      </c>
    </row>
    <row r="937">
      <c r="A937" s="32"/>
      <c r="B937" s="30"/>
      <c r="C937" s="33"/>
      <c r="D937" s="22"/>
      <c r="E937" s="31"/>
      <c r="F937" s="22"/>
      <c r="G937" s="33"/>
      <c r="H937" s="24">
        <v>30.0</v>
      </c>
      <c r="I937" s="24">
        <v>35.0</v>
      </c>
      <c r="J937" s="24">
        <v>36.0</v>
      </c>
      <c r="K937" s="24">
        <f>IF(H937=0,0,CAPITAL!$C$5/H937)
</f>
        <v>5000</v>
      </c>
      <c r="L937" s="24">
        <f>IF(I937=0,0,CAPITAL!$C$6/I937)
</f>
        <v>20000</v>
      </c>
      <c r="M937" s="24">
        <f>IF(J937=0,0,CAPITAL!$C$7/J937)
</f>
        <v>69444.44444</v>
      </c>
      <c r="N937" s="24">
        <f t="shared" si="1"/>
        <v>94444.44444</v>
      </c>
      <c r="O937" s="24">
        <f t="shared" si="2"/>
        <v>0.05294117647</v>
      </c>
      <c r="P937" s="24">
        <f t="shared" si="3"/>
        <v>0.2117647059</v>
      </c>
      <c r="Q937" s="24">
        <f t="shared" si="4"/>
        <v>0.7352941176</v>
      </c>
    </row>
    <row r="938">
      <c r="A938" s="32"/>
      <c r="B938" s="30"/>
      <c r="C938" s="33"/>
      <c r="D938" s="22"/>
      <c r="E938" s="31"/>
      <c r="F938" s="22"/>
      <c r="G938" s="33"/>
      <c r="H938" s="24">
        <v>30.0</v>
      </c>
      <c r="I938" s="24">
        <v>35.0</v>
      </c>
      <c r="J938" s="24">
        <v>36.0</v>
      </c>
      <c r="K938" s="24">
        <f>IF(H938=0,0,CAPITAL!$C$5/H938)
</f>
        <v>5000</v>
      </c>
      <c r="L938" s="24">
        <f>IF(I938=0,0,CAPITAL!$C$6/I938)
</f>
        <v>20000</v>
      </c>
      <c r="M938" s="24">
        <f>IF(J938=0,0,CAPITAL!$C$7/J938)
</f>
        <v>69444.44444</v>
      </c>
      <c r="N938" s="24">
        <f t="shared" si="1"/>
        <v>94444.44444</v>
      </c>
      <c r="O938" s="24">
        <f t="shared" si="2"/>
        <v>0.05294117647</v>
      </c>
      <c r="P938" s="24">
        <f t="shared" si="3"/>
        <v>0.2117647059</v>
      </c>
      <c r="Q938" s="24">
        <f t="shared" si="4"/>
        <v>0.7352941176</v>
      </c>
    </row>
    <row r="939">
      <c r="A939" s="32"/>
      <c r="B939" s="30"/>
      <c r="C939" s="33"/>
      <c r="D939" s="22"/>
      <c r="E939" s="31"/>
      <c r="F939" s="22"/>
      <c r="G939" s="33"/>
      <c r="H939" s="24">
        <v>30.0</v>
      </c>
      <c r="I939" s="24">
        <v>35.0</v>
      </c>
      <c r="J939" s="24">
        <v>36.0</v>
      </c>
      <c r="K939" s="24">
        <f>IF(H939=0,0,CAPITAL!$C$5/H939)
</f>
        <v>5000</v>
      </c>
      <c r="L939" s="24">
        <f>IF(I939=0,0,CAPITAL!$C$6/I939)
</f>
        <v>20000</v>
      </c>
      <c r="M939" s="24">
        <f>IF(J939=0,0,CAPITAL!$C$7/J939)
</f>
        <v>69444.44444</v>
      </c>
      <c r="N939" s="24">
        <f t="shared" si="1"/>
        <v>94444.44444</v>
      </c>
      <c r="O939" s="24">
        <f t="shared" si="2"/>
        <v>0.05294117647</v>
      </c>
      <c r="P939" s="24">
        <f t="shared" si="3"/>
        <v>0.2117647059</v>
      </c>
      <c r="Q939" s="24">
        <f t="shared" si="4"/>
        <v>0.7352941176</v>
      </c>
    </row>
    <row r="940">
      <c r="A940" s="32"/>
      <c r="B940" s="30"/>
      <c r="C940" s="33"/>
      <c r="D940" s="22"/>
      <c r="E940" s="31"/>
      <c r="F940" s="22"/>
      <c r="G940" s="33"/>
      <c r="H940" s="24">
        <v>30.0</v>
      </c>
      <c r="I940" s="24">
        <v>35.0</v>
      </c>
      <c r="J940" s="24">
        <v>36.0</v>
      </c>
      <c r="K940" s="24">
        <f>IF(H940=0,0,CAPITAL!$C$5/H940)
</f>
        <v>5000</v>
      </c>
      <c r="L940" s="24">
        <f>IF(I940=0,0,CAPITAL!$C$6/I940)
</f>
        <v>20000</v>
      </c>
      <c r="M940" s="24">
        <f>IF(J940=0,0,CAPITAL!$C$7/J940)
</f>
        <v>69444.44444</v>
      </c>
      <c r="N940" s="24">
        <f t="shared" si="1"/>
        <v>94444.44444</v>
      </c>
      <c r="O940" s="24">
        <f t="shared" si="2"/>
        <v>0.05294117647</v>
      </c>
      <c r="P940" s="24">
        <f t="shared" si="3"/>
        <v>0.2117647059</v>
      </c>
      <c r="Q940" s="24">
        <f t="shared" si="4"/>
        <v>0.7352941176</v>
      </c>
    </row>
    <row r="941">
      <c r="A941" s="32"/>
      <c r="B941" s="30"/>
      <c r="C941" s="33"/>
      <c r="D941" s="22"/>
      <c r="E941" s="31"/>
      <c r="F941" s="22"/>
      <c r="G941" s="33"/>
      <c r="H941" s="24">
        <v>30.0</v>
      </c>
      <c r="I941" s="24">
        <v>35.0</v>
      </c>
      <c r="J941" s="24">
        <v>36.0</v>
      </c>
      <c r="K941" s="24">
        <f>IF(H941=0,0,CAPITAL!$C$5/H941)
</f>
        <v>5000</v>
      </c>
      <c r="L941" s="24">
        <f>IF(I941=0,0,CAPITAL!$C$6/I941)
</f>
        <v>20000</v>
      </c>
      <c r="M941" s="24">
        <f>IF(J941=0,0,CAPITAL!$C$7/J941)
</f>
        <v>69444.44444</v>
      </c>
      <c r="N941" s="24">
        <f t="shared" si="1"/>
        <v>94444.44444</v>
      </c>
      <c r="O941" s="24">
        <f t="shared" si="2"/>
        <v>0.05294117647</v>
      </c>
      <c r="P941" s="24">
        <f t="shared" si="3"/>
        <v>0.2117647059</v>
      </c>
      <c r="Q941" s="24">
        <f t="shared" si="4"/>
        <v>0.7352941176</v>
      </c>
    </row>
    <row r="942">
      <c r="A942" s="32"/>
      <c r="B942" s="30"/>
      <c r="C942" s="33"/>
      <c r="D942" s="22"/>
      <c r="E942" s="31"/>
      <c r="F942" s="22"/>
      <c r="G942" s="33"/>
      <c r="H942" s="24">
        <v>30.0</v>
      </c>
      <c r="I942" s="24">
        <v>35.0</v>
      </c>
      <c r="J942" s="24">
        <v>36.0</v>
      </c>
      <c r="K942" s="24">
        <f>IF(H942=0,0,CAPITAL!$C$5/H942)
</f>
        <v>5000</v>
      </c>
      <c r="L942" s="24">
        <f>IF(I942=0,0,CAPITAL!$C$6/I942)
</f>
        <v>20000</v>
      </c>
      <c r="M942" s="24">
        <f>IF(J942=0,0,CAPITAL!$C$7/J942)
</f>
        <v>69444.44444</v>
      </c>
      <c r="N942" s="24">
        <f t="shared" si="1"/>
        <v>94444.44444</v>
      </c>
      <c r="O942" s="24">
        <f t="shared" si="2"/>
        <v>0.05294117647</v>
      </c>
      <c r="P942" s="24">
        <f t="shared" si="3"/>
        <v>0.2117647059</v>
      </c>
      <c r="Q942" s="24">
        <f t="shared" si="4"/>
        <v>0.7352941176</v>
      </c>
    </row>
    <row r="943">
      <c r="A943" s="32"/>
      <c r="B943" s="30"/>
      <c r="C943" s="33"/>
      <c r="D943" s="22"/>
      <c r="E943" s="31"/>
      <c r="F943" s="22"/>
      <c r="G943" s="33"/>
      <c r="H943" s="24">
        <v>30.0</v>
      </c>
      <c r="I943" s="24">
        <v>35.0</v>
      </c>
      <c r="J943" s="24">
        <v>36.0</v>
      </c>
      <c r="K943" s="24">
        <f>IF(H943=0,0,CAPITAL!$C$5/H943)
</f>
        <v>5000</v>
      </c>
      <c r="L943" s="24">
        <f>IF(I943=0,0,CAPITAL!$C$6/I943)
</f>
        <v>20000</v>
      </c>
      <c r="M943" s="24">
        <f>IF(J943=0,0,CAPITAL!$C$7/J943)
</f>
        <v>69444.44444</v>
      </c>
      <c r="N943" s="24">
        <f t="shared" si="1"/>
        <v>94444.44444</v>
      </c>
      <c r="O943" s="24">
        <f t="shared" si="2"/>
        <v>0.05294117647</v>
      </c>
      <c r="P943" s="24">
        <f t="shared" si="3"/>
        <v>0.2117647059</v>
      </c>
      <c r="Q943" s="24">
        <f t="shared" si="4"/>
        <v>0.7352941176</v>
      </c>
    </row>
    <row r="944">
      <c r="A944" s="32"/>
      <c r="B944" s="30"/>
      <c r="C944" s="33"/>
      <c r="D944" s="22"/>
      <c r="E944" s="31"/>
      <c r="F944" s="22"/>
      <c r="G944" s="33"/>
      <c r="H944" s="24">
        <v>30.0</v>
      </c>
      <c r="I944" s="24">
        <v>35.0</v>
      </c>
      <c r="J944" s="24">
        <v>36.0</v>
      </c>
      <c r="K944" s="24">
        <f>IF(H944=0,0,CAPITAL!$C$5/H944)
</f>
        <v>5000</v>
      </c>
      <c r="L944" s="24">
        <f>IF(I944=0,0,CAPITAL!$C$6/I944)
</f>
        <v>20000</v>
      </c>
      <c r="M944" s="24">
        <f>IF(J944=0,0,CAPITAL!$C$7/J944)
</f>
        <v>69444.44444</v>
      </c>
      <c r="N944" s="24">
        <f t="shared" si="1"/>
        <v>94444.44444</v>
      </c>
      <c r="O944" s="24">
        <f t="shared" si="2"/>
        <v>0.05294117647</v>
      </c>
      <c r="P944" s="24">
        <f t="shared" si="3"/>
        <v>0.2117647059</v>
      </c>
      <c r="Q944" s="24">
        <f t="shared" si="4"/>
        <v>0.7352941176</v>
      </c>
    </row>
    <row r="945">
      <c r="A945" s="32"/>
      <c r="B945" s="30"/>
      <c r="C945" s="33"/>
      <c r="D945" s="22"/>
      <c r="E945" s="31"/>
      <c r="F945" s="22"/>
      <c r="G945" s="33"/>
      <c r="H945" s="24">
        <v>30.0</v>
      </c>
      <c r="I945" s="24">
        <v>35.0</v>
      </c>
      <c r="J945" s="24">
        <v>36.0</v>
      </c>
      <c r="K945" s="24">
        <f>IF(H945=0,0,CAPITAL!$C$5/H945)
</f>
        <v>5000</v>
      </c>
      <c r="L945" s="24">
        <f>IF(I945=0,0,CAPITAL!$C$6/I945)
</f>
        <v>20000</v>
      </c>
      <c r="M945" s="24">
        <f>IF(J945=0,0,CAPITAL!$C$7/J945)
</f>
        <v>69444.44444</v>
      </c>
      <c r="N945" s="24">
        <f t="shared" si="1"/>
        <v>94444.44444</v>
      </c>
      <c r="O945" s="24">
        <f t="shared" si="2"/>
        <v>0.05294117647</v>
      </c>
      <c r="P945" s="24">
        <f t="shared" si="3"/>
        <v>0.2117647059</v>
      </c>
      <c r="Q945" s="24">
        <f t="shared" si="4"/>
        <v>0.7352941176</v>
      </c>
    </row>
    <row r="946">
      <c r="A946" s="32"/>
      <c r="B946" s="30"/>
      <c r="C946" s="33"/>
      <c r="D946" s="22"/>
      <c r="E946" s="31"/>
      <c r="F946" s="22"/>
      <c r="G946" s="33"/>
      <c r="H946" s="24">
        <v>30.0</v>
      </c>
      <c r="I946" s="24">
        <v>35.0</v>
      </c>
      <c r="J946" s="24">
        <v>36.0</v>
      </c>
      <c r="K946" s="24">
        <f>IF(H946=0,0,CAPITAL!$C$5/H946)
</f>
        <v>5000</v>
      </c>
      <c r="L946" s="24">
        <f>IF(I946=0,0,CAPITAL!$C$6/I946)
</f>
        <v>20000</v>
      </c>
      <c r="M946" s="24">
        <f>IF(J946=0,0,CAPITAL!$C$7/J946)
</f>
        <v>69444.44444</v>
      </c>
      <c r="N946" s="24">
        <f t="shared" si="1"/>
        <v>94444.44444</v>
      </c>
      <c r="O946" s="24">
        <f t="shared" si="2"/>
        <v>0.05294117647</v>
      </c>
      <c r="P946" s="24">
        <f t="shared" si="3"/>
        <v>0.2117647059</v>
      </c>
      <c r="Q946" s="24">
        <f t="shared" si="4"/>
        <v>0.7352941176</v>
      </c>
    </row>
    <row r="947">
      <c r="A947" s="32"/>
      <c r="B947" s="30"/>
      <c r="C947" s="33"/>
      <c r="D947" s="22"/>
      <c r="E947" s="31"/>
      <c r="F947" s="22"/>
      <c r="G947" s="33"/>
      <c r="H947" s="24">
        <v>30.0</v>
      </c>
      <c r="I947" s="24">
        <v>35.0</v>
      </c>
      <c r="J947" s="24">
        <v>36.0</v>
      </c>
      <c r="K947" s="24">
        <f>IF(H947=0,0,CAPITAL!$C$5/H947)
</f>
        <v>5000</v>
      </c>
      <c r="L947" s="24">
        <f>IF(I947=0,0,CAPITAL!$C$6/I947)
</f>
        <v>20000</v>
      </c>
      <c r="M947" s="24">
        <f>IF(J947=0,0,CAPITAL!$C$7/J947)
</f>
        <v>69444.44444</v>
      </c>
      <c r="N947" s="24">
        <f t="shared" si="1"/>
        <v>94444.44444</v>
      </c>
      <c r="O947" s="24">
        <f t="shared" si="2"/>
        <v>0.05294117647</v>
      </c>
      <c r="P947" s="24">
        <f t="shared" si="3"/>
        <v>0.2117647059</v>
      </c>
      <c r="Q947" s="24">
        <f t="shared" si="4"/>
        <v>0.7352941176</v>
      </c>
    </row>
    <row r="948">
      <c r="A948" s="32"/>
      <c r="B948" s="30"/>
      <c r="C948" s="33"/>
      <c r="D948" s="22"/>
      <c r="E948" s="31"/>
      <c r="F948" s="22"/>
      <c r="G948" s="33"/>
      <c r="H948" s="24">
        <v>30.0</v>
      </c>
      <c r="I948" s="24">
        <v>35.0</v>
      </c>
      <c r="J948" s="24">
        <v>36.0</v>
      </c>
      <c r="K948" s="24">
        <f>IF(H948=0,0,CAPITAL!$C$5/H948)
</f>
        <v>5000</v>
      </c>
      <c r="L948" s="24">
        <f>IF(I948=0,0,CAPITAL!$C$6/I948)
</f>
        <v>20000</v>
      </c>
      <c r="M948" s="24">
        <f>IF(J948=0,0,CAPITAL!$C$7/J948)
</f>
        <v>69444.44444</v>
      </c>
      <c r="N948" s="24">
        <f t="shared" si="1"/>
        <v>94444.44444</v>
      </c>
      <c r="O948" s="24">
        <f t="shared" si="2"/>
        <v>0.05294117647</v>
      </c>
      <c r="P948" s="24">
        <f t="shared" si="3"/>
        <v>0.2117647059</v>
      </c>
      <c r="Q948" s="24">
        <f t="shared" si="4"/>
        <v>0.7352941176</v>
      </c>
    </row>
    <row r="949">
      <c r="A949" s="32"/>
      <c r="B949" s="30"/>
      <c r="C949" s="33"/>
      <c r="D949" s="22"/>
      <c r="E949" s="31"/>
      <c r="F949" s="22"/>
      <c r="G949" s="33"/>
      <c r="H949" s="24">
        <v>30.0</v>
      </c>
      <c r="I949" s="24">
        <v>35.0</v>
      </c>
      <c r="J949" s="24">
        <v>36.0</v>
      </c>
      <c r="K949" s="24">
        <f>IF(H949=0,0,CAPITAL!$C$5/H949)
</f>
        <v>5000</v>
      </c>
      <c r="L949" s="24">
        <f>IF(I949=0,0,CAPITAL!$C$6/I949)
</f>
        <v>20000</v>
      </c>
      <c r="M949" s="24">
        <f>IF(J949=0,0,CAPITAL!$C$7/J949)
</f>
        <v>69444.44444</v>
      </c>
      <c r="N949" s="24">
        <f t="shared" si="1"/>
        <v>94444.44444</v>
      </c>
      <c r="O949" s="24">
        <f t="shared" si="2"/>
        <v>0.05294117647</v>
      </c>
      <c r="P949" s="24">
        <f t="shared" si="3"/>
        <v>0.2117647059</v>
      </c>
      <c r="Q949" s="24">
        <f t="shared" si="4"/>
        <v>0.7352941176</v>
      </c>
    </row>
    <row r="950">
      <c r="A950" s="32"/>
      <c r="B950" s="30"/>
      <c r="C950" s="33"/>
      <c r="D950" s="22"/>
      <c r="E950" s="31"/>
      <c r="F950" s="22"/>
      <c r="G950" s="33"/>
      <c r="H950" s="24">
        <v>30.0</v>
      </c>
      <c r="I950" s="24">
        <v>35.0</v>
      </c>
      <c r="J950" s="24">
        <v>36.0</v>
      </c>
      <c r="K950" s="24">
        <f>IF(H950=0,0,CAPITAL!$C$5/H950)
</f>
        <v>5000</v>
      </c>
      <c r="L950" s="24">
        <f>IF(I950=0,0,CAPITAL!$C$6/I950)
</f>
        <v>20000</v>
      </c>
      <c r="M950" s="24">
        <f>IF(J950=0,0,CAPITAL!$C$7/J950)
</f>
        <v>69444.44444</v>
      </c>
      <c r="N950" s="24">
        <f t="shared" si="1"/>
        <v>94444.44444</v>
      </c>
      <c r="O950" s="24">
        <f t="shared" si="2"/>
        <v>0.05294117647</v>
      </c>
      <c r="P950" s="24">
        <f t="shared" si="3"/>
        <v>0.2117647059</v>
      </c>
      <c r="Q950" s="24">
        <f t="shared" si="4"/>
        <v>0.7352941176</v>
      </c>
    </row>
    <row r="951">
      <c r="A951" s="32"/>
      <c r="B951" s="30"/>
      <c r="C951" s="33"/>
      <c r="D951" s="22"/>
      <c r="E951" s="31"/>
      <c r="F951" s="22"/>
      <c r="G951" s="33"/>
      <c r="H951" s="24">
        <v>30.0</v>
      </c>
      <c r="I951" s="24">
        <v>35.0</v>
      </c>
      <c r="J951" s="24">
        <v>36.0</v>
      </c>
      <c r="K951" s="24">
        <f>IF(H951=0,0,CAPITAL!$C$5/H951)
</f>
        <v>5000</v>
      </c>
      <c r="L951" s="24">
        <f>IF(I951=0,0,CAPITAL!$C$6/I951)
</f>
        <v>20000</v>
      </c>
      <c r="M951" s="24">
        <f>IF(J951=0,0,CAPITAL!$C$7/J951)
</f>
        <v>69444.44444</v>
      </c>
      <c r="N951" s="24">
        <f t="shared" si="1"/>
        <v>94444.44444</v>
      </c>
      <c r="O951" s="24">
        <f t="shared" si="2"/>
        <v>0.05294117647</v>
      </c>
      <c r="P951" s="24">
        <f t="shared" si="3"/>
        <v>0.2117647059</v>
      </c>
      <c r="Q951" s="24">
        <f t="shared" si="4"/>
        <v>0.7352941176</v>
      </c>
    </row>
    <row r="952">
      <c r="A952" s="32"/>
      <c r="B952" s="30"/>
      <c r="C952" s="33"/>
      <c r="D952" s="22"/>
      <c r="E952" s="31"/>
      <c r="F952" s="22"/>
      <c r="G952" s="33"/>
      <c r="H952" s="24">
        <v>30.0</v>
      </c>
      <c r="I952" s="24">
        <v>35.0</v>
      </c>
      <c r="J952" s="24">
        <v>36.0</v>
      </c>
      <c r="K952" s="24">
        <f>IF(H952=0,0,CAPITAL!$C$5/H952)
</f>
        <v>5000</v>
      </c>
      <c r="L952" s="24">
        <f>IF(I952=0,0,CAPITAL!$C$6/I952)
</f>
        <v>20000</v>
      </c>
      <c r="M952" s="24">
        <f>IF(J952=0,0,CAPITAL!$C$7/J952)
</f>
        <v>69444.44444</v>
      </c>
      <c r="N952" s="24">
        <f t="shared" si="1"/>
        <v>94444.44444</v>
      </c>
      <c r="O952" s="24">
        <f t="shared" si="2"/>
        <v>0.05294117647</v>
      </c>
      <c r="P952" s="24">
        <f t="shared" si="3"/>
        <v>0.2117647059</v>
      </c>
      <c r="Q952" s="24">
        <f t="shared" si="4"/>
        <v>0.7352941176</v>
      </c>
    </row>
    <row r="953">
      <c r="A953" s="32"/>
      <c r="B953" s="30"/>
      <c r="C953" s="33"/>
      <c r="D953" s="22"/>
      <c r="E953" s="31"/>
      <c r="F953" s="22"/>
      <c r="G953" s="33"/>
      <c r="H953" s="24">
        <v>30.0</v>
      </c>
      <c r="I953" s="24">
        <v>35.0</v>
      </c>
      <c r="J953" s="24">
        <v>36.0</v>
      </c>
      <c r="K953" s="24">
        <f>IF(H953=0,0,CAPITAL!$C$5/H953)
</f>
        <v>5000</v>
      </c>
      <c r="L953" s="24">
        <f>IF(I953=0,0,CAPITAL!$C$6/I953)
</f>
        <v>20000</v>
      </c>
      <c r="M953" s="24">
        <f>IF(J953=0,0,CAPITAL!$C$7/J953)
</f>
        <v>69444.44444</v>
      </c>
      <c r="N953" s="24">
        <f t="shared" si="1"/>
        <v>94444.44444</v>
      </c>
      <c r="O953" s="24">
        <f t="shared" si="2"/>
        <v>0.05294117647</v>
      </c>
      <c r="P953" s="24">
        <f t="shared" si="3"/>
        <v>0.2117647059</v>
      </c>
      <c r="Q953" s="24">
        <f t="shared" si="4"/>
        <v>0.7352941176</v>
      </c>
    </row>
    <row r="954">
      <c r="A954" s="32"/>
      <c r="B954" s="30"/>
      <c r="C954" s="33"/>
      <c r="D954" s="22"/>
      <c r="E954" s="31"/>
      <c r="F954" s="22"/>
      <c r="G954" s="33"/>
      <c r="H954" s="24">
        <v>30.0</v>
      </c>
      <c r="I954" s="24">
        <v>35.0</v>
      </c>
      <c r="J954" s="24">
        <v>36.0</v>
      </c>
      <c r="K954" s="24">
        <f>IF(H954=0,0,CAPITAL!$C$5/H954)
</f>
        <v>5000</v>
      </c>
      <c r="L954" s="24">
        <f>IF(I954=0,0,CAPITAL!$C$6/I954)
</f>
        <v>20000</v>
      </c>
      <c r="M954" s="24">
        <f>IF(J954=0,0,CAPITAL!$C$7/J954)
</f>
        <v>69444.44444</v>
      </c>
      <c r="N954" s="24">
        <f t="shared" si="1"/>
        <v>94444.44444</v>
      </c>
      <c r="O954" s="24">
        <f t="shared" si="2"/>
        <v>0.05294117647</v>
      </c>
      <c r="P954" s="24">
        <f t="shared" si="3"/>
        <v>0.2117647059</v>
      </c>
      <c r="Q954" s="24">
        <f t="shared" si="4"/>
        <v>0.7352941176</v>
      </c>
    </row>
    <row r="955">
      <c r="A955" s="32"/>
      <c r="B955" s="30"/>
      <c r="C955" s="33"/>
      <c r="D955" s="22"/>
      <c r="E955" s="31"/>
      <c r="F955" s="22"/>
      <c r="G955" s="33"/>
      <c r="H955" s="24">
        <v>30.0</v>
      </c>
      <c r="I955" s="24">
        <v>35.0</v>
      </c>
      <c r="J955" s="24">
        <v>36.0</v>
      </c>
      <c r="K955" s="24">
        <f>IF(H955=0,0,CAPITAL!$C$5/H955)
</f>
        <v>5000</v>
      </c>
      <c r="L955" s="24">
        <f>IF(I955=0,0,CAPITAL!$C$6/I955)
</f>
        <v>20000</v>
      </c>
      <c r="M955" s="24">
        <f>IF(J955=0,0,CAPITAL!$C$7/J955)
</f>
        <v>69444.44444</v>
      </c>
      <c r="N955" s="24">
        <f t="shared" si="1"/>
        <v>94444.44444</v>
      </c>
      <c r="O955" s="24">
        <f t="shared" si="2"/>
        <v>0.05294117647</v>
      </c>
      <c r="P955" s="24">
        <f t="shared" si="3"/>
        <v>0.2117647059</v>
      </c>
      <c r="Q955" s="24">
        <f t="shared" si="4"/>
        <v>0.7352941176</v>
      </c>
    </row>
    <row r="956">
      <c r="A956" s="32"/>
      <c r="B956" s="30"/>
      <c r="C956" s="33"/>
      <c r="D956" s="22"/>
      <c r="E956" s="31"/>
      <c r="F956" s="22"/>
      <c r="G956" s="33"/>
      <c r="H956" s="24">
        <v>30.0</v>
      </c>
      <c r="I956" s="24">
        <v>35.0</v>
      </c>
      <c r="J956" s="24">
        <v>36.0</v>
      </c>
      <c r="K956" s="24">
        <f>IF(H956=0,0,CAPITAL!$C$5/H956)
</f>
        <v>5000</v>
      </c>
      <c r="L956" s="24">
        <f>IF(I956=0,0,CAPITAL!$C$6/I956)
</f>
        <v>20000</v>
      </c>
      <c r="M956" s="24">
        <f>IF(J956=0,0,CAPITAL!$C$7/J956)
</f>
        <v>69444.44444</v>
      </c>
      <c r="N956" s="24">
        <f t="shared" si="1"/>
        <v>94444.44444</v>
      </c>
      <c r="O956" s="24">
        <f t="shared" si="2"/>
        <v>0.05294117647</v>
      </c>
      <c r="P956" s="24">
        <f t="shared" si="3"/>
        <v>0.2117647059</v>
      </c>
      <c r="Q956" s="24">
        <f t="shared" si="4"/>
        <v>0.7352941176</v>
      </c>
    </row>
    <row r="957">
      <c r="A957" s="32"/>
      <c r="B957" s="30"/>
      <c r="C957" s="33"/>
      <c r="D957" s="22"/>
      <c r="E957" s="31"/>
      <c r="F957" s="22"/>
      <c r="G957" s="33"/>
      <c r="H957" s="24">
        <v>30.0</v>
      </c>
      <c r="I957" s="24">
        <v>35.0</v>
      </c>
      <c r="J957" s="24">
        <v>36.0</v>
      </c>
      <c r="K957" s="24">
        <f>IF(H957=0,0,CAPITAL!$C$5/H957)
</f>
        <v>5000</v>
      </c>
      <c r="L957" s="24">
        <f>IF(I957=0,0,CAPITAL!$C$6/I957)
</f>
        <v>20000</v>
      </c>
      <c r="M957" s="24">
        <f>IF(J957=0,0,CAPITAL!$C$7/J957)
</f>
        <v>69444.44444</v>
      </c>
      <c r="N957" s="24">
        <f t="shared" si="1"/>
        <v>94444.44444</v>
      </c>
      <c r="O957" s="24">
        <f t="shared" si="2"/>
        <v>0.05294117647</v>
      </c>
      <c r="P957" s="24">
        <f t="shared" si="3"/>
        <v>0.2117647059</v>
      </c>
      <c r="Q957" s="24">
        <f t="shared" si="4"/>
        <v>0.7352941176</v>
      </c>
    </row>
    <row r="958">
      <c r="A958" s="32"/>
      <c r="B958" s="30"/>
      <c r="C958" s="33"/>
      <c r="D958" s="22"/>
      <c r="E958" s="31"/>
      <c r="F958" s="22"/>
      <c r="G958" s="33"/>
      <c r="H958" s="24">
        <v>30.0</v>
      </c>
      <c r="I958" s="24">
        <v>35.0</v>
      </c>
      <c r="J958" s="24">
        <v>36.0</v>
      </c>
      <c r="K958" s="24">
        <f>IF(H958=0,0,CAPITAL!$C$5/H958)
</f>
        <v>5000</v>
      </c>
      <c r="L958" s="24">
        <f>IF(I958=0,0,CAPITAL!$C$6/I958)
</f>
        <v>20000</v>
      </c>
      <c r="M958" s="24">
        <f>IF(J958=0,0,CAPITAL!$C$7/J958)
</f>
        <v>69444.44444</v>
      </c>
      <c r="N958" s="24">
        <f t="shared" si="1"/>
        <v>94444.44444</v>
      </c>
      <c r="O958" s="24">
        <f t="shared" si="2"/>
        <v>0.05294117647</v>
      </c>
      <c r="P958" s="24">
        <f t="shared" si="3"/>
        <v>0.2117647059</v>
      </c>
      <c r="Q958" s="24">
        <f t="shared" si="4"/>
        <v>0.7352941176</v>
      </c>
    </row>
    <row r="959">
      <c r="A959" s="32"/>
      <c r="B959" s="30"/>
      <c r="C959" s="33"/>
      <c r="D959" s="22"/>
      <c r="E959" s="31"/>
      <c r="F959" s="22"/>
      <c r="G959" s="33"/>
      <c r="H959" s="24">
        <v>30.0</v>
      </c>
      <c r="I959" s="24">
        <v>35.0</v>
      </c>
      <c r="J959" s="24">
        <v>36.0</v>
      </c>
      <c r="K959" s="24">
        <f>IF(H959=0,0,CAPITAL!$C$5/H959)
</f>
        <v>5000</v>
      </c>
      <c r="L959" s="24">
        <f>IF(I959=0,0,CAPITAL!$C$6/I959)
</f>
        <v>20000</v>
      </c>
      <c r="M959" s="24">
        <f>IF(J959=0,0,CAPITAL!$C$7/J959)
</f>
        <v>69444.44444</v>
      </c>
      <c r="N959" s="24">
        <f t="shared" si="1"/>
        <v>94444.44444</v>
      </c>
      <c r="O959" s="24">
        <f t="shared" si="2"/>
        <v>0.05294117647</v>
      </c>
      <c r="P959" s="24">
        <f t="shared" si="3"/>
        <v>0.2117647059</v>
      </c>
      <c r="Q959" s="24">
        <f t="shared" si="4"/>
        <v>0.7352941176</v>
      </c>
    </row>
    <row r="960">
      <c r="A960" s="32"/>
      <c r="B960" s="30"/>
      <c r="C960" s="33"/>
      <c r="D960" s="22"/>
      <c r="E960" s="31"/>
      <c r="F960" s="22"/>
      <c r="G960" s="33"/>
      <c r="H960" s="24">
        <v>30.0</v>
      </c>
      <c r="I960" s="24">
        <v>35.0</v>
      </c>
      <c r="J960" s="24">
        <v>36.0</v>
      </c>
      <c r="K960" s="24">
        <f>IF(H960=0,0,CAPITAL!$C$5/H960)
</f>
        <v>5000</v>
      </c>
      <c r="L960" s="24">
        <f>IF(I960=0,0,CAPITAL!$C$6/I960)
</f>
        <v>20000</v>
      </c>
      <c r="M960" s="24">
        <f>IF(J960=0,0,CAPITAL!$C$7/J960)
</f>
        <v>69444.44444</v>
      </c>
      <c r="N960" s="24">
        <f t="shared" si="1"/>
        <v>94444.44444</v>
      </c>
      <c r="O960" s="24">
        <f t="shared" si="2"/>
        <v>0.05294117647</v>
      </c>
      <c r="P960" s="24">
        <f t="shared" si="3"/>
        <v>0.2117647059</v>
      </c>
      <c r="Q960" s="24">
        <f t="shared" si="4"/>
        <v>0.7352941176</v>
      </c>
    </row>
    <row r="961">
      <c r="A961" s="32"/>
      <c r="B961" s="30"/>
      <c r="C961" s="33"/>
      <c r="D961" s="22"/>
      <c r="E961" s="31"/>
      <c r="F961" s="22"/>
      <c r="G961" s="33"/>
      <c r="H961" s="24">
        <v>30.0</v>
      </c>
      <c r="I961" s="24">
        <v>35.0</v>
      </c>
      <c r="J961" s="24">
        <v>36.0</v>
      </c>
      <c r="K961" s="24">
        <f>IF(H961=0,0,CAPITAL!$C$5/H961)
</f>
        <v>5000</v>
      </c>
      <c r="L961" s="24">
        <f>IF(I961=0,0,CAPITAL!$C$6/I961)
</f>
        <v>20000</v>
      </c>
      <c r="M961" s="24">
        <f>IF(J961=0,0,CAPITAL!$C$7/J961)
</f>
        <v>69444.44444</v>
      </c>
      <c r="N961" s="24">
        <f t="shared" si="1"/>
        <v>94444.44444</v>
      </c>
      <c r="O961" s="24">
        <f t="shared" si="2"/>
        <v>0.05294117647</v>
      </c>
      <c r="P961" s="24">
        <f t="shared" si="3"/>
        <v>0.2117647059</v>
      </c>
      <c r="Q961" s="24">
        <f t="shared" si="4"/>
        <v>0.7352941176</v>
      </c>
    </row>
    <row r="962">
      <c r="A962" s="32"/>
      <c r="B962" s="30"/>
      <c r="C962" s="33"/>
      <c r="D962" s="22"/>
      <c r="E962" s="31"/>
      <c r="F962" s="22"/>
      <c r="G962" s="33"/>
      <c r="H962" s="24">
        <v>30.0</v>
      </c>
      <c r="I962" s="24">
        <v>35.0</v>
      </c>
      <c r="J962" s="24">
        <v>36.0</v>
      </c>
      <c r="K962" s="24">
        <f>IF(H962=0,0,CAPITAL!$C$5/H962)
</f>
        <v>5000</v>
      </c>
      <c r="L962" s="24">
        <f>IF(I962=0,0,CAPITAL!$C$6/I962)
</f>
        <v>20000</v>
      </c>
      <c r="M962" s="24">
        <f>IF(J962=0,0,CAPITAL!$C$7/J962)
</f>
        <v>69444.44444</v>
      </c>
      <c r="N962" s="24">
        <f t="shared" si="1"/>
        <v>94444.44444</v>
      </c>
      <c r="O962" s="24">
        <f t="shared" si="2"/>
        <v>0.05294117647</v>
      </c>
      <c r="P962" s="24">
        <f t="shared" si="3"/>
        <v>0.2117647059</v>
      </c>
      <c r="Q962" s="24">
        <f t="shared" si="4"/>
        <v>0.7352941176</v>
      </c>
    </row>
    <row r="963">
      <c r="A963" s="32"/>
      <c r="B963" s="30"/>
      <c r="C963" s="33"/>
      <c r="D963" s="22"/>
      <c r="E963" s="31"/>
      <c r="F963" s="22"/>
      <c r="G963" s="33"/>
      <c r="H963" s="24">
        <v>30.0</v>
      </c>
      <c r="I963" s="24">
        <v>35.0</v>
      </c>
      <c r="J963" s="24">
        <v>36.0</v>
      </c>
      <c r="K963" s="24">
        <f>IF(H963=0,0,CAPITAL!$C$5/H963)
</f>
        <v>5000</v>
      </c>
      <c r="L963" s="24">
        <f>IF(I963=0,0,CAPITAL!$C$6/I963)
</f>
        <v>20000</v>
      </c>
      <c r="M963" s="24">
        <f>IF(J963=0,0,CAPITAL!$C$7/J963)
</f>
        <v>69444.44444</v>
      </c>
      <c r="N963" s="24">
        <f t="shared" si="1"/>
        <v>94444.44444</v>
      </c>
      <c r="O963" s="24">
        <f t="shared" si="2"/>
        <v>0.05294117647</v>
      </c>
      <c r="P963" s="24">
        <f t="shared" si="3"/>
        <v>0.2117647059</v>
      </c>
      <c r="Q963" s="24">
        <f t="shared" si="4"/>
        <v>0.7352941176</v>
      </c>
    </row>
    <row r="964">
      <c r="A964" s="32"/>
      <c r="B964" s="30"/>
      <c r="C964" s="33"/>
      <c r="D964" s="22"/>
      <c r="E964" s="31"/>
      <c r="F964" s="22"/>
      <c r="G964" s="33"/>
      <c r="H964" s="24">
        <v>30.0</v>
      </c>
      <c r="I964" s="24">
        <v>35.0</v>
      </c>
      <c r="J964" s="24">
        <v>36.0</v>
      </c>
      <c r="K964" s="24">
        <f>IF(H964=0,0,CAPITAL!$C$5/H964)
</f>
        <v>5000</v>
      </c>
      <c r="L964" s="24">
        <f>IF(I964=0,0,CAPITAL!$C$6/I964)
</f>
        <v>20000</v>
      </c>
      <c r="M964" s="24">
        <f>IF(J964=0,0,CAPITAL!$C$7/J964)
</f>
        <v>69444.44444</v>
      </c>
      <c r="N964" s="24">
        <f t="shared" si="1"/>
        <v>94444.44444</v>
      </c>
      <c r="O964" s="24">
        <f t="shared" si="2"/>
        <v>0.05294117647</v>
      </c>
      <c r="P964" s="24">
        <f t="shared" si="3"/>
        <v>0.2117647059</v>
      </c>
      <c r="Q964" s="24">
        <f t="shared" si="4"/>
        <v>0.7352941176</v>
      </c>
    </row>
    <row r="965">
      <c r="A965" s="32"/>
      <c r="B965" s="30"/>
      <c r="C965" s="33"/>
      <c r="D965" s="22"/>
      <c r="E965" s="31"/>
      <c r="F965" s="22"/>
      <c r="G965" s="33"/>
      <c r="H965" s="24">
        <v>30.0</v>
      </c>
      <c r="I965" s="24">
        <v>35.0</v>
      </c>
      <c r="J965" s="24">
        <v>36.0</v>
      </c>
      <c r="K965" s="24">
        <f>IF(H965=0,0,CAPITAL!$C$5/H965)
</f>
        <v>5000</v>
      </c>
      <c r="L965" s="24">
        <f>IF(I965=0,0,CAPITAL!$C$6/I965)
</f>
        <v>20000</v>
      </c>
      <c r="M965" s="24">
        <f>IF(J965=0,0,CAPITAL!$C$7/J965)
</f>
        <v>69444.44444</v>
      </c>
      <c r="N965" s="24">
        <f t="shared" si="1"/>
        <v>94444.44444</v>
      </c>
      <c r="O965" s="24">
        <f t="shared" si="2"/>
        <v>0.05294117647</v>
      </c>
      <c r="P965" s="24">
        <f t="shared" si="3"/>
        <v>0.2117647059</v>
      </c>
      <c r="Q965" s="24">
        <f t="shared" si="4"/>
        <v>0.7352941176</v>
      </c>
    </row>
    <row r="966">
      <c r="A966" s="32"/>
      <c r="B966" s="30"/>
      <c r="C966" s="33"/>
      <c r="D966" s="22"/>
      <c r="E966" s="31"/>
      <c r="F966" s="22"/>
      <c r="G966" s="33"/>
      <c r="H966" s="24">
        <v>30.0</v>
      </c>
      <c r="I966" s="24">
        <v>35.0</v>
      </c>
      <c r="J966" s="24">
        <v>36.0</v>
      </c>
      <c r="K966" s="24">
        <f>IF(H966=0,0,CAPITAL!$C$5/H966)
</f>
        <v>5000</v>
      </c>
      <c r="L966" s="24">
        <f>IF(I966=0,0,CAPITAL!$C$6/I966)
</f>
        <v>20000</v>
      </c>
      <c r="M966" s="24">
        <f>IF(J966=0,0,CAPITAL!$C$7/J966)
</f>
        <v>69444.44444</v>
      </c>
      <c r="N966" s="24">
        <f t="shared" si="1"/>
        <v>94444.44444</v>
      </c>
      <c r="O966" s="24">
        <f t="shared" si="2"/>
        <v>0.05294117647</v>
      </c>
      <c r="P966" s="24">
        <f t="shared" si="3"/>
        <v>0.2117647059</v>
      </c>
      <c r="Q966" s="24">
        <f t="shared" si="4"/>
        <v>0.7352941176</v>
      </c>
    </row>
    <row r="967">
      <c r="A967" s="32"/>
      <c r="B967" s="30"/>
      <c r="C967" s="33"/>
      <c r="D967" s="22"/>
      <c r="E967" s="31"/>
      <c r="F967" s="22"/>
      <c r="G967" s="33"/>
      <c r="H967" s="24">
        <v>30.0</v>
      </c>
      <c r="I967" s="24">
        <v>35.0</v>
      </c>
      <c r="J967" s="24">
        <v>36.0</v>
      </c>
      <c r="K967" s="24">
        <f>IF(H967=0,0,CAPITAL!$C$5/H967)
</f>
        <v>5000</v>
      </c>
      <c r="L967" s="24">
        <f>IF(I967=0,0,CAPITAL!$C$6/I967)
</f>
        <v>20000</v>
      </c>
      <c r="M967" s="24">
        <f>IF(J967=0,0,CAPITAL!$C$7/J967)
</f>
        <v>69444.44444</v>
      </c>
      <c r="N967" s="24">
        <f t="shared" si="1"/>
        <v>94444.44444</v>
      </c>
      <c r="O967" s="24">
        <f t="shared" si="2"/>
        <v>0.05294117647</v>
      </c>
      <c r="P967" s="24">
        <f t="shared" si="3"/>
        <v>0.2117647059</v>
      </c>
      <c r="Q967" s="24">
        <f t="shared" si="4"/>
        <v>0.7352941176</v>
      </c>
    </row>
    <row r="968">
      <c r="A968" s="32"/>
      <c r="B968" s="30"/>
      <c r="C968" s="33"/>
      <c r="D968" s="22"/>
      <c r="E968" s="31"/>
      <c r="F968" s="22"/>
      <c r="G968" s="33"/>
      <c r="H968" s="24">
        <v>30.0</v>
      </c>
      <c r="I968" s="24">
        <v>35.0</v>
      </c>
      <c r="J968" s="24">
        <v>36.0</v>
      </c>
      <c r="K968" s="24">
        <f>IF(H968=0,0,CAPITAL!$C$5/H968)
</f>
        <v>5000</v>
      </c>
      <c r="L968" s="24">
        <f>IF(I968=0,0,CAPITAL!$C$6/I968)
</f>
        <v>20000</v>
      </c>
      <c r="M968" s="24">
        <f>IF(J968=0,0,CAPITAL!$C$7/J968)
</f>
        <v>69444.44444</v>
      </c>
      <c r="N968" s="24">
        <f t="shared" si="1"/>
        <v>94444.44444</v>
      </c>
      <c r="O968" s="24">
        <f t="shared" si="2"/>
        <v>0.05294117647</v>
      </c>
      <c r="P968" s="24">
        <f t="shared" si="3"/>
        <v>0.2117647059</v>
      </c>
      <c r="Q968" s="24">
        <f t="shared" si="4"/>
        <v>0.7352941176</v>
      </c>
    </row>
    <row r="969">
      <c r="A969" s="32"/>
      <c r="B969" s="30"/>
      <c r="C969" s="33"/>
      <c r="D969" s="22"/>
      <c r="E969" s="31"/>
      <c r="F969" s="22"/>
      <c r="G969" s="33"/>
      <c r="H969" s="24">
        <v>30.0</v>
      </c>
      <c r="I969" s="24">
        <v>35.0</v>
      </c>
      <c r="J969" s="24">
        <v>36.0</v>
      </c>
      <c r="K969" s="24">
        <f>IF(H969=0,0,CAPITAL!$C$5/H969)
</f>
        <v>5000</v>
      </c>
      <c r="L969" s="24">
        <f>IF(I969=0,0,CAPITAL!$C$6/I969)
</f>
        <v>20000</v>
      </c>
      <c r="M969" s="24">
        <f>IF(J969=0,0,CAPITAL!$C$7/J969)
</f>
        <v>69444.44444</v>
      </c>
      <c r="N969" s="24">
        <f t="shared" si="1"/>
        <v>94444.44444</v>
      </c>
      <c r="O969" s="24">
        <f t="shared" si="2"/>
        <v>0.05294117647</v>
      </c>
      <c r="P969" s="24">
        <f t="shared" si="3"/>
        <v>0.2117647059</v>
      </c>
      <c r="Q969" s="24">
        <f t="shared" si="4"/>
        <v>0.7352941176</v>
      </c>
    </row>
    <row r="970">
      <c r="A970" s="32"/>
      <c r="B970" s="30"/>
      <c r="C970" s="33"/>
      <c r="D970" s="22"/>
      <c r="E970" s="31"/>
      <c r="F970" s="22"/>
      <c r="G970" s="33"/>
      <c r="H970" s="24">
        <v>30.0</v>
      </c>
      <c r="I970" s="24">
        <v>35.0</v>
      </c>
      <c r="J970" s="24">
        <v>36.0</v>
      </c>
      <c r="K970" s="24">
        <f>IF(H970=0,0,CAPITAL!$C$5/H970)
</f>
        <v>5000</v>
      </c>
      <c r="L970" s="24">
        <f>IF(I970=0,0,CAPITAL!$C$6/I970)
</f>
        <v>20000</v>
      </c>
      <c r="M970" s="24">
        <f>IF(J970=0,0,CAPITAL!$C$7/J970)
</f>
        <v>69444.44444</v>
      </c>
      <c r="N970" s="24">
        <f t="shared" si="1"/>
        <v>94444.44444</v>
      </c>
      <c r="O970" s="24">
        <f t="shared" si="2"/>
        <v>0.05294117647</v>
      </c>
      <c r="P970" s="24">
        <f t="shared" si="3"/>
        <v>0.2117647059</v>
      </c>
      <c r="Q970" s="24">
        <f t="shared" si="4"/>
        <v>0.7352941176</v>
      </c>
    </row>
    <row r="971">
      <c r="A971" s="32"/>
      <c r="B971" s="30"/>
      <c r="C971" s="33"/>
      <c r="D971" s="22"/>
      <c r="E971" s="31"/>
      <c r="F971" s="22"/>
      <c r="G971" s="33"/>
      <c r="H971" s="24">
        <v>30.0</v>
      </c>
      <c r="I971" s="24">
        <v>35.0</v>
      </c>
      <c r="J971" s="24">
        <v>36.0</v>
      </c>
      <c r="K971" s="24">
        <f>IF(H971=0,0,CAPITAL!$C$5/H971)
</f>
        <v>5000</v>
      </c>
      <c r="L971" s="24">
        <f>IF(I971=0,0,CAPITAL!$C$6/I971)
</f>
        <v>20000</v>
      </c>
      <c r="M971" s="24">
        <f>IF(J971=0,0,CAPITAL!$C$7/J971)
</f>
        <v>69444.44444</v>
      </c>
      <c r="N971" s="24">
        <f t="shared" si="1"/>
        <v>94444.44444</v>
      </c>
      <c r="O971" s="24">
        <f t="shared" si="2"/>
        <v>0.05294117647</v>
      </c>
      <c r="P971" s="24">
        <f t="shared" si="3"/>
        <v>0.2117647059</v>
      </c>
      <c r="Q971" s="24">
        <f t="shared" si="4"/>
        <v>0.7352941176</v>
      </c>
    </row>
    <row r="972">
      <c r="A972" s="32"/>
      <c r="B972" s="30"/>
      <c r="C972" s="33"/>
      <c r="D972" s="22"/>
      <c r="E972" s="31"/>
      <c r="F972" s="22"/>
      <c r="G972" s="33"/>
      <c r="H972" s="24">
        <v>30.0</v>
      </c>
      <c r="I972" s="24">
        <v>35.0</v>
      </c>
      <c r="J972" s="24">
        <v>36.0</v>
      </c>
      <c r="K972" s="24">
        <f>IF(H972=0,0,CAPITAL!$C$5/H972)
</f>
        <v>5000</v>
      </c>
      <c r="L972" s="24">
        <f>IF(I972=0,0,CAPITAL!$C$6/I972)
</f>
        <v>20000</v>
      </c>
      <c r="M972" s="24">
        <f>IF(J972=0,0,CAPITAL!$C$7/J972)
</f>
        <v>69444.44444</v>
      </c>
      <c r="N972" s="24">
        <f t="shared" si="1"/>
        <v>94444.44444</v>
      </c>
      <c r="O972" s="24">
        <f t="shared" si="2"/>
        <v>0.05294117647</v>
      </c>
      <c r="P972" s="24">
        <f t="shared" si="3"/>
        <v>0.2117647059</v>
      </c>
      <c r="Q972" s="24">
        <f t="shared" si="4"/>
        <v>0.7352941176</v>
      </c>
    </row>
    <row r="973">
      <c r="A973" s="32"/>
      <c r="B973" s="30"/>
      <c r="C973" s="33"/>
      <c r="D973" s="22"/>
      <c r="E973" s="31"/>
      <c r="F973" s="22"/>
      <c r="G973" s="33"/>
      <c r="H973" s="24">
        <v>30.0</v>
      </c>
      <c r="I973" s="24">
        <v>35.0</v>
      </c>
      <c r="J973" s="24">
        <v>36.0</v>
      </c>
      <c r="K973" s="24">
        <f>IF(H973=0,0,CAPITAL!$C$5/H973)
</f>
        <v>5000</v>
      </c>
      <c r="L973" s="24">
        <f>IF(I973=0,0,CAPITAL!$C$6/I973)
</f>
        <v>20000</v>
      </c>
      <c r="M973" s="24">
        <f>IF(J973=0,0,CAPITAL!$C$7/J973)
</f>
        <v>69444.44444</v>
      </c>
      <c r="N973" s="24">
        <f t="shared" si="1"/>
        <v>94444.44444</v>
      </c>
      <c r="O973" s="24">
        <f t="shared" si="2"/>
        <v>0.05294117647</v>
      </c>
      <c r="P973" s="24">
        <f t="shared" si="3"/>
        <v>0.2117647059</v>
      </c>
      <c r="Q973" s="24">
        <f t="shared" si="4"/>
        <v>0.7352941176</v>
      </c>
    </row>
    <row r="974">
      <c r="A974" s="32"/>
      <c r="B974" s="30"/>
      <c r="C974" s="33"/>
      <c r="D974" s="22"/>
      <c r="E974" s="31"/>
      <c r="F974" s="22"/>
      <c r="G974" s="33"/>
      <c r="H974" s="24">
        <v>30.0</v>
      </c>
      <c r="I974" s="24">
        <v>35.0</v>
      </c>
      <c r="J974" s="24">
        <v>36.0</v>
      </c>
      <c r="K974" s="24">
        <f>IF(H974=0,0,CAPITAL!$C$5/H974)
</f>
        <v>5000</v>
      </c>
      <c r="L974" s="24">
        <f>IF(I974=0,0,CAPITAL!$C$6/I974)
</f>
        <v>20000</v>
      </c>
      <c r="M974" s="24">
        <f>IF(J974=0,0,CAPITAL!$C$7/J974)
</f>
        <v>69444.44444</v>
      </c>
      <c r="N974" s="24">
        <f t="shared" si="1"/>
        <v>94444.44444</v>
      </c>
      <c r="O974" s="24">
        <f t="shared" si="2"/>
        <v>0.05294117647</v>
      </c>
      <c r="P974" s="24">
        <f t="shared" si="3"/>
        <v>0.2117647059</v>
      </c>
      <c r="Q974" s="24">
        <f t="shared" si="4"/>
        <v>0.7352941176</v>
      </c>
    </row>
    <row r="975">
      <c r="A975" s="32"/>
      <c r="B975" s="30"/>
      <c r="C975" s="33"/>
      <c r="D975" s="22"/>
      <c r="E975" s="31"/>
      <c r="F975" s="22"/>
      <c r="G975" s="33"/>
      <c r="H975" s="24">
        <v>30.0</v>
      </c>
      <c r="I975" s="24">
        <v>35.0</v>
      </c>
      <c r="J975" s="24">
        <v>36.0</v>
      </c>
      <c r="K975" s="24">
        <f>IF(H975=0,0,CAPITAL!$C$5/H975)
</f>
        <v>5000</v>
      </c>
      <c r="L975" s="24">
        <f>IF(I975=0,0,CAPITAL!$C$6/I975)
</f>
        <v>20000</v>
      </c>
      <c r="M975" s="24">
        <f>IF(J975=0,0,CAPITAL!$C$7/J975)
</f>
        <v>69444.44444</v>
      </c>
      <c r="N975" s="24">
        <f t="shared" si="1"/>
        <v>94444.44444</v>
      </c>
      <c r="O975" s="24">
        <f t="shared" si="2"/>
        <v>0.05294117647</v>
      </c>
      <c r="P975" s="24">
        <f t="shared" si="3"/>
        <v>0.2117647059</v>
      </c>
      <c r="Q975" s="24">
        <f t="shared" si="4"/>
        <v>0.7352941176</v>
      </c>
    </row>
    <row r="976">
      <c r="A976" s="32"/>
      <c r="B976" s="30"/>
      <c r="C976" s="33"/>
      <c r="D976" s="22"/>
      <c r="E976" s="31"/>
      <c r="F976" s="22"/>
      <c r="G976" s="33"/>
      <c r="H976" s="24">
        <v>30.0</v>
      </c>
      <c r="I976" s="24">
        <v>35.0</v>
      </c>
      <c r="J976" s="24">
        <v>36.0</v>
      </c>
      <c r="K976" s="24">
        <f>IF(H976=0,0,CAPITAL!$C$5/H976)
</f>
        <v>5000</v>
      </c>
      <c r="L976" s="24">
        <f>IF(I976=0,0,CAPITAL!$C$6/I976)
</f>
        <v>20000</v>
      </c>
      <c r="M976" s="24">
        <f>IF(J976=0,0,CAPITAL!$C$7/J976)
</f>
        <v>69444.44444</v>
      </c>
      <c r="N976" s="24">
        <f t="shared" si="1"/>
        <v>94444.44444</v>
      </c>
      <c r="O976" s="24">
        <f t="shared" si="2"/>
        <v>0.05294117647</v>
      </c>
      <c r="P976" s="24">
        <f t="shared" si="3"/>
        <v>0.2117647059</v>
      </c>
      <c r="Q976" s="24">
        <f t="shared" si="4"/>
        <v>0.7352941176</v>
      </c>
    </row>
    <row r="977">
      <c r="A977" s="32"/>
      <c r="B977" s="30"/>
      <c r="C977" s="33"/>
      <c r="D977" s="22"/>
      <c r="E977" s="31"/>
      <c r="F977" s="22"/>
      <c r="G977" s="33"/>
      <c r="H977" s="24">
        <v>30.0</v>
      </c>
      <c r="I977" s="24">
        <v>35.0</v>
      </c>
      <c r="J977" s="24">
        <v>36.0</v>
      </c>
      <c r="K977" s="24">
        <f>IF(H977=0,0,CAPITAL!$C$5/H977)
</f>
        <v>5000</v>
      </c>
      <c r="L977" s="24">
        <f>IF(I977=0,0,CAPITAL!$C$6/I977)
</f>
        <v>20000</v>
      </c>
      <c r="M977" s="24">
        <f>IF(J977=0,0,CAPITAL!$C$7/J977)
</f>
        <v>69444.44444</v>
      </c>
      <c r="N977" s="24">
        <f t="shared" si="1"/>
        <v>94444.44444</v>
      </c>
      <c r="O977" s="24">
        <f t="shared" si="2"/>
        <v>0.05294117647</v>
      </c>
      <c r="P977" s="24">
        <f t="shared" si="3"/>
        <v>0.2117647059</v>
      </c>
      <c r="Q977" s="24">
        <f t="shared" si="4"/>
        <v>0.7352941176</v>
      </c>
    </row>
    <row r="978">
      <c r="A978" s="32"/>
      <c r="B978" s="30"/>
      <c r="C978" s="33"/>
      <c r="D978" s="22"/>
      <c r="E978" s="31"/>
      <c r="F978" s="22"/>
      <c r="G978" s="33"/>
      <c r="H978" s="24">
        <v>30.0</v>
      </c>
      <c r="I978" s="24">
        <v>35.0</v>
      </c>
      <c r="J978" s="24">
        <v>36.0</v>
      </c>
      <c r="K978" s="24">
        <f>IF(H978=0,0,CAPITAL!$C$5/H978)
</f>
        <v>5000</v>
      </c>
      <c r="L978" s="24">
        <f>IF(I978=0,0,CAPITAL!$C$6/I978)
</f>
        <v>20000</v>
      </c>
      <c r="M978" s="24">
        <f>IF(J978=0,0,CAPITAL!$C$7/J978)
</f>
        <v>69444.44444</v>
      </c>
      <c r="N978" s="24">
        <f t="shared" si="1"/>
        <v>94444.44444</v>
      </c>
      <c r="O978" s="24">
        <f t="shared" si="2"/>
        <v>0.05294117647</v>
      </c>
      <c r="P978" s="24">
        <f t="shared" si="3"/>
        <v>0.2117647059</v>
      </c>
      <c r="Q978" s="24">
        <f t="shared" si="4"/>
        <v>0.7352941176</v>
      </c>
    </row>
    <row r="979">
      <c r="A979" s="32"/>
      <c r="B979" s="30"/>
      <c r="C979" s="33"/>
      <c r="D979" s="22"/>
      <c r="E979" s="31"/>
      <c r="F979" s="22"/>
      <c r="G979" s="33"/>
      <c r="H979" s="24">
        <v>30.0</v>
      </c>
      <c r="I979" s="24">
        <v>35.0</v>
      </c>
      <c r="J979" s="24">
        <v>36.0</v>
      </c>
      <c r="K979" s="24">
        <f>IF(H979=0,0,CAPITAL!$C$5/H979)
</f>
        <v>5000</v>
      </c>
      <c r="L979" s="24">
        <f>IF(I979=0,0,CAPITAL!$C$6/I979)
</f>
        <v>20000</v>
      </c>
      <c r="M979" s="24">
        <f>IF(J979=0,0,CAPITAL!$C$7/J979)
</f>
        <v>69444.44444</v>
      </c>
      <c r="N979" s="24">
        <f t="shared" si="1"/>
        <v>94444.44444</v>
      </c>
      <c r="O979" s="24">
        <f t="shared" si="2"/>
        <v>0.05294117647</v>
      </c>
      <c r="P979" s="24">
        <f t="shared" si="3"/>
        <v>0.2117647059</v>
      </c>
      <c r="Q979" s="24">
        <f t="shared" si="4"/>
        <v>0.7352941176</v>
      </c>
    </row>
    <row r="980">
      <c r="A980" s="32"/>
      <c r="B980" s="30"/>
      <c r="C980" s="33"/>
      <c r="D980" s="22"/>
      <c r="E980" s="31"/>
      <c r="F980" s="22"/>
      <c r="G980" s="33"/>
      <c r="H980" s="24">
        <v>30.0</v>
      </c>
      <c r="I980" s="24">
        <v>35.0</v>
      </c>
      <c r="J980" s="24">
        <v>36.0</v>
      </c>
      <c r="K980" s="24">
        <f>IF(H980=0,0,CAPITAL!$C$5/H980)
</f>
        <v>5000</v>
      </c>
      <c r="L980" s="24">
        <f>IF(I980=0,0,CAPITAL!$C$6/I980)
</f>
        <v>20000</v>
      </c>
      <c r="M980" s="24">
        <f>IF(J980=0,0,CAPITAL!$C$7/J980)
</f>
        <v>69444.44444</v>
      </c>
      <c r="N980" s="24">
        <f t="shared" si="1"/>
        <v>94444.44444</v>
      </c>
      <c r="O980" s="24">
        <f t="shared" si="2"/>
        <v>0.05294117647</v>
      </c>
      <c r="P980" s="24">
        <f t="shared" si="3"/>
        <v>0.2117647059</v>
      </c>
      <c r="Q980" s="24">
        <f t="shared" si="4"/>
        <v>0.7352941176</v>
      </c>
    </row>
    <row r="981">
      <c r="A981" s="32"/>
      <c r="B981" s="30"/>
      <c r="C981" s="33"/>
      <c r="D981" s="22"/>
      <c r="E981" s="31"/>
      <c r="F981" s="22"/>
      <c r="G981" s="33"/>
      <c r="H981" s="24">
        <v>30.0</v>
      </c>
      <c r="I981" s="24">
        <v>35.0</v>
      </c>
      <c r="J981" s="24">
        <v>36.0</v>
      </c>
      <c r="K981" s="24">
        <f>IF(H981=0,0,CAPITAL!$C$5/H981)
</f>
        <v>5000</v>
      </c>
      <c r="L981" s="24">
        <f>IF(I981=0,0,CAPITAL!$C$6/I981)
</f>
        <v>20000</v>
      </c>
      <c r="M981" s="24">
        <f>IF(J981=0,0,CAPITAL!$C$7/J981)
</f>
        <v>69444.44444</v>
      </c>
      <c r="N981" s="24">
        <f t="shared" si="1"/>
        <v>94444.44444</v>
      </c>
      <c r="O981" s="24">
        <f t="shared" si="2"/>
        <v>0.05294117647</v>
      </c>
      <c r="P981" s="24">
        <f t="shared" si="3"/>
        <v>0.2117647059</v>
      </c>
      <c r="Q981" s="24">
        <f t="shared" si="4"/>
        <v>0.7352941176</v>
      </c>
    </row>
    <row r="982">
      <c r="A982" s="32"/>
      <c r="B982" s="30"/>
      <c r="C982" s="33"/>
      <c r="D982" s="22"/>
      <c r="E982" s="31"/>
      <c r="F982" s="22"/>
      <c r="G982" s="33"/>
      <c r="H982" s="24">
        <v>30.0</v>
      </c>
      <c r="I982" s="24">
        <v>35.0</v>
      </c>
      <c r="J982" s="24">
        <v>36.0</v>
      </c>
      <c r="K982" s="24">
        <f>IF(H982=0,0,CAPITAL!$C$5/H982)
</f>
        <v>5000</v>
      </c>
      <c r="L982" s="24">
        <f>IF(I982=0,0,CAPITAL!$C$6/I982)
</f>
        <v>20000</v>
      </c>
      <c r="M982" s="24">
        <f>IF(J982=0,0,CAPITAL!$C$7/J982)
</f>
        <v>69444.44444</v>
      </c>
      <c r="N982" s="24">
        <f t="shared" si="1"/>
        <v>94444.44444</v>
      </c>
      <c r="O982" s="24">
        <f t="shared" si="2"/>
        <v>0.05294117647</v>
      </c>
      <c r="P982" s="24">
        <f t="shared" si="3"/>
        <v>0.2117647059</v>
      </c>
      <c r="Q982" s="24">
        <f t="shared" si="4"/>
        <v>0.7352941176</v>
      </c>
    </row>
    <row r="983">
      <c r="A983" s="32"/>
      <c r="B983" s="30"/>
      <c r="C983" s="33"/>
      <c r="D983" s="22"/>
      <c r="E983" s="31"/>
      <c r="F983" s="22"/>
      <c r="G983" s="33"/>
      <c r="H983" s="24">
        <v>30.0</v>
      </c>
      <c r="I983" s="24">
        <v>35.0</v>
      </c>
      <c r="J983" s="24">
        <v>36.0</v>
      </c>
      <c r="K983" s="24">
        <f>IF(H983=0,0,CAPITAL!$C$5/H983)
</f>
        <v>5000</v>
      </c>
      <c r="L983" s="24">
        <f>IF(I983=0,0,CAPITAL!$C$6/I983)
</f>
        <v>20000</v>
      </c>
      <c r="M983" s="24">
        <f>IF(J983=0,0,CAPITAL!$C$7/J983)
</f>
        <v>69444.44444</v>
      </c>
      <c r="N983" s="24">
        <f t="shared" si="1"/>
        <v>94444.44444</v>
      </c>
      <c r="O983" s="24">
        <f t="shared" si="2"/>
        <v>0.05294117647</v>
      </c>
      <c r="P983" s="24">
        <f t="shared" si="3"/>
        <v>0.2117647059</v>
      </c>
      <c r="Q983" s="24">
        <f t="shared" si="4"/>
        <v>0.7352941176</v>
      </c>
    </row>
    <row r="984">
      <c r="A984" s="32"/>
      <c r="B984" s="30"/>
      <c r="C984" s="33"/>
      <c r="D984" s="22"/>
      <c r="E984" s="31"/>
      <c r="F984" s="22"/>
      <c r="G984" s="33"/>
      <c r="H984" s="24">
        <v>30.0</v>
      </c>
      <c r="I984" s="24">
        <v>35.0</v>
      </c>
      <c r="J984" s="24">
        <v>36.0</v>
      </c>
      <c r="K984" s="24">
        <f>IF(H984=0,0,CAPITAL!$C$5/H984)
</f>
        <v>5000</v>
      </c>
      <c r="L984" s="24">
        <f>IF(I984=0,0,CAPITAL!$C$6/I984)
</f>
        <v>20000</v>
      </c>
      <c r="M984" s="24">
        <f>IF(J984=0,0,CAPITAL!$C$7/J984)
</f>
        <v>69444.44444</v>
      </c>
      <c r="N984" s="24">
        <f t="shared" si="1"/>
        <v>94444.44444</v>
      </c>
      <c r="O984" s="24">
        <f t="shared" si="2"/>
        <v>0.05294117647</v>
      </c>
      <c r="P984" s="24">
        <f t="shared" si="3"/>
        <v>0.2117647059</v>
      </c>
      <c r="Q984" s="24">
        <f t="shared" si="4"/>
        <v>0.7352941176</v>
      </c>
    </row>
    <row r="985">
      <c r="A985" s="32"/>
      <c r="B985" s="30"/>
      <c r="C985" s="33"/>
      <c r="D985" s="22"/>
      <c r="E985" s="31"/>
      <c r="F985" s="22"/>
      <c r="G985" s="33"/>
      <c r="H985" s="24">
        <v>30.0</v>
      </c>
      <c r="I985" s="24">
        <v>35.0</v>
      </c>
      <c r="J985" s="24">
        <v>36.0</v>
      </c>
      <c r="K985" s="24">
        <f>IF(H985=0,0,CAPITAL!$C$5/H985)
</f>
        <v>5000</v>
      </c>
      <c r="L985" s="24">
        <f>IF(I985=0,0,CAPITAL!$C$6/I985)
</f>
        <v>20000</v>
      </c>
      <c r="M985" s="24">
        <f>IF(J985=0,0,CAPITAL!$C$7/J985)
</f>
        <v>69444.44444</v>
      </c>
      <c r="N985" s="24">
        <f t="shared" si="1"/>
        <v>94444.44444</v>
      </c>
      <c r="O985" s="24">
        <f t="shared" si="2"/>
        <v>0.05294117647</v>
      </c>
      <c r="P985" s="24">
        <f t="shared" si="3"/>
        <v>0.2117647059</v>
      </c>
      <c r="Q985" s="24">
        <f t="shared" si="4"/>
        <v>0.7352941176</v>
      </c>
    </row>
    <row r="986">
      <c r="A986" s="32"/>
      <c r="B986" s="30"/>
      <c r="C986" s="33"/>
      <c r="D986" s="22"/>
      <c r="E986" s="31"/>
      <c r="F986" s="22"/>
      <c r="G986" s="33"/>
      <c r="H986" s="24">
        <v>30.0</v>
      </c>
      <c r="I986" s="24">
        <v>35.0</v>
      </c>
      <c r="J986" s="24">
        <v>36.0</v>
      </c>
      <c r="K986" s="24">
        <f>IF(H986=0,0,CAPITAL!$C$5/H986)
</f>
        <v>5000</v>
      </c>
      <c r="L986" s="24">
        <f>IF(I986=0,0,CAPITAL!$C$6/I986)
</f>
        <v>20000</v>
      </c>
      <c r="M986" s="24">
        <f>IF(J986=0,0,CAPITAL!$C$7/J986)
</f>
        <v>69444.44444</v>
      </c>
      <c r="N986" s="24">
        <f t="shared" si="1"/>
        <v>94444.44444</v>
      </c>
      <c r="O986" s="24">
        <f t="shared" si="2"/>
        <v>0.05294117647</v>
      </c>
      <c r="P986" s="24">
        <f t="shared" si="3"/>
        <v>0.2117647059</v>
      </c>
      <c r="Q986" s="24">
        <f t="shared" si="4"/>
        <v>0.7352941176</v>
      </c>
    </row>
    <row r="987">
      <c r="A987" s="32"/>
      <c r="B987" s="30"/>
      <c r="C987" s="33"/>
      <c r="D987" s="22"/>
      <c r="E987" s="31"/>
      <c r="F987" s="22"/>
      <c r="G987" s="33"/>
      <c r="H987" s="24">
        <v>30.0</v>
      </c>
      <c r="I987" s="24">
        <v>35.0</v>
      </c>
      <c r="J987" s="24">
        <v>36.0</v>
      </c>
      <c r="K987" s="24">
        <f>IF(H987=0,0,CAPITAL!$C$5/H987)
</f>
        <v>5000</v>
      </c>
      <c r="L987" s="24">
        <f>IF(I987=0,0,CAPITAL!$C$6/I987)
</f>
        <v>20000</v>
      </c>
      <c r="M987" s="24">
        <f>IF(J987=0,0,CAPITAL!$C$7/J987)
</f>
        <v>69444.44444</v>
      </c>
      <c r="N987" s="24">
        <f t="shared" si="1"/>
        <v>94444.44444</v>
      </c>
      <c r="O987" s="24">
        <f t="shared" si="2"/>
        <v>0.05294117647</v>
      </c>
      <c r="P987" s="24">
        <f t="shared" si="3"/>
        <v>0.2117647059</v>
      </c>
      <c r="Q987" s="24">
        <f t="shared" si="4"/>
        <v>0.7352941176</v>
      </c>
    </row>
    <row r="988">
      <c r="A988" s="32"/>
      <c r="B988" s="30"/>
      <c r="C988" s="33"/>
      <c r="D988" s="22"/>
      <c r="E988" s="31"/>
      <c r="F988" s="22"/>
      <c r="G988" s="33"/>
      <c r="H988" s="24">
        <v>30.0</v>
      </c>
      <c r="I988" s="24">
        <v>35.0</v>
      </c>
      <c r="J988" s="24">
        <v>36.0</v>
      </c>
      <c r="K988" s="24">
        <f>IF(H988=0,0,CAPITAL!$C$5/H988)
</f>
        <v>5000</v>
      </c>
      <c r="L988" s="24">
        <f>IF(I988=0,0,CAPITAL!$C$6/I988)
</f>
        <v>20000</v>
      </c>
      <c r="M988" s="24">
        <f>IF(J988=0,0,CAPITAL!$C$7/J988)
</f>
        <v>69444.44444</v>
      </c>
      <c r="N988" s="24">
        <f t="shared" si="1"/>
        <v>94444.44444</v>
      </c>
      <c r="O988" s="24">
        <f t="shared" si="2"/>
        <v>0.05294117647</v>
      </c>
      <c r="P988" s="24">
        <f t="shared" si="3"/>
        <v>0.2117647059</v>
      </c>
      <c r="Q988" s="24">
        <f t="shared" si="4"/>
        <v>0.7352941176</v>
      </c>
    </row>
    <row r="989">
      <c r="A989" s="32"/>
      <c r="B989" s="30"/>
      <c r="C989" s="33"/>
      <c r="D989" s="22"/>
      <c r="E989" s="31"/>
      <c r="F989" s="22"/>
      <c r="G989" s="33"/>
      <c r="H989" s="24">
        <v>30.0</v>
      </c>
      <c r="I989" s="24">
        <v>35.0</v>
      </c>
      <c r="J989" s="24">
        <v>36.0</v>
      </c>
      <c r="K989" s="24">
        <f>IF(H989=0,0,CAPITAL!$C$5/H989)
</f>
        <v>5000</v>
      </c>
      <c r="L989" s="24">
        <f>IF(I989=0,0,CAPITAL!$C$6/I989)
</f>
        <v>20000</v>
      </c>
      <c r="M989" s="24">
        <f>IF(J989=0,0,CAPITAL!$C$7/J989)
</f>
        <v>69444.44444</v>
      </c>
      <c r="N989" s="24">
        <f t="shared" si="1"/>
        <v>94444.44444</v>
      </c>
      <c r="O989" s="24">
        <f t="shared" si="2"/>
        <v>0.05294117647</v>
      </c>
      <c r="P989" s="24">
        <f t="shared" si="3"/>
        <v>0.2117647059</v>
      </c>
      <c r="Q989" s="24">
        <f t="shared" si="4"/>
        <v>0.7352941176</v>
      </c>
    </row>
    <row r="990">
      <c r="A990" s="32"/>
      <c r="B990" s="30"/>
      <c r="C990" s="33"/>
      <c r="D990" s="22"/>
      <c r="E990" s="31"/>
      <c r="F990" s="22"/>
      <c r="G990" s="33"/>
      <c r="H990" s="24">
        <v>30.0</v>
      </c>
      <c r="I990" s="24">
        <v>35.0</v>
      </c>
      <c r="J990" s="24">
        <v>36.0</v>
      </c>
      <c r="K990" s="24">
        <f>IF(H990=0,0,CAPITAL!$C$5/H990)
</f>
        <v>5000</v>
      </c>
      <c r="L990" s="24">
        <f>IF(I990=0,0,CAPITAL!$C$6/I990)
</f>
        <v>20000</v>
      </c>
      <c r="M990" s="24">
        <f>IF(J990=0,0,CAPITAL!$C$7/J990)
</f>
        <v>69444.44444</v>
      </c>
      <c r="N990" s="24">
        <f t="shared" si="1"/>
        <v>94444.44444</v>
      </c>
      <c r="O990" s="24">
        <f t="shared" si="2"/>
        <v>0.05294117647</v>
      </c>
      <c r="P990" s="24">
        <f t="shared" si="3"/>
        <v>0.2117647059</v>
      </c>
      <c r="Q990" s="24">
        <f t="shared" si="4"/>
        <v>0.7352941176</v>
      </c>
    </row>
    <row r="991">
      <c r="A991" s="32"/>
      <c r="B991" s="30"/>
      <c r="C991" s="33"/>
      <c r="D991" s="22"/>
      <c r="E991" s="31"/>
      <c r="F991" s="22"/>
      <c r="G991" s="33"/>
      <c r="H991" s="24">
        <v>30.0</v>
      </c>
      <c r="I991" s="24">
        <v>35.0</v>
      </c>
      <c r="J991" s="24">
        <v>36.0</v>
      </c>
      <c r="K991" s="24">
        <f>IF(H991=0,0,CAPITAL!$C$5/H991)
</f>
        <v>5000</v>
      </c>
      <c r="L991" s="24">
        <f>IF(I991=0,0,CAPITAL!$C$6/I991)
</f>
        <v>20000</v>
      </c>
      <c r="M991" s="24">
        <f>IF(J991=0,0,CAPITAL!$C$7/J991)
</f>
        <v>69444.44444</v>
      </c>
      <c r="N991" s="24">
        <f t="shared" si="1"/>
        <v>94444.44444</v>
      </c>
      <c r="O991" s="24">
        <f t="shared" si="2"/>
        <v>0.05294117647</v>
      </c>
      <c r="P991" s="24">
        <f t="shared" si="3"/>
        <v>0.2117647059</v>
      </c>
      <c r="Q991" s="24">
        <f t="shared" si="4"/>
        <v>0.7352941176</v>
      </c>
    </row>
    <row r="992">
      <c r="A992" s="32"/>
      <c r="B992" s="30"/>
      <c r="C992" s="33"/>
      <c r="D992" s="22"/>
      <c r="E992" s="31"/>
      <c r="F992" s="22"/>
      <c r="G992" s="33"/>
      <c r="H992" s="24">
        <v>30.0</v>
      </c>
      <c r="I992" s="24">
        <v>35.0</v>
      </c>
      <c r="J992" s="24">
        <v>36.0</v>
      </c>
      <c r="K992" s="24">
        <f>IF(H992=0,0,CAPITAL!$C$5/H992)
</f>
        <v>5000</v>
      </c>
      <c r="L992" s="24">
        <f>IF(I992=0,0,CAPITAL!$C$6/I992)
</f>
        <v>20000</v>
      </c>
      <c r="M992" s="24">
        <f>IF(J992=0,0,CAPITAL!$C$7/J992)
</f>
        <v>69444.44444</v>
      </c>
      <c r="N992" s="24">
        <f t="shared" si="1"/>
        <v>94444.44444</v>
      </c>
      <c r="O992" s="24">
        <f t="shared" si="2"/>
        <v>0.05294117647</v>
      </c>
      <c r="P992" s="24">
        <f t="shared" si="3"/>
        <v>0.2117647059</v>
      </c>
      <c r="Q992" s="24">
        <f t="shared" si="4"/>
        <v>0.7352941176</v>
      </c>
    </row>
    <row r="993">
      <c r="A993" s="32"/>
      <c r="B993" s="30"/>
      <c r="C993" s="33"/>
      <c r="D993" s="22"/>
      <c r="E993" s="31"/>
      <c r="F993" s="22"/>
      <c r="G993" s="33"/>
      <c r="H993" s="24">
        <v>30.0</v>
      </c>
      <c r="I993" s="24">
        <v>35.0</v>
      </c>
      <c r="J993" s="24">
        <v>36.0</v>
      </c>
      <c r="K993" s="24">
        <f>IF(H993=0,0,CAPITAL!$C$5/H993)
</f>
        <v>5000</v>
      </c>
      <c r="L993" s="24">
        <f>IF(I993=0,0,CAPITAL!$C$6/I993)
</f>
        <v>20000</v>
      </c>
      <c r="M993" s="24">
        <f>IF(J993=0,0,CAPITAL!$C$7/J993)
</f>
        <v>69444.44444</v>
      </c>
      <c r="N993" s="24">
        <f t="shared" si="1"/>
        <v>94444.44444</v>
      </c>
      <c r="O993" s="24">
        <f t="shared" si="2"/>
        <v>0.05294117647</v>
      </c>
      <c r="P993" s="24">
        <f t="shared" si="3"/>
        <v>0.2117647059</v>
      </c>
      <c r="Q993" s="24">
        <f t="shared" si="4"/>
        <v>0.7352941176</v>
      </c>
    </row>
    <row r="994">
      <c r="A994" s="32"/>
      <c r="B994" s="30"/>
      <c r="C994" s="33"/>
      <c r="D994" s="22"/>
      <c r="E994" s="31"/>
      <c r="F994" s="22"/>
      <c r="G994" s="33"/>
      <c r="H994" s="24">
        <v>30.0</v>
      </c>
      <c r="I994" s="24">
        <v>35.0</v>
      </c>
      <c r="J994" s="24">
        <v>36.0</v>
      </c>
      <c r="K994" s="24">
        <f>IF(H994=0,0,CAPITAL!$C$5/H994)
</f>
        <v>5000</v>
      </c>
      <c r="L994" s="24">
        <f>IF(I994=0,0,CAPITAL!$C$6/I994)
</f>
        <v>20000</v>
      </c>
      <c r="M994" s="24">
        <f>IF(J994=0,0,CAPITAL!$C$7/J994)
</f>
        <v>69444.44444</v>
      </c>
      <c r="N994" s="24">
        <f t="shared" si="1"/>
        <v>94444.44444</v>
      </c>
      <c r="O994" s="24">
        <f t="shared" si="2"/>
        <v>0.05294117647</v>
      </c>
      <c r="P994" s="24">
        <f t="shared" si="3"/>
        <v>0.2117647059</v>
      </c>
      <c r="Q994" s="24">
        <f t="shared" si="4"/>
        <v>0.7352941176</v>
      </c>
    </row>
    <row r="995">
      <c r="A995" s="32"/>
      <c r="B995" s="30"/>
      <c r="C995" s="33"/>
      <c r="D995" s="22"/>
      <c r="E995" s="31"/>
      <c r="F995" s="22"/>
      <c r="G995" s="33"/>
      <c r="H995" s="24">
        <v>30.0</v>
      </c>
      <c r="I995" s="24">
        <v>35.0</v>
      </c>
      <c r="J995" s="24">
        <v>36.0</v>
      </c>
      <c r="K995" s="24">
        <f>IF(H995=0,0,CAPITAL!$C$5/H995)
</f>
        <v>5000</v>
      </c>
      <c r="L995" s="24">
        <f>IF(I995=0,0,CAPITAL!$C$6/I995)
</f>
        <v>20000</v>
      </c>
      <c r="M995" s="24">
        <f>IF(J995=0,0,CAPITAL!$C$7/J995)
</f>
        <v>69444.44444</v>
      </c>
      <c r="N995" s="24">
        <f t="shared" si="1"/>
        <v>94444.44444</v>
      </c>
      <c r="O995" s="24">
        <f t="shared" si="2"/>
        <v>0.05294117647</v>
      </c>
      <c r="P995" s="24">
        <f t="shared" si="3"/>
        <v>0.2117647059</v>
      </c>
      <c r="Q995" s="24">
        <f t="shared" si="4"/>
        <v>0.7352941176</v>
      </c>
    </row>
    <row r="996">
      <c r="A996" s="32"/>
      <c r="B996" s="30"/>
      <c r="C996" s="33"/>
      <c r="D996" s="22"/>
      <c r="E996" s="31"/>
      <c r="F996" s="22"/>
      <c r="G996" s="33"/>
      <c r="H996" s="24">
        <v>30.0</v>
      </c>
      <c r="I996" s="24">
        <v>35.0</v>
      </c>
      <c r="J996" s="24">
        <v>36.0</v>
      </c>
      <c r="K996" s="24">
        <f>IF(H996=0,0,CAPITAL!$C$5/H996)
</f>
        <v>5000</v>
      </c>
      <c r="L996" s="24">
        <f>IF(I996=0,0,CAPITAL!$C$6/I996)
</f>
        <v>20000</v>
      </c>
      <c r="M996" s="24">
        <f>IF(J996=0,0,CAPITAL!$C$7/J996)
</f>
        <v>69444.44444</v>
      </c>
      <c r="N996" s="24">
        <f t="shared" si="1"/>
        <v>94444.44444</v>
      </c>
      <c r="O996" s="24">
        <f t="shared" si="2"/>
        <v>0.05294117647</v>
      </c>
      <c r="P996" s="24">
        <f t="shared" si="3"/>
        <v>0.2117647059</v>
      </c>
      <c r="Q996" s="24">
        <f t="shared" si="4"/>
        <v>0.7352941176</v>
      </c>
    </row>
    <row r="997">
      <c r="A997" s="32"/>
      <c r="B997" s="30"/>
      <c r="C997" s="33"/>
      <c r="D997" s="22"/>
      <c r="E997" s="31"/>
      <c r="F997" s="22"/>
      <c r="G997" s="33"/>
      <c r="H997" s="24">
        <v>30.0</v>
      </c>
      <c r="I997" s="24">
        <v>35.0</v>
      </c>
      <c r="J997" s="24">
        <v>36.0</v>
      </c>
      <c r="K997" s="24">
        <f>IF(H997=0,0,CAPITAL!$C$5/H997)
</f>
        <v>5000</v>
      </c>
      <c r="L997" s="24">
        <f>IF(I997=0,0,CAPITAL!$C$6/I997)
</f>
        <v>20000</v>
      </c>
      <c r="M997" s="24">
        <f>IF(J997=0,0,CAPITAL!$C$7/J997)
</f>
        <v>69444.44444</v>
      </c>
      <c r="N997" s="24">
        <f t="shared" si="1"/>
        <v>94444.44444</v>
      </c>
      <c r="O997" s="24">
        <f t="shared" si="2"/>
        <v>0.05294117647</v>
      </c>
      <c r="P997" s="24">
        <f t="shared" si="3"/>
        <v>0.2117647059</v>
      </c>
      <c r="Q997" s="24">
        <f t="shared" si="4"/>
        <v>0.7352941176</v>
      </c>
    </row>
    <row r="998">
      <c r="A998" s="32"/>
      <c r="B998" s="30"/>
      <c r="C998" s="33"/>
      <c r="D998" s="22"/>
      <c r="E998" s="31"/>
      <c r="F998" s="22"/>
      <c r="G998" s="33"/>
      <c r="H998" s="24">
        <v>30.0</v>
      </c>
      <c r="I998" s="24">
        <v>35.0</v>
      </c>
      <c r="J998" s="24">
        <v>36.0</v>
      </c>
      <c r="K998" s="24">
        <f>IF(H998=0,0,CAPITAL!$C$5/H998)
</f>
        <v>5000</v>
      </c>
      <c r="L998" s="24">
        <f>IF(I998=0,0,CAPITAL!$C$6/I998)
</f>
        <v>20000</v>
      </c>
      <c r="M998" s="24">
        <f>IF(J998=0,0,CAPITAL!$C$7/J998)
</f>
        <v>69444.44444</v>
      </c>
      <c r="N998" s="24">
        <f t="shared" si="1"/>
        <v>94444.44444</v>
      </c>
      <c r="O998" s="24">
        <f t="shared" si="2"/>
        <v>0.05294117647</v>
      </c>
      <c r="P998" s="24">
        <f t="shared" si="3"/>
        <v>0.2117647059</v>
      </c>
      <c r="Q998" s="24">
        <f t="shared" si="4"/>
        <v>0.7352941176</v>
      </c>
    </row>
    <row r="999">
      <c r="A999" s="32"/>
      <c r="B999" s="30"/>
      <c r="C999" s="33"/>
      <c r="D999" s="22"/>
      <c r="E999" s="31"/>
      <c r="F999" s="22"/>
      <c r="G999" s="33"/>
      <c r="H999" s="24">
        <v>30.0</v>
      </c>
      <c r="I999" s="24">
        <v>35.0</v>
      </c>
      <c r="J999" s="24">
        <v>36.0</v>
      </c>
      <c r="K999" s="24">
        <f>IF(H999=0,0,CAPITAL!$C$5/H999)
</f>
        <v>5000</v>
      </c>
      <c r="L999" s="24">
        <f>IF(I999=0,0,CAPITAL!$C$6/I999)
</f>
        <v>20000</v>
      </c>
      <c r="M999" s="24">
        <f>IF(J999=0,0,CAPITAL!$C$7/J999)
</f>
        <v>69444.44444</v>
      </c>
      <c r="N999" s="24">
        <f t="shared" si="1"/>
        <v>94444.44444</v>
      </c>
      <c r="O999" s="24">
        <f t="shared" si="2"/>
        <v>0.05294117647</v>
      </c>
      <c r="P999" s="24">
        <f t="shared" si="3"/>
        <v>0.2117647059</v>
      </c>
      <c r="Q999" s="24">
        <f t="shared" si="4"/>
        <v>0.7352941176</v>
      </c>
    </row>
    <row r="1000">
      <c r="A1000" s="32"/>
      <c r="B1000" s="30"/>
      <c r="C1000" s="33"/>
      <c r="D1000" s="22"/>
      <c r="E1000" s="31"/>
      <c r="F1000" s="22"/>
      <c r="G1000" s="33"/>
      <c r="H1000" s="24">
        <v>30.0</v>
      </c>
      <c r="I1000" s="24">
        <v>35.0</v>
      </c>
      <c r="J1000" s="24">
        <v>36.0</v>
      </c>
      <c r="K1000" s="24">
        <f>IF(H1000=0,0,CAPITAL!$C$5/H1000)
</f>
        <v>5000</v>
      </c>
      <c r="L1000" s="24">
        <f>IF(I1000=0,0,CAPITAL!$C$6/I1000)
</f>
        <v>20000</v>
      </c>
      <c r="M1000" s="24">
        <f>IF(J1000=0,0,CAPITAL!$C$7/J1000)
</f>
        <v>69444.44444</v>
      </c>
      <c r="N1000" s="24">
        <f t="shared" si="1"/>
        <v>94444.44444</v>
      </c>
      <c r="O1000" s="24">
        <f t="shared" si="2"/>
        <v>0.05294117647</v>
      </c>
      <c r="P1000" s="24">
        <f t="shared" si="3"/>
        <v>0.2117647059</v>
      </c>
      <c r="Q1000" s="24">
        <f t="shared" si="4"/>
        <v>0.7352941176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N1:N2"/>
  </mergeCells>
  <dataValidations>
    <dataValidation type="list" allowBlank="1" showErrorMessage="1" sqref="B3:B11 B15 B17:B494">
      <formula1>JOURNAL!$A$9:$A$96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hidden="1" min="1" max="1" width="62.0"/>
    <col customWidth="1" min="2" max="2" width="12.13"/>
    <col customWidth="1" min="3" max="3" width="23.63"/>
    <col customWidth="1" min="4" max="5" width="14.13"/>
    <col customWidth="1" min="6" max="6" width="12.13"/>
    <col customWidth="1" min="7" max="7" width="9.5"/>
    <col customWidth="1" min="8" max="8" width="13.75"/>
    <col customWidth="1" min="9" max="9" width="14.88"/>
    <col customWidth="1" min="10" max="10" width="13.75"/>
    <col customWidth="1" min="11" max="11" width="17.38"/>
    <col customWidth="1" min="13" max="13" width="15.13"/>
    <col customWidth="1" min="21" max="21" width="15.88"/>
    <col customWidth="1" min="24" max="24" width="17.13"/>
    <col customWidth="1" hidden="1" min="25" max="25" width="15.0"/>
    <col customWidth="1" hidden="1" min="26" max="26" width="23.13"/>
    <col customWidth="1" hidden="1" min="27" max="28" width="15.0"/>
    <col customWidth="1" min="29" max="29" width="15.0"/>
  </cols>
  <sheetData>
    <row r="1" ht="30.0" customHeight="1">
      <c r="A1" s="34"/>
      <c r="B1" s="35" t="s">
        <v>35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  <c r="Y1" s="38"/>
      <c r="Z1" s="38"/>
      <c r="AA1" s="38"/>
      <c r="AB1" s="38"/>
      <c r="AC1" s="38"/>
    </row>
    <row r="2" ht="16.5" customHeight="1">
      <c r="A2" s="39"/>
      <c r="B2" s="40"/>
      <c r="C2" s="41"/>
      <c r="L2" s="42"/>
      <c r="M2" s="43" t="s">
        <v>36</v>
      </c>
      <c r="Y2" s="44"/>
      <c r="Z2" s="44"/>
      <c r="AA2" s="44"/>
      <c r="AB2" s="44"/>
      <c r="AC2" s="44"/>
    </row>
    <row r="3" ht="16.5" customHeight="1">
      <c r="A3" s="39"/>
      <c r="C3" s="45" t="s">
        <v>37</v>
      </c>
      <c r="D3" s="9"/>
      <c r="E3" s="9"/>
      <c r="F3" s="9"/>
      <c r="G3" s="9"/>
      <c r="H3" s="9"/>
      <c r="I3" s="9"/>
      <c r="J3" s="9"/>
      <c r="K3" s="46">
        <f>IFERROR(__xludf.DUMMYFUNCTION("SUM( FILTER(X9:X1015, ISNUMBER(X9:X1015)) )"),0.015051871641791037)</f>
        <v>0.01505187164</v>
      </c>
      <c r="L3" s="47">
        <f>IFERROR(__xludf.DUMMYFUNCTION("SUM( FILTER(S9:S1015, ISNUMBER(S9:S1015)) )"),50423.769999999975)</f>
        <v>50423.77</v>
      </c>
      <c r="Y3" s="44"/>
      <c r="Z3" s="44"/>
      <c r="AA3" s="44"/>
      <c r="AB3" s="44"/>
      <c r="AC3" s="44"/>
    </row>
    <row r="4" ht="15.75" customHeight="1">
      <c r="A4" s="39"/>
      <c r="C4" s="48"/>
      <c r="D4" s="49"/>
      <c r="E4" s="49"/>
      <c r="F4" s="49"/>
      <c r="G4" s="49"/>
      <c r="H4" s="49"/>
      <c r="I4" s="49"/>
      <c r="J4" s="49"/>
      <c r="K4" s="50"/>
      <c r="L4" s="51"/>
      <c r="Y4" s="44"/>
      <c r="Z4" s="44"/>
      <c r="AA4" s="44"/>
      <c r="AB4" s="44"/>
      <c r="AC4" s="44"/>
    </row>
    <row r="5" ht="18.75" customHeight="1">
      <c r="A5" s="39"/>
      <c r="C5" s="52"/>
      <c r="U5" s="53" t="s">
        <v>38</v>
      </c>
      <c r="W5" s="54"/>
      <c r="X5" s="54">
        <f>CAPITAL!C2</f>
        <v>3350000</v>
      </c>
      <c r="Y5" s="54"/>
      <c r="Z5" s="54"/>
      <c r="AA5" s="54"/>
      <c r="AB5" s="54"/>
      <c r="AC5" s="54"/>
    </row>
    <row r="6" ht="19.5" customHeight="1">
      <c r="A6" s="55"/>
      <c r="B6" s="12" t="s">
        <v>8</v>
      </c>
      <c r="C6" s="15" t="s">
        <v>9</v>
      </c>
      <c r="D6" s="15" t="s">
        <v>39</v>
      </c>
      <c r="E6" s="13" t="s">
        <v>10</v>
      </c>
      <c r="F6" s="56" t="s">
        <v>11</v>
      </c>
      <c r="G6" s="14" t="s">
        <v>12</v>
      </c>
      <c r="H6" s="57" t="s">
        <v>40</v>
      </c>
      <c r="I6" s="57" t="s">
        <v>41</v>
      </c>
      <c r="J6" s="57" t="s">
        <v>42</v>
      </c>
      <c r="K6" s="56" t="s">
        <v>43</v>
      </c>
      <c r="L6" s="56" t="s">
        <v>13</v>
      </c>
      <c r="M6" s="13" t="s">
        <v>14</v>
      </c>
      <c r="N6" s="58" t="s">
        <v>44</v>
      </c>
      <c r="O6" s="59"/>
      <c r="P6" s="59"/>
      <c r="Q6" s="59"/>
      <c r="R6" s="59"/>
      <c r="S6" s="59"/>
      <c r="T6" s="60">
        <f>IFERROR(__xludf.DUMMYFUNCTION("SUM( FILTER(T9:T1015, ISNUMBER(T9:T1015)) )"),633.4594293239675)</f>
        <v>633.4594293</v>
      </c>
      <c r="U6" s="61">
        <f>IFERROR(__xludf.DUMMYFUNCTION("SUM( FILTER(U9:U1015, ISNUMBER(U9:U1015)) )"),2520.9251799824374)</f>
        <v>2520.92518</v>
      </c>
      <c r="V6" s="62">
        <f>IFERROR(__xludf.DUMMYFUNCTION("SUM( FILTER(V9:V1015, ISNUMBER(V9:V1015)) )"),47648.81524143984)</f>
        <v>47648.81524</v>
      </c>
      <c r="W6" s="63"/>
      <c r="X6" s="64" t="s">
        <v>45</v>
      </c>
      <c r="Y6" s="65" t="s">
        <v>46</v>
      </c>
      <c r="Z6" s="65" t="s">
        <v>47</v>
      </c>
      <c r="AA6" s="65" t="s">
        <v>48</v>
      </c>
      <c r="AB6" s="65" t="s">
        <v>49</v>
      </c>
      <c r="AC6" s="65"/>
    </row>
    <row r="7">
      <c r="A7" s="55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66" t="s">
        <v>50</v>
      </c>
      <c r="O7" s="66" t="s">
        <v>51</v>
      </c>
      <c r="P7" s="67" t="s">
        <v>52</v>
      </c>
      <c r="Q7" s="67" t="s">
        <v>53</v>
      </c>
      <c r="R7" s="67" t="s">
        <v>54</v>
      </c>
      <c r="S7" s="67" t="s">
        <v>55</v>
      </c>
      <c r="T7" s="67" t="s">
        <v>56</v>
      </c>
      <c r="U7" s="67" t="s">
        <v>57</v>
      </c>
      <c r="V7" s="67" t="s">
        <v>58</v>
      </c>
      <c r="W7" s="67" t="s">
        <v>59</v>
      </c>
      <c r="X7" s="66" t="s">
        <v>50</v>
      </c>
      <c r="Y7" s="68"/>
      <c r="Z7" s="68"/>
      <c r="AA7" s="68"/>
      <c r="AB7" s="68"/>
      <c r="AC7" s="68"/>
    </row>
    <row r="8" ht="7.5" customHeight="1">
      <c r="A8" s="6"/>
      <c r="B8" s="6"/>
      <c r="C8" s="69"/>
      <c r="D8" s="70"/>
      <c r="E8" s="70"/>
      <c r="F8" s="71"/>
      <c r="G8" s="72"/>
      <c r="H8" s="72"/>
      <c r="I8" s="72"/>
      <c r="J8" s="72"/>
      <c r="K8" s="71"/>
      <c r="L8" s="71"/>
      <c r="M8" s="70"/>
      <c r="N8" s="73"/>
      <c r="O8" s="74"/>
      <c r="P8" s="74"/>
      <c r="Q8" s="74"/>
      <c r="R8" s="74"/>
      <c r="S8" s="74"/>
      <c r="T8" s="73"/>
      <c r="U8" s="73"/>
      <c r="V8" s="73"/>
      <c r="W8" s="73"/>
      <c r="X8" s="75"/>
      <c r="Y8" s="76"/>
      <c r="Z8" s="76"/>
      <c r="AA8" s="76"/>
      <c r="AB8" s="76"/>
      <c r="AC8" s="76"/>
    </row>
    <row r="9">
      <c r="A9" s="77" t="s">
        <v>60</v>
      </c>
      <c r="B9" s="78">
        <v>1.0</v>
      </c>
      <c r="C9" s="79" t="str">
        <f>ENTRY!B3</f>
        <v>EMULTIMQ</v>
      </c>
      <c r="D9" s="80">
        <f>CAPITAL!$C$2</f>
        <v>3350000</v>
      </c>
      <c r="E9" s="81">
        <f>ENTRY!C3</f>
        <v>46023</v>
      </c>
      <c r="F9" s="82">
        <f>ENTRY!D3</f>
        <v>41.25</v>
      </c>
      <c r="G9" s="83">
        <f>ENTRY!E3</f>
        <v>2289</v>
      </c>
      <c r="H9" s="84">
        <f>G9*ENTRY!$O3</f>
        <v>121.1823529</v>
      </c>
      <c r="I9" s="84">
        <f>G9*ENTRY!$P3</f>
        <v>484.7294118</v>
      </c>
      <c r="J9" s="84">
        <f>G9*ENTRY!$Q3</f>
        <v>1683.088235</v>
      </c>
      <c r="K9" s="82">
        <f t="shared" ref="K9:K500" si="2">F9*G9</f>
        <v>94421.25</v>
      </c>
      <c r="L9" s="82" t="str">
        <f>ENTRY!F3</f>
        <v>LIVE</v>
      </c>
      <c r="M9" s="81" t="str">
        <f>ENTRY!G3</f>
        <v/>
      </c>
      <c r="N9" s="85" t="str">
        <f t="shared" ref="N9:N500" si="3">IFERROR(((L9-F9)*G9)/K9,"")
</f>
        <v/>
      </c>
      <c r="O9" s="86">
        <f t="shared" ref="O9:O500" si="4">IFERROR(N9*K9,"")
</f>
        <v>0</v>
      </c>
      <c r="P9" s="86">
        <f t="shared" ref="P9:P500" si="5">IFERROR((F9*H9)*N9,"")</f>
        <v>0</v>
      </c>
      <c r="Q9" s="86">
        <f t="shared" ref="Q9:Q500" si="6">IFERROR((F9*I9)*N9,"")</f>
        <v>0</v>
      </c>
      <c r="R9" s="86">
        <f t="shared" ref="R9:R500" si="7">IFERROR((F9*J9)*N9,"")</f>
        <v>0</v>
      </c>
      <c r="S9" s="87" t="str">
        <f t="shared" ref="S9:V9" si="1">IFERROR(O9-Y9,"")
</f>
        <v/>
      </c>
      <c r="T9" s="87" t="str">
        <f t="shared" si="1"/>
        <v/>
      </c>
      <c r="U9" s="87" t="str">
        <f t="shared" si="1"/>
        <v/>
      </c>
      <c r="V9" s="87" t="str">
        <f t="shared" si="1"/>
        <v/>
      </c>
      <c r="W9" s="88">
        <f t="shared" ref="W9:W500" si="9">IFERROR(S9/K9,"")</f>
        <v>0</v>
      </c>
      <c r="X9" s="89">
        <f>IFERROR(S9/D9,"")</f>
        <v>0</v>
      </c>
      <c r="Y9" s="90" t="str">
        <f t="shared" ref="Y9:Y500" si="10">Brokerage(F9, L9, G9)</f>
        <v>ERR</v>
      </c>
      <c r="Z9" s="90" t="str">
        <f>IF(H9=0,0,CAPITAL!$H$5*Y9)
</f>
        <v>#VALUE!</v>
      </c>
      <c r="AA9" s="90" t="str">
        <f>IF(I9=0,0,CAPITAL!$H$6*Y9)
</f>
        <v>#VALUE!</v>
      </c>
      <c r="AB9" s="90" t="str">
        <f>IF(J9=0,0,CAPITAL!$H$7*Y9)
</f>
        <v>#VALUE!</v>
      </c>
      <c r="AC9" s="90"/>
    </row>
    <row r="10">
      <c r="A10" s="91" t="s">
        <v>61</v>
      </c>
      <c r="B10" s="92">
        <v>2.0</v>
      </c>
      <c r="C10" s="18" t="str">
        <f>ENTRY!B4</f>
        <v>FMCGIETF</v>
      </c>
      <c r="D10" s="93">
        <f>CAPITAL!$C$2</f>
        <v>3350000</v>
      </c>
      <c r="E10" s="94">
        <f>ENTRY!C4</f>
        <v>46024</v>
      </c>
      <c r="F10" s="95">
        <f>ENTRY!D4</f>
        <v>56.85</v>
      </c>
      <c r="G10" s="96">
        <f>ENTRY!E4</f>
        <v>1661</v>
      </c>
      <c r="H10" s="97">
        <f>G10*ENTRY!$O4</f>
        <v>128.5014327</v>
      </c>
      <c r="I10" s="97">
        <f>G10*ENTRY!$P4</f>
        <v>342.6704871</v>
      </c>
      <c r="J10" s="97">
        <f>G10*ENTRY!$Q4</f>
        <v>1189.82808</v>
      </c>
      <c r="K10" s="95">
        <f t="shared" si="2"/>
        <v>94427.85</v>
      </c>
      <c r="L10" s="95" t="str">
        <f>ENTRY!F4</f>
        <v>LIVE</v>
      </c>
      <c r="M10" s="94" t="str">
        <f>ENTRY!G4</f>
        <v/>
      </c>
      <c r="N10" s="98" t="str">
        <f t="shared" si="3"/>
        <v/>
      </c>
      <c r="O10" s="99">
        <f t="shared" si="4"/>
        <v>0</v>
      </c>
      <c r="P10" s="99">
        <f t="shared" si="5"/>
        <v>0</v>
      </c>
      <c r="Q10" s="99">
        <f t="shared" si="6"/>
        <v>0</v>
      </c>
      <c r="R10" s="99">
        <f t="shared" si="7"/>
        <v>0</v>
      </c>
      <c r="S10" s="100" t="str">
        <f t="shared" ref="S10:V10" si="8">IFERROR(O10-Y10,"")
</f>
        <v/>
      </c>
      <c r="T10" s="100" t="str">
        <f t="shared" si="8"/>
        <v/>
      </c>
      <c r="U10" s="100" t="str">
        <f t="shared" si="8"/>
        <v/>
      </c>
      <c r="V10" s="100" t="str">
        <f t="shared" si="8"/>
        <v/>
      </c>
      <c r="W10" s="88">
        <f t="shared" si="9"/>
        <v>0</v>
      </c>
      <c r="X10" s="89">
        <f>S10/D10</f>
        <v>0</v>
      </c>
      <c r="Y10" s="90" t="str">
        <f t="shared" si="10"/>
        <v>ERR</v>
      </c>
      <c r="Z10" s="90" t="str">
        <f>IF(H10=0,0,CAPITAL!$H$5*Y10)
</f>
        <v>#VALUE!</v>
      </c>
      <c r="AA10" s="90" t="str">
        <f>IF(I10=0,0,CAPITAL!$H$6*Y10)
</f>
        <v>#VALUE!</v>
      </c>
      <c r="AB10" s="90" t="str">
        <f>IF(J10=0,0,CAPITAL!$H$7*Y10)
</f>
        <v>#VALUE!</v>
      </c>
      <c r="AC10" s="90"/>
    </row>
    <row r="11">
      <c r="A11" s="77" t="s">
        <v>62</v>
      </c>
      <c r="B11" s="101">
        <v>3.0</v>
      </c>
      <c r="C11" s="79" t="str">
        <f>ENTRY!B5</f>
        <v>MOHEALTH</v>
      </c>
      <c r="D11" s="80">
        <f>CAPITAL!$C$2</f>
        <v>3350000</v>
      </c>
      <c r="E11" s="81">
        <f>ENTRY!C5</f>
        <v>46027</v>
      </c>
      <c r="F11" s="82">
        <f>ENTRY!D5</f>
        <v>44.71</v>
      </c>
      <c r="G11" s="83">
        <f>ENTRY!E5</f>
        <v>2112</v>
      </c>
      <c r="H11" s="84">
        <f>G11*ENTRY!$O5</f>
        <v>83.9205298</v>
      </c>
      <c r="I11" s="84">
        <f>G11*ENTRY!$P5</f>
        <v>279.7350993</v>
      </c>
      <c r="J11" s="84">
        <f>G11*ENTRY!$Q5</f>
        <v>1748.344371</v>
      </c>
      <c r="K11" s="82">
        <f t="shared" si="2"/>
        <v>94427.52</v>
      </c>
      <c r="L11" s="82" t="str">
        <f>ENTRY!F5</f>
        <v>LIVE</v>
      </c>
      <c r="M11" s="81" t="str">
        <f>ENTRY!G5</f>
        <v/>
      </c>
      <c r="N11" s="85" t="str">
        <f t="shared" si="3"/>
        <v/>
      </c>
      <c r="O11" s="86">
        <f t="shared" si="4"/>
        <v>0</v>
      </c>
      <c r="P11" s="86">
        <f t="shared" si="5"/>
        <v>0</v>
      </c>
      <c r="Q11" s="86">
        <f t="shared" si="6"/>
        <v>0</v>
      </c>
      <c r="R11" s="86">
        <f t="shared" si="7"/>
        <v>0</v>
      </c>
      <c r="S11" s="87" t="str">
        <f t="shared" ref="S11:V11" si="11">IFERROR(O11-Y11,"")
</f>
        <v/>
      </c>
      <c r="T11" s="87" t="str">
        <f t="shared" si="11"/>
        <v/>
      </c>
      <c r="U11" s="87" t="str">
        <f t="shared" si="11"/>
        <v/>
      </c>
      <c r="V11" s="87" t="str">
        <f t="shared" si="11"/>
        <v/>
      </c>
      <c r="W11" s="88">
        <f t="shared" si="9"/>
        <v>0</v>
      </c>
      <c r="X11" s="89">
        <f>IFERROR(S11/D11,"")</f>
        <v>0</v>
      </c>
      <c r="Y11" s="90" t="str">
        <f t="shared" si="10"/>
        <v>ERR</v>
      </c>
      <c r="Z11" s="90" t="str">
        <f>IF(H11=0,0,CAPITAL!$H$5*Y11)
</f>
        <v>#VALUE!</v>
      </c>
      <c r="AA11" s="90" t="str">
        <f>IF(I11=0,0,CAPITAL!$H$6*Y11)
</f>
        <v>#VALUE!</v>
      </c>
      <c r="AB11" s="90" t="str">
        <f>IF(J11=0,0,CAPITAL!$H$7*Y11)
</f>
        <v>#VALUE!</v>
      </c>
      <c r="AC11" s="90"/>
    </row>
    <row r="12">
      <c r="A12" s="77" t="s">
        <v>63</v>
      </c>
      <c r="B12" s="101">
        <v>4.0</v>
      </c>
      <c r="C12" s="18" t="str">
        <f>ENTRY!B6</f>
        <v>MOHEALTH</v>
      </c>
      <c r="D12" s="93">
        <f>CAPITAL!$C$2</f>
        <v>3350000</v>
      </c>
      <c r="E12" s="94">
        <f>ENTRY!C6</f>
        <v>46029</v>
      </c>
      <c r="F12" s="95">
        <f>ENTRY!D6</f>
        <v>45.25</v>
      </c>
      <c r="G12" s="96">
        <f>ENTRY!E6</f>
        <v>2087</v>
      </c>
      <c r="H12" s="97">
        <f>G12*ENTRY!$O6</f>
        <v>110.4882353</v>
      </c>
      <c r="I12" s="97">
        <f>G12*ENTRY!$P6</f>
        <v>441.9529412</v>
      </c>
      <c r="J12" s="97">
        <f>G12*ENTRY!$Q6</f>
        <v>1534.558824</v>
      </c>
      <c r="K12" s="95">
        <f t="shared" si="2"/>
        <v>94436.75</v>
      </c>
      <c r="L12" s="95" t="str">
        <f>ENTRY!F6</f>
        <v>LIVE</v>
      </c>
      <c r="M12" s="94" t="str">
        <f>ENTRY!G6</f>
        <v/>
      </c>
      <c r="N12" s="98" t="str">
        <f t="shared" si="3"/>
        <v/>
      </c>
      <c r="O12" s="99">
        <f t="shared" si="4"/>
        <v>0</v>
      </c>
      <c r="P12" s="99">
        <f t="shared" si="5"/>
        <v>0</v>
      </c>
      <c r="Q12" s="99">
        <f t="shared" si="6"/>
        <v>0</v>
      </c>
      <c r="R12" s="99">
        <f t="shared" si="7"/>
        <v>0</v>
      </c>
      <c r="S12" s="100" t="str">
        <f t="shared" ref="S12:V12" si="12">IFERROR(O12-Y12,"")
</f>
        <v/>
      </c>
      <c r="T12" s="100" t="str">
        <f t="shared" si="12"/>
        <v/>
      </c>
      <c r="U12" s="100" t="str">
        <f t="shared" si="12"/>
        <v/>
      </c>
      <c r="V12" s="100" t="str">
        <f t="shared" si="12"/>
        <v/>
      </c>
      <c r="W12" s="88">
        <f t="shared" si="9"/>
        <v>0</v>
      </c>
      <c r="X12" s="89">
        <f>S12/D12</f>
        <v>0</v>
      </c>
      <c r="Y12" s="90" t="str">
        <f t="shared" si="10"/>
        <v>ERR</v>
      </c>
      <c r="Z12" s="90" t="str">
        <f>IF(H12=0,0,CAPITAL!$H$5*Y12)
</f>
        <v>#VALUE!</v>
      </c>
      <c r="AA12" s="90" t="str">
        <f>IF(I12=0,0,CAPITAL!$H$6*Y12)
</f>
        <v>#VALUE!</v>
      </c>
      <c r="AB12" s="90" t="str">
        <f>IF(J12=0,0,CAPITAL!$H$7*Y12)
</f>
        <v>#VALUE!</v>
      </c>
      <c r="AC12" s="90"/>
    </row>
    <row r="13">
      <c r="A13" s="77" t="s">
        <v>64</v>
      </c>
      <c r="B13" s="101">
        <v>5.0</v>
      </c>
      <c r="C13" s="79" t="str">
        <f>ENTRY!B7</f>
        <v>SILVERBEES</v>
      </c>
      <c r="D13" s="80">
        <f>CAPITAL!$C$2</f>
        <v>3350000</v>
      </c>
      <c r="E13" s="81">
        <f>ENTRY!C7</f>
        <v>46030</v>
      </c>
      <c r="F13" s="82">
        <f>ENTRY!D7</f>
        <v>224.52</v>
      </c>
      <c r="G13" s="83">
        <f>ENTRY!E7</f>
        <v>840</v>
      </c>
      <c r="H13" s="84">
        <f>G13*ENTRY!$O7</f>
        <v>44.47058824</v>
      </c>
      <c r="I13" s="84">
        <f>G13*ENTRY!$P7</f>
        <v>177.8823529</v>
      </c>
      <c r="J13" s="84">
        <f>G13*ENTRY!$Q7</f>
        <v>617.6470588</v>
      </c>
      <c r="K13" s="82">
        <f t="shared" si="2"/>
        <v>188596.8</v>
      </c>
      <c r="L13" s="82">
        <f>ENTRY!F7</f>
        <v>239.2</v>
      </c>
      <c r="M13" s="81">
        <f>ENTRY!G7</f>
        <v>46034</v>
      </c>
      <c r="N13" s="85">
        <f t="shared" si="3"/>
        <v>0.06538393016</v>
      </c>
      <c r="O13" s="86">
        <f t="shared" si="4"/>
        <v>12331.2</v>
      </c>
      <c r="P13" s="86">
        <f t="shared" si="5"/>
        <v>652.8282353</v>
      </c>
      <c r="Q13" s="86">
        <f t="shared" si="6"/>
        <v>2611.312941</v>
      </c>
      <c r="R13" s="86">
        <f t="shared" si="7"/>
        <v>9067.058824</v>
      </c>
      <c r="S13" s="87">
        <f t="shared" ref="S13:V13" si="13">IFERROR(O13-Y13,"")
</f>
        <v>11898.63</v>
      </c>
      <c r="T13" s="87">
        <f t="shared" si="13"/>
        <v>633.4594293</v>
      </c>
      <c r="U13" s="87">
        <f t="shared" si="13"/>
        <v>2520.92518</v>
      </c>
      <c r="V13" s="87">
        <f t="shared" si="13"/>
        <v>8744.245391</v>
      </c>
      <c r="W13" s="88">
        <f t="shared" si="9"/>
        <v>0.06309030694</v>
      </c>
      <c r="X13" s="89">
        <f>IFERROR(S13/D13,"")</f>
        <v>0.003551829851</v>
      </c>
      <c r="Y13" s="90">
        <f t="shared" si="10"/>
        <v>432.57</v>
      </c>
      <c r="Z13" s="90">
        <f>IF(H13=0,0,CAPITAL!$H$5*Y13)
</f>
        <v>19.36880597</v>
      </c>
      <c r="AA13" s="90">
        <f>IF(I13=0,0,CAPITAL!$H$6*Y13)
</f>
        <v>90.38776119</v>
      </c>
      <c r="AB13" s="90">
        <f>IF(J13=0,0,CAPITAL!$H$7*Y13)
</f>
        <v>322.8134328</v>
      </c>
      <c r="AC13" s="90"/>
    </row>
    <row r="14">
      <c r="A14" s="77" t="s">
        <v>65</v>
      </c>
      <c r="B14" s="101">
        <v>6.0</v>
      </c>
      <c r="C14" s="18" t="str">
        <f>ENTRY!B8</f>
        <v>HNGSNGBEES</v>
      </c>
      <c r="D14" s="93">
        <f>CAPITAL!$C$2</f>
        <v>3350000</v>
      </c>
      <c r="E14" s="94">
        <f>ENTRY!C8</f>
        <v>46031</v>
      </c>
      <c r="F14" s="95">
        <f>ENTRY!D8</f>
        <v>501.25</v>
      </c>
      <c r="G14" s="96">
        <f>ENTRY!E8</f>
        <v>180</v>
      </c>
      <c r="H14" s="97">
        <f>G14*ENTRY!$O8</f>
        <v>0</v>
      </c>
      <c r="I14" s="97">
        <f>G14*ENTRY!$P8</f>
        <v>0</v>
      </c>
      <c r="J14" s="97">
        <f>G14*ENTRY!$Q8</f>
        <v>180</v>
      </c>
      <c r="K14" s="95">
        <f t="shared" si="2"/>
        <v>90225</v>
      </c>
      <c r="L14" s="95">
        <f>ENTRY!F8</f>
        <v>517.3</v>
      </c>
      <c r="M14" s="94">
        <f>ENTRY!G8</f>
        <v>46034</v>
      </c>
      <c r="N14" s="98">
        <f t="shared" si="3"/>
        <v>0.03201995012</v>
      </c>
      <c r="O14" s="99">
        <f t="shared" si="4"/>
        <v>2889</v>
      </c>
      <c r="P14" s="99">
        <f t="shared" si="5"/>
        <v>0</v>
      </c>
      <c r="Q14" s="99">
        <f t="shared" si="6"/>
        <v>0</v>
      </c>
      <c r="R14" s="99">
        <f t="shared" si="7"/>
        <v>2889</v>
      </c>
      <c r="S14" s="100">
        <f t="shared" ref="S14:V14" si="14">IFERROR(O14-Y14,"")
</f>
        <v>2685.14</v>
      </c>
      <c r="T14" s="100">
        <f t="shared" si="14"/>
        <v>0</v>
      </c>
      <c r="U14" s="100">
        <f t="shared" si="14"/>
        <v>0</v>
      </c>
      <c r="V14" s="100">
        <f t="shared" si="14"/>
        <v>2736.865672</v>
      </c>
      <c r="W14" s="88">
        <f t="shared" si="9"/>
        <v>0.02976048767</v>
      </c>
      <c r="X14" s="89">
        <f>S14/D14</f>
        <v>0.0008015343284</v>
      </c>
      <c r="Y14" s="90">
        <f t="shared" si="10"/>
        <v>203.86</v>
      </c>
      <c r="Z14" s="90">
        <f>IF(H14=0,0,CAPITAL!$H$5*Y14)
</f>
        <v>0</v>
      </c>
      <c r="AA14" s="90">
        <f>IF(I14=0,0,CAPITAL!$H$6*Y14)
</f>
        <v>0</v>
      </c>
      <c r="AB14" s="90">
        <f>IF(J14=0,0,CAPITAL!$H$7*Y14)
</f>
        <v>152.1343284</v>
      </c>
      <c r="AC14" s="90"/>
    </row>
    <row r="15">
      <c r="A15" s="77" t="s">
        <v>31</v>
      </c>
      <c r="B15" s="101">
        <v>7.0</v>
      </c>
      <c r="C15" s="79" t="str">
        <f>ENTRY!B9</f>
        <v>SILVERBEES</v>
      </c>
      <c r="D15" s="80">
        <f>CAPITAL!$C$2</f>
        <v>3350000</v>
      </c>
      <c r="E15" s="81">
        <f>ENTRY!C9</f>
        <v>46036</v>
      </c>
      <c r="F15" s="82">
        <f>ENTRY!D9</f>
        <v>260.15</v>
      </c>
      <c r="G15" s="83">
        <f>ENTRY!E9</f>
        <v>269</v>
      </c>
      <c r="H15" s="84">
        <f>G15*ENTRY!$O9</f>
        <v>0</v>
      </c>
      <c r="I15" s="84">
        <f>G15*ENTRY!$P9</f>
        <v>0</v>
      </c>
      <c r="J15" s="84">
        <f>G15*ENTRY!$Q9</f>
        <v>269</v>
      </c>
      <c r="K15" s="82">
        <f t="shared" si="2"/>
        <v>69980.35</v>
      </c>
      <c r="L15" s="82">
        <f>ENTRY!F9</f>
        <v>280.95</v>
      </c>
      <c r="M15" s="81">
        <f>ENTRY!G9</f>
        <v>46041</v>
      </c>
      <c r="N15" s="85">
        <f t="shared" si="3"/>
        <v>0.07995387277</v>
      </c>
      <c r="O15" s="86">
        <f t="shared" si="4"/>
        <v>5595.2</v>
      </c>
      <c r="P15" s="86">
        <f t="shared" si="5"/>
        <v>0</v>
      </c>
      <c r="Q15" s="86">
        <f t="shared" si="6"/>
        <v>0</v>
      </c>
      <c r="R15" s="86">
        <f t="shared" si="7"/>
        <v>5595.2</v>
      </c>
      <c r="S15" s="87">
        <f t="shared" ref="S15:V15" si="15">IFERROR(O15-Y15,"")
</f>
        <v>5433.75</v>
      </c>
      <c r="T15" s="87">
        <f t="shared" si="15"/>
        <v>0</v>
      </c>
      <c r="U15" s="87">
        <f t="shared" si="15"/>
        <v>0</v>
      </c>
      <c r="V15" s="87">
        <f t="shared" si="15"/>
        <v>5474.714925</v>
      </c>
      <c r="W15" s="88">
        <f t="shared" si="9"/>
        <v>0.07764679657</v>
      </c>
      <c r="X15" s="89">
        <f>IFERROR(S15/D15,"")</f>
        <v>0.001622014925</v>
      </c>
      <c r="Y15" s="90">
        <f t="shared" si="10"/>
        <v>161.45</v>
      </c>
      <c r="Z15" s="90">
        <f>IF(H15=0,0,CAPITAL!$H$5*Y15)
</f>
        <v>0</v>
      </c>
      <c r="AA15" s="90">
        <f>IF(I15=0,0,CAPITAL!$H$6*Y15)
</f>
        <v>0</v>
      </c>
      <c r="AB15" s="90">
        <f>IF(J15=0,0,CAPITAL!$H$7*Y15)
</f>
        <v>120.4850746</v>
      </c>
      <c r="AC15" s="90"/>
    </row>
    <row r="16">
      <c r="A16" s="77" t="s">
        <v>30</v>
      </c>
      <c r="B16" s="101">
        <v>8.0</v>
      </c>
      <c r="C16" s="18" t="str">
        <f>ENTRY!B10</f>
        <v>GOLDBEES</v>
      </c>
      <c r="D16" s="93">
        <f>CAPITAL!$C$2</f>
        <v>3350000</v>
      </c>
      <c r="E16" s="94">
        <f>ENTRY!C10</f>
        <v>46038</v>
      </c>
      <c r="F16" s="95">
        <f>ENTRY!D10</f>
        <v>117.5</v>
      </c>
      <c r="G16" s="96">
        <f>ENTRY!E10</f>
        <v>595</v>
      </c>
      <c r="H16" s="97">
        <f>G16*ENTRY!$O10</f>
        <v>0</v>
      </c>
      <c r="I16" s="97">
        <f>G16*ENTRY!$P10</f>
        <v>0</v>
      </c>
      <c r="J16" s="97">
        <f>G16*ENTRY!$Q10</f>
        <v>595</v>
      </c>
      <c r="K16" s="95">
        <f t="shared" si="2"/>
        <v>69912.5</v>
      </c>
      <c r="L16" s="95">
        <f>ENTRY!F10</f>
        <v>122.63</v>
      </c>
      <c r="M16" s="94">
        <f>ENTRY!G10</f>
        <v>46042</v>
      </c>
      <c r="N16" s="98">
        <f t="shared" si="3"/>
        <v>0.04365957447</v>
      </c>
      <c r="O16" s="99">
        <f t="shared" si="4"/>
        <v>3052.35</v>
      </c>
      <c r="P16" s="99">
        <f t="shared" si="5"/>
        <v>0</v>
      </c>
      <c r="Q16" s="99">
        <f t="shared" si="6"/>
        <v>0</v>
      </c>
      <c r="R16" s="99">
        <f t="shared" si="7"/>
        <v>3052.35</v>
      </c>
      <c r="S16" s="100">
        <f t="shared" ref="S16:V16" si="16">IFERROR(O16-Y16,"")
</f>
        <v>2894</v>
      </c>
      <c r="T16" s="100">
        <f t="shared" si="16"/>
        <v>0</v>
      </c>
      <c r="U16" s="100">
        <f t="shared" si="16"/>
        <v>0</v>
      </c>
      <c r="V16" s="100">
        <f t="shared" si="16"/>
        <v>2934.178358</v>
      </c>
      <c r="W16" s="88">
        <f t="shared" si="9"/>
        <v>0.04139460039</v>
      </c>
      <c r="X16" s="89">
        <f>S16/D16</f>
        <v>0.000863880597</v>
      </c>
      <c r="Y16" s="90">
        <f t="shared" si="10"/>
        <v>158.35</v>
      </c>
      <c r="Z16" s="90">
        <f>IF(H16=0,0,CAPITAL!$H$5*Y16)
</f>
        <v>0</v>
      </c>
      <c r="AA16" s="90">
        <f>IF(I16=0,0,CAPITAL!$H$6*Y16)
</f>
        <v>0</v>
      </c>
      <c r="AB16" s="90">
        <f>IF(J16=0,0,CAPITAL!$H$7*Y16)
</f>
        <v>118.1716418</v>
      </c>
      <c r="AC16" s="90"/>
    </row>
    <row r="17">
      <c r="A17" s="77" t="s">
        <v>66</v>
      </c>
      <c r="B17" s="101">
        <v>9.0</v>
      </c>
      <c r="C17" s="79" t="str">
        <f>ENTRY!B11</f>
        <v>SILVERBEES</v>
      </c>
      <c r="D17" s="80">
        <f>CAPITAL!$C$2</f>
        <v>3350000</v>
      </c>
      <c r="E17" s="81">
        <f>ENTRY!C11</f>
        <v>46038</v>
      </c>
      <c r="F17" s="82">
        <f>ENTRY!D11</f>
        <v>269.3</v>
      </c>
      <c r="G17" s="83">
        <f>ENTRY!E11</f>
        <v>259</v>
      </c>
      <c r="H17" s="84">
        <f>G17*ENTRY!$O11</f>
        <v>0</v>
      </c>
      <c r="I17" s="84">
        <f>G17*ENTRY!$P11</f>
        <v>0</v>
      </c>
      <c r="J17" s="84">
        <f>G17*ENTRY!$Q11</f>
        <v>259</v>
      </c>
      <c r="K17" s="82">
        <f t="shared" si="2"/>
        <v>69748.7</v>
      </c>
      <c r="L17" s="82">
        <f>ENTRY!F11</f>
        <v>280.95</v>
      </c>
      <c r="M17" s="81">
        <f>ENTRY!G11</f>
        <v>46041</v>
      </c>
      <c r="N17" s="85">
        <f t="shared" si="3"/>
        <v>0.04326030449</v>
      </c>
      <c r="O17" s="86">
        <f t="shared" si="4"/>
        <v>3017.35</v>
      </c>
      <c r="P17" s="86">
        <f t="shared" si="5"/>
        <v>0</v>
      </c>
      <c r="Q17" s="86">
        <f t="shared" si="6"/>
        <v>0</v>
      </c>
      <c r="R17" s="86">
        <f t="shared" si="7"/>
        <v>3017.35</v>
      </c>
      <c r="S17" s="87">
        <f t="shared" ref="S17:V17" si="17">IFERROR(O17-Y17,"")
</f>
        <v>2859.02</v>
      </c>
      <c r="T17" s="87">
        <f t="shared" si="17"/>
        <v>0</v>
      </c>
      <c r="U17" s="87">
        <f t="shared" si="17"/>
        <v>0</v>
      </c>
      <c r="V17" s="87">
        <f t="shared" si="17"/>
        <v>2899.193284</v>
      </c>
      <c r="W17" s="88">
        <f t="shared" si="9"/>
        <v>0.04099029803</v>
      </c>
      <c r="X17" s="89">
        <f>IFERROR(S17/D17,"")</f>
        <v>0.000853438806</v>
      </c>
      <c r="Y17" s="90">
        <f t="shared" si="10"/>
        <v>158.33</v>
      </c>
      <c r="Z17" s="90">
        <f>IF(H17=0,0,CAPITAL!$H$5*Y17)
</f>
        <v>0</v>
      </c>
      <c r="AA17" s="90">
        <f>IF(I17=0,0,CAPITAL!$H$6*Y17)
</f>
        <v>0</v>
      </c>
      <c r="AB17" s="90">
        <f>IF(J17=0,0,CAPITAL!$H$7*Y17)
</f>
        <v>118.1567164</v>
      </c>
      <c r="AC17" s="90"/>
    </row>
    <row r="18">
      <c r="A18" s="77" t="s">
        <v>67</v>
      </c>
      <c r="B18" s="101">
        <v>10.0</v>
      </c>
      <c r="C18" s="18" t="str">
        <f>ENTRY!B12</f>
        <v>SILVER LIFE (ADITYA BIRLA)</v>
      </c>
      <c r="D18" s="93">
        <f>CAPITAL!$C$2</f>
        <v>3350000</v>
      </c>
      <c r="E18" s="94">
        <f>ENTRY!C12</f>
        <v>46041</v>
      </c>
      <c r="F18" s="95">
        <f>ENTRY!D12</f>
        <v>292.94</v>
      </c>
      <c r="G18" s="96">
        <f>ENTRY!E12</f>
        <v>238</v>
      </c>
      <c r="H18" s="97">
        <f>G18*ENTRY!$O12</f>
        <v>0</v>
      </c>
      <c r="I18" s="97">
        <f>G18*ENTRY!$P12</f>
        <v>0</v>
      </c>
      <c r="J18" s="97">
        <f>G18*ENTRY!$Q12</f>
        <v>238</v>
      </c>
      <c r="K18" s="95">
        <f t="shared" si="2"/>
        <v>69719.72</v>
      </c>
      <c r="L18" s="95">
        <f>ENTRY!F12</f>
        <v>311.85</v>
      </c>
      <c r="M18" s="94">
        <f>ENTRY!G12</f>
        <v>46042</v>
      </c>
      <c r="N18" s="98">
        <f t="shared" si="3"/>
        <v>0.06455246808</v>
      </c>
      <c r="O18" s="99">
        <f t="shared" si="4"/>
        <v>4500.58</v>
      </c>
      <c r="P18" s="99">
        <f t="shared" si="5"/>
        <v>0</v>
      </c>
      <c r="Q18" s="99">
        <f t="shared" si="6"/>
        <v>0</v>
      </c>
      <c r="R18" s="99">
        <f t="shared" si="7"/>
        <v>4500.58</v>
      </c>
      <c r="S18" s="100">
        <f t="shared" ref="S18:V18" si="18">IFERROR(O18-Y18,"")
</f>
        <v>4341.2</v>
      </c>
      <c r="T18" s="100">
        <f t="shared" si="18"/>
        <v>0</v>
      </c>
      <c r="U18" s="100">
        <f t="shared" si="18"/>
        <v>0</v>
      </c>
      <c r="V18" s="100">
        <f t="shared" si="18"/>
        <v>4381.639701</v>
      </c>
      <c r="W18" s="88">
        <f t="shared" si="9"/>
        <v>0.06226645775</v>
      </c>
      <c r="X18" s="89">
        <f>S18/D18</f>
        <v>0.001295880597</v>
      </c>
      <c r="Y18" s="90">
        <f t="shared" si="10"/>
        <v>159.38</v>
      </c>
      <c r="Z18" s="90">
        <f>IF(H18=0,0,CAPITAL!$H$5*Y18)
</f>
        <v>0</v>
      </c>
      <c r="AA18" s="90">
        <f>IF(I18=0,0,CAPITAL!$H$6*Y18)
</f>
        <v>0</v>
      </c>
      <c r="AB18" s="90">
        <f>IF(J18=0,0,CAPITAL!$H$7*Y18)
</f>
        <v>118.9402985</v>
      </c>
      <c r="AC18" s="90"/>
    </row>
    <row r="19">
      <c r="A19" s="77" t="s">
        <v>68</v>
      </c>
      <c r="B19" s="101">
        <v>11.0</v>
      </c>
      <c r="C19" s="79" t="str">
        <f>ENTRY!B13</f>
        <v>TWCGOLD TEF</v>
      </c>
      <c r="D19" s="80">
        <f>CAPITAL!$C$2</f>
        <v>3350000</v>
      </c>
      <c r="E19" s="81">
        <f>ENTRY!C13</f>
        <v>46042</v>
      </c>
      <c r="F19" s="82">
        <f>ENTRY!D13</f>
        <v>148.5</v>
      </c>
      <c r="G19" s="83">
        <f>ENTRY!E13</f>
        <v>473</v>
      </c>
      <c r="H19" s="84">
        <f>G19*ENTRY!$O13</f>
        <v>0</v>
      </c>
      <c r="I19" s="84">
        <f>G19*ENTRY!$P13</f>
        <v>0</v>
      </c>
      <c r="J19" s="84">
        <f>G19*ENTRY!$Q13</f>
        <v>473</v>
      </c>
      <c r="K19" s="82">
        <f t="shared" si="2"/>
        <v>70240.5</v>
      </c>
      <c r="L19" s="82">
        <f>ENTRY!F13</f>
        <v>158.07</v>
      </c>
      <c r="M19" s="81">
        <f>ENTRY!G13</f>
        <v>46043</v>
      </c>
      <c r="N19" s="85">
        <f t="shared" si="3"/>
        <v>0.06444444444</v>
      </c>
      <c r="O19" s="86">
        <f t="shared" si="4"/>
        <v>4526.61</v>
      </c>
      <c r="P19" s="86">
        <f t="shared" si="5"/>
        <v>0</v>
      </c>
      <c r="Q19" s="86">
        <f t="shared" si="6"/>
        <v>0</v>
      </c>
      <c r="R19" s="86">
        <f t="shared" si="7"/>
        <v>4526.61</v>
      </c>
      <c r="S19" s="87">
        <f t="shared" ref="S19:V19" si="19">IFERROR(O19-Y19,"")
</f>
        <v>4365.18</v>
      </c>
      <c r="T19" s="87">
        <f t="shared" si="19"/>
        <v>0</v>
      </c>
      <c r="U19" s="87">
        <f t="shared" si="19"/>
        <v>0</v>
      </c>
      <c r="V19" s="87">
        <f t="shared" si="19"/>
        <v>4406.139851</v>
      </c>
      <c r="W19" s="88">
        <f t="shared" si="9"/>
        <v>0.06214619771</v>
      </c>
      <c r="X19" s="89">
        <f>IFERROR(S19/D19,"")</f>
        <v>0.001303038806</v>
      </c>
      <c r="Y19" s="90">
        <f t="shared" si="10"/>
        <v>161.43</v>
      </c>
      <c r="Z19" s="90">
        <f>IF(H19=0,0,CAPITAL!$H$5*Y19)
</f>
        <v>0</v>
      </c>
      <c r="AA19" s="90">
        <f>IF(I19=0,0,CAPITAL!$H$6*Y19)
</f>
        <v>0</v>
      </c>
      <c r="AB19" s="90">
        <f>IF(J19=0,0,CAPITAL!$H$7*Y19)
</f>
        <v>120.4701493</v>
      </c>
      <c r="AC19" s="90"/>
    </row>
    <row r="20">
      <c r="A20" s="77" t="s">
        <v>69</v>
      </c>
      <c r="B20" s="101">
        <v>12.0</v>
      </c>
      <c r="C20" s="18" t="str">
        <f>ENTRY!B14</f>
        <v>SILVERBAND (BANDHAN BANK)</v>
      </c>
      <c r="D20" s="93">
        <f>CAPITAL!$C$2</f>
        <v>3350000</v>
      </c>
      <c r="E20" s="94">
        <f>ENTRY!C14</f>
        <v>46042</v>
      </c>
      <c r="F20" s="95">
        <f>ENTRY!D14</f>
        <v>326.44</v>
      </c>
      <c r="G20" s="96">
        <f>ENTRY!E14</f>
        <v>522</v>
      </c>
      <c r="H20" s="97">
        <f>G20*ENTRY!$O14</f>
        <v>0</v>
      </c>
      <c r="I20" s="97">
        <f>G20*ENTRY!$P14</f>
        <v>0</v>
      </c>
      <c r="J20" s="97">
        <f>G20*ENTRY!$Q14</f>
        <v>522</v>
      </c>
      <c r="K20" s="95">
        <f t="shared" si="2"/>
        <v>170401.68</v>
      </c>
      <c r="L20" s="95" t="str">
        <f>ENTRY!F14</f>
        <v>LIVE</v>
      </c>
      <c r="M20" s="94" t="str">
        <f>ENTRY!G14</f>
        <v/>
      </c>
      <c r="N20" s="98" t="str">
        <f t="shared" si="3"/>
        <v/>
      </c>
      <c r="O20" s="99">
        <f t="shared" si="4"/>
        <v>0</v>
      </c>
      <c r="P20" s="99">
        <f t="shared" si="5"/>
        <v>0</v>
      </c>
      <c r="Q20" s="99">
        <f t="shared" si="6"/>
        <v>0</v>
      </c>
      <c r="R20" s="99">
        <f t="shared" si="7"/>
        <v>0</v>
      </c>
      <c r="S20" s="100" t="str">
        <f t="shared" ref="S20:V20" si="20">IFERROR(O20-Y20,"")
</f>
        <v/>
      </c>
      <c r="T20" s="100">
        <f t="shared" si="20"/>
        <v>0</v>
      </c>
      <c r="U20" s="100">
        <f t="shared" si="20"/>
        <v>0</v>
      </c>
      <c r="V20" s="100" t="str">
        <f t="shared" si="20"/>
        <v/>
      </c>
      <c r="W20" s="88">
        <f t="shared" si="9"/>
        <v>0</v>
      </c>
      <c r="X20" s="89">
        <f>S20/D20</f>
        <v>0</v>
      </c>
      <c r="Y20" s="90" t="str">
        <f t="shared" si="10"/>
        <v>ERR</v>
      </c>
      <c r="Z20" s="90">
        <f>IF(H20=0,0,CAPITAL!$H$5*Y20)
</f>
        <v>0</v>
      </c>
      <c r="AA20" s="90">
        <f>IF(I20=0,0,CAPITAL!$H$6*Y20)
</f>
        <v>0</v>
      </c>
      <c r="AB20" s="90" t="str">
        <f>IF(J20=0,0,CAPITAL!$H$7*Y20)
</f>
        <v>#VALUE!</v>
      </c>
      <c r="AC20" s="90"/>
    </row>
    <row r="21">
      <c r="A21" s="77" t="s">
        <v>70</v>
      </c>
      <c r="B21" s="101">
        <v>13.0</v>
      </c>
      <c r="C21" s="79" t="str">
        <f>ENTRY!B15</f>
        <v>SILVERBEES</v>
      </c>
      <c r="D21" s="80">
        <f>CAPITAL!$C$2</f>
        <v>3350000</v>
      </c>
      <c r="E21" s="81">
        <f>ENTRY!C15</f>
        <v>46043</v>
      </c>
      <c r="F21" s="82">
        <f>ENTRY!D15</f>
        <v>304.57</v>
      </c>
      <c r="G21" s="83">
        <f>ENTRY!E15</f>
        <v>473</v>
      </c>
      <c r="H21" s="84">
        <f>G21*ENTRY!$O15</f>
        <v>0</v>
      </c>
      <c r="I21" s="84">
        <f>G21*ENTRY!$P15</f>
        <v>0</v>
      </c>
      <c r="J21" s="84">
        <f>G21*ENTRY!$Q15</f>
        <v>473</v>
      </c>
      <c r="K21" s="82">
        <f t="shared" si="2"/>
        <v>144061.61</v>
      </c>
      <c r="L21" s="82">
        <f>ENTRY!F15</f>
        <v>315.56</v>
      </c>
      <c r="M21" s="81">
        <f>ENTRY!G15</f>
        <v>46049</v>
      </c>
      <c r="N21" s="85">
        <f t="shared" si="3"/>
        <v>0.03608365893</v>
      </c>
      <c r="O21" s="86">
        <f t="shared" si="4"/>
        <v>5198.27</v>
      </c>
      <c r="P21" s="86">
        <f t="shared" si="5"/>
        <v>0</v>
      </c>
      <c r="Q21" s="86">
        <f t="shared" si="6"/>
        <v>0</v>
      </c>
      <c r="R21" s="86">
        <f t="shared" si="7"/>
        <v>5198.27</v>
      </c>
      <c r="S21" s="87">
        <f t="shared" ref="S21:V21" si="21">IFERROR(O21-Y21,"")
</f>
        <v>4872.31</v>
      </c>
      <c r="T21" s="87">
        <f t="shared" si="21"/>
        <v>0</v>
      </c>
      <c r="U21" s="87">
        <f t="shared" si="21"/>
        <v>0</v>
      </c>
      <c r="V21" s="87">
        <f t="shared" si="21"/>
        <v>4955.016269</v>
      </c>
      <c r="W21" s="88">
        <f t="shared" si="9"/>
        <v>0.03382101588</v>
      </c>
      <c r="X21" s="89">
        <f>IFERROR(S21/D21,"")</f>
        <v>0.001454420896</v>
      </c>
      <c r="Y21" s="90">
        <f t="shared" si="10"/>
        <v>325.96</v>
      </c>
      <c r="Z21" s="90">
        <f>IF(H21=0,0,CAPITAL!$H$5*Y21)
</f>
        <v>0</v>
      </c>
      <c r="AA21" s="90">
        <f>IF(I21=0,0,CAPITAL!$H$6*Y21)
</f>
        <v>0</v>
      </c>
      <c r="AB21" s="90">
        <f>IF(J21=0,0,CAPITAL!$H$7*Y21)
</f>
        <v>243.2537313</v>
      </c>
      <c r="AC21" s="90"/>
    </row>
    <row r="22">
      <c r="A22" s="77" t="s">
        <v>71</v>
      </c>
      <c r="B22" s="101">
        <v>14.0</v>
      </c>
      <c r="C22" s="18" t="str">
        <f>ENTRY!B16</f>
        <v>SILVERBAND (BANDHAN BANK)</v>
      </c>
      <c r="D22" s="93">
        <f>CAPITAL!$C$2</f>
        <v>3350000</v>
      </c>
      <c r="E22" s="94">
        <f>ENTRY!C16</f>
        <v>46044</v>
      </c>
      <c r="F22" s="95">
        <f>ENTRY!D16</f>
        <v>295.2</v>
      </c>
      <c r="G22" s="96">
        <f>ENTRY!E16</f>
        <v>237</v>
      </c>
      <c r="H22" s="97">
        <f>G22*ENTRY!$O16</f>
        <v>0</v>
      </c>
      <c r="I22" s="97">
        <f>G22*ENTRY!$P16</f>
        <v>0</v>
      </c>
      <c r="J22" s="97">
        <f>G22*ENTRY!$Q16</f>
        <v>237</v>
      </c>
      <c r="K22" s="95">
        <f t="shared" si="2"/>
        <v>69962.4</v>
      </c>
      <c r="L22" s="95" t="str">
        <f>ENTRY!F16</f>
        <v>LIVE</v>
      </c>
      <c r="M22" s="94" t="str">
        <f>ENTRY!G16</f>
        <v/>
      </c>
      <c r="N22" s="98" t="str">
        <f t="shared" si="3"/>
        <v/>
      </c>
      <c r="O22" s="99">
        <f t="shared" si="4"/>
        <v>0</v>
      </c>
      <c r="P22" s="99">
        <f t="shared" si="5"/>
        <v>0</v>
      </c>
      <c r="Q22" s="99">
        <f t="shared" si="6"/>
        <v>0</v>
      </c>
      <c r="R22" s="99">
        <f t="shared" si="7"/>
        <v>0</v>
      </c>
      <c r="S22" s="100" t="str">
        <f t="shared" ref="S22:V22" si="22">IFERROR(O22-Y22,"")
</f>
        <v/>
      </c>
      <c r="T22" s="100">
        <f t="shared" si="22"/>
        <v>0</v>
      </c>
      <c r="U22" s="100">
        <f t="shared" si="22"/>
        <v>0</v>
      </c>
      <c r="V22" s="100" t="str">
        <f t="shared" si="22"/>
        <v/>
      </c>
      <c r="W22" s="88">
        <f t="shared" si="9"/>
        <v>0</v>
      </c>
      <c r="X22" s="89">
        <f>S22/D22</f>
        <v>0</v>
      </c>
      <c r="Y22" s="90" t="str">
        <f t="shared" si="10"/>
        <v>ERR</v>
      </c>
      <c r="Z22" s="90">
        <f>IF(H22=0,0,CAPITAL!$H$5*Y22)
</f>
        <v>0</v>
      </c>
      <c r="AA22" s="90">
        <f>IF(I22=0,0,CAPITAL!$H$6*Y22)
</f>
        <v>0</v>
      </c>
      <c r="AB22" s="90" t="str">
        <f>IF(J22=0,0,CAPITAL!$H$7*Y22)
</f>
        <v>#VALUE!</v>
      </c>
      <c r="AC22" s="90"/>
    </row>
    <row r="23">
      <c r="A23" s="77" t="s">
        <v>72</v>
      </c>
      <c r="B23" s="101">
        <v>15.0</v>
      </c>
      <c r="C23" s="79" t="str">
        <f>ENTRY!B17</f>
        <v>SILVERBEES</v>
      </c>
      <c r="D23" s="80">
        <f>CAPITAL!$C$2</f>
        <v>3350000</v>
      </c>
      <c r="E23" s="81">
        <f>ENTRY!C17</f>
        <v>46044</v>
      </c>
      <c r="F23" s="82">
        <f>ENTRY!D17</f>
        <v>271.82</v>
      </c>
      <c r="G23" s="83">
        <f>ENTRY!E17</f>
        <v>257</v>
      </c>
      <c r="H23" s="84">
        <f>G23*ENTRY!$O17</f>
        <v>0</v>
      </c>
      <c r="I23" s="84">
        <f>G23*ENTRY!$P17</f>
        <v>0</v>
      </c>
      <c r="J23" s="84">
        <f>G23*ENTRY!$Q17</f>
        <v>257</v>
      </c>
      <c r="K23" s="82">
        <f t="shared" si="2"/>
        <v>69857.74</v>
      </c>
      <c r="L23" s="82">
        <f>ENTRY!F17</f>
        <v>315.56</v>
      </c>
      <c r="M23" s="81">
        <f>ENTRY!G17</f>
        <v>46049</v>
      </c>
      <c r="N23" s="85">
        <f t="shared" si="3"/>
        <v>0.1609153116</v>
      </c>
      <c r="O23" s="86">
        <f t="shared" si="4"/>
        <v>11241.18</v>
      </c>
      <c r="P23" s="86">
        <f t="shared" si="5"/>
        <v>0</v>
      </c>
      <c r="Q23" s="86">
        <f t="shared" si="6"/>
        <v>0</v>
      </c>
      <c r="R23" s="86">
        <f t="shared" si="7"/>
        <v>11241.18</v>
      </c>
      <c r="S23" s="87">
        <f t="shared" ref="S23:V23" si="23">IFERROR(O23-Y23,"")
</f>
        <v>11074.54</v>
      </c>
      <c r="T23" s="87">
        <f t="shared" si="23"/>
        <v>0</v>
      </c>
      <c r="U23" s="87">
        <f t="shared" si="23"/>
        <v>0</v>
      </c>
      <c r="V23" s="87">
        <f t="shared" si="23"/>
        <v>11116.82179</v>
      </c>
      <c r="W23" s="88">
        <f t="shared" si="9"/>
        <v>0.1585298923</v>
      </c>
      <c r="X23" s="89">
        <f>IFERROR(S23/D23,"")</f>
        <v>0.003305832836</v>
      </c>
      <c r="Y23" s="90">
        <f t="shared" si="10"/>
        <v>166.64</v>
      </c>
      <c r="Z23" s="90">
        <f>IF(H23=0,0,CAPITAL!$H$5*Y23)
</f>
        <v>0</v>
      </c>
      <c r="AA23" s="90">
        <f>IF(I23=0,0,CAPITAL!$H$6*Y23)
</f>
        <v>0</v>
      </c>
      <c r="AB23" s="90">
        <f>IF(J23=0,0,CAPITAL!$H$7*Y23)
</f>
        <v>124.358209</v>
      </c>
      <c r="AC23" s="90"/>
    </row>
    <row r="24">
      <c r="A24" s="77" t="s">
        <v>73</v>
      </c>
      <c r="B24" s="101">
        <v>16.0</v>
      </c>
      <c r="C24" s="18" t="str">
        <f>ENTRY!B18</f>
        <v>SILVERBEES</v>
      </c>
      <c r="D24" s="93">
        <f>CAPITAL!$C$2</f>
        <v>3350000</v>
      </c>
      <c r="E24" s="94" t="str">
        <f>ENTRY!C18</f>
        <v/>
      </c>
      <c r="F24" s="95" t="str">
        <f>ENTRY!D18</f>
        <v/>
      </c>
      <c r="G24" s="96" t="str">
        <f>ENTRY!E18</f>
        <v/>
      </c>
      <c r="H24" s="97">
        <f>G24*ENTRY!$O18</f>
        <v>0</v>
      </c>
      <c r="I24" s="97">
        <f>G24*ENTRY!$P18</f>
        <v>0</v>
      </c>
      <c r="J24" s="97">
        <f>G24*ENTRY!$Q18</f>
        <v>0</v>
      </c>
      <c r="K24" s="95">
        <f t="shared" si="2"/>
        <v>0</v>
      </c>
      <c r="L24" s="95" t="str">
        <f>ENTRY!F18</f>
        <v/>
      </c>
      <c r="M24" s="94" t="str">
        <f>ENTRY!G18</f>
        <v/>
      </c>
      <c r="N24" s="98" t="str">
        <f t="shared" si="3"/>
        <v/>
      </c>
      <c r="O24" s="99">
        <f t="shared" si="4"/>
        <v>0</v>
      </c>
      <c r="P24" s="99">
        <f t="shared" si="5"/>
        <v>0</v>
      </c>
      <c r="Q24" s="99">
        <f t="shared" si="6"/>
        <v>0</v>
      </c>
      <c r="R24" s="99">
        <f t="shared" si="7"/>
        <v>0</v>
      </c>
      <c r="S24" s="100" t="str">
        <f t="shared" ref="S24:V24" si="24">IFERROR(O24-Y24,"")
</f>
        <v/>
      </c>
      <c r="T24" s="100">
        <f t="shared" si="24"/>
        <v>0</v>
      </c>
      <c r="U24" s="100">
        <f t="shared" si="24"/>
        <v>0</v>
      </c>
      <c r="V24" s="100">
        <f t="shared" si="24"/>
        <v>0</v>
      </c>
      <c r="W24" s="88" t="str">
        <f t="shared" si="9"/>
        <v/>
      </c>
      <c r="X24" s="89">
        <f>S24/D24</f>
        <v>0</v>
      </c>
      <c r="Y24" s="90" t="str">
        <f t="shared" si="10"/>
        <v>ERR</v>
      </c>
      <c r="Z24" s="90">
        <f>IF(H24=0,0,CAPITAL!$H$5*Y24)
</f>
        <v>0</v>
      </c>
      <c r="AA24" s="90">
        <f>IF(I24=0,0,CAPITAL!$H$6*Y24)
</f>
        <v>0</v>
      </c>
      <c r="AB24" s="90">
        <f>IF(J24=0,0,CAPITAL!$H$7*Y24)
</f>
        <v>0</v>
      </c>
      <c r="AC24" s="90"/>
    </row>
    <row r="25">
      <c r="A25" s="77" t="s">
        <v>74</v>
      </c>
      <c r="B25" s="101">
        <v>17.0</v>
      </c>
      <c r="C25" s="79" t="str">
        <f>ENTRY!B19</f>
        <v>SILVERBEES</v>
      </c>
      <c r="D25" s="80">
        <f>CAPITAL!$C$2</f>
        <v>3350000</v>
      </c>
      <c r="E25" s="81" t="str">
        <f>ENTRY!C19</f>
        <v/>
      </c>
      <c r="F25" s="82" t="str">
        <f>ENTRY!D19</f>
        <v/>
      </c>
      <c r="G25" s="83" t="str">
        <f>ENTRY!E19</f>
        <v/>
      </c>
      <c r="H25" s="84">
        <f>G25*ENTRY!$O19</f>
        <v>0</v>
      </c>
      <c r="I25" s="84">
        <f>G25*ENTRY!$P19</f>
        <v>0</v>
      </c>
      <c r="J25" s="84">
        <f>G25*ENTRY!$Q19</f>
        <v>0</v>
      </c>
      <c r="K25" s="82">
        <f t="shared" si="2"/>
        <v>0</v>
      </c>
      <c r="L25" s="82" t="str">
        <f>ENTRY!F19</f>
        <v/>
      </c>
      <c r="M25" s="81" t="str">
        <f>ENTRY!G19</f>
        <v/>
      </c>
      <c r="N25" s="85" t="str">
        <f t="shared" si="3"/>
        <v/>
      </c>
      <c r="O25" s="86">
        <f t="shared" si="4"/>
        <v>0</v>
      </c>
      <c r="P25" s="86">
        <f t="shared" si="5"/>
        <v>0</v>
      </c>
      <c r="Q25" s="86">
        <f t="shared" si="6"/>
        <v>0</v>
      </c>
      <c r="R25" s="86">
        <f t="shared" si="7"/>
        <v>0</v>
      </c>
      <c r="S25" s="87" t="str">
        <f t="shared" ref="S25:V25" si="25">IFERROR(O25-Y25,"")
</f>
        <v/>
      </c>
      <c r="T25" s="87">
        <f t="shared" si="25"/>
        <v>0</v>
      </c>
      <c r="U25" s="87">
        <f t="shared" si="25"/>
        <v>0</v>
      </c>
      <c r="V25" s="87">
        <f t="shared" si="25"/>
        <v>0</v>
      </c>
      <c r="W25" s="88" t="str">
        <f t="shared" si="9"/>
        <v/>
      </c>
      <c r="X25" s="89">
        <f>IFERROR(S25/D25,"")</f>
        <v>0</v>
      </c>
      <c r="Y25" s="90" t="str">
        <f t="shared" si="10"/>
        <v>ERR</v>
      </c>
      <c r="Z25" s="90">
        <f>IF(H25=0,0,CAPITAL!$H$5*Y25)
</f>
        <v>0</v>
      </c>
      <c r="AA25" s="90">
        <f>IF(I25=0,0,CAPITAL!$H$6*Y25)
</f>
        <v>0</v>
      </c>
      <c r="AB25" s="90">
        <f>IF(J25=0,0,CAPITAL!$H$7*Y25)
</f>
        <v>0</v>
      </c>
      <c r="AC25" s="90"/>
    </row>
    <row r="26">
      <c r="A26" s="77" t="s">
        <v>75</v>
      </c>
      <c r="B26" s="101">
        <v>17.0</v>
      </c>
      <c r="C26" s="18" t="str">
        <f>ENTRY!B20</f>
        <v>SILVERBEES</v>
      </c>
      <c r="D26" s="93">
        <f>CAPITAL!$C$2</f>
        <v>3350000</v>
      </c>
      <c r="E26" s="94" t="str">
        <f>ENTRY!C20</f>
        <v/>
      </c>
      <c r="F26" s="95" t="str">
        <f>ENTRY!D20</f>
        <v/>
      </c>
      <c r="G26" s="96" t="str">
        <f>ENTRY!E20</f>
        <v/>
      </c>
      <c r="H26" s="97">
        <f>G26*ENTRY!$O20</f>
        <v>0</v>
      </c>
      <c r="I26" s="97">
        <f>G26*ENTRY!$P20</f>
        <v>0</v>
      </c>
      <c r="J26" s="97">
        <f>G26*ENTRY!$Q20</f>
        <v>0</v>
      </c>
      <c r="K26" s="95">
        <f t="shared" si="2"/>
        <v>0</v>
      </c>
      <c r="L26" s="95" t="str">
        <f>ENTRY!F20</f>
        <v/>
      </c>
      <c r="M26" s="94" t="str">
        <f>ENTRY!G20</f>
        <v/>
      </c>
      <c r="N26" s="98" t="str">
        <f t="shared" si="3"/>
        <v/>
      </c>
      <c r="O26" s="99">
        <f t="shared" si="4"/>
        <v>0</v>
      </c>
      <c r="P26" s="99">
        <f t="shared" si="5"/>
        <v>0</v>
      </c>
      <c r="Q26" s="99">
        <f t="shared" si="6"/>
        <v>0</v>
      </c>
      <c r="R26" s="99">
        <f t="shared" si="7"/>
        <v>0</v>
      </c>
      <c r="S26" s="100" t="str">
        <f t="shared" ref="S26:V26" si="26">IFERROR(O26-Y26,"")
</f>
        <v/>
      </c>
      <c r="T26" s="100">
        <f t="shared" si="26"/>
        <v>0</v>
      </c>
      <c r="U26" s="100">
        <f t="shared" si="26"/>
        <v>0</v>
      </c>
      <c r="V26" s="100">
        <f t="shared" si="26"/>
        <v>0</v>
      </c>
      <c r="W26" s="88" t="str">
        <f t="shared" si="9"/>
        <v/>
      </c>
      <c r="X26" s="89">
        <f>S26/D26</f>
        <v>0</v>
      </c>
      <c r="Y26" s="90" t="str">
        <f t="shared" si="10"/>
        <v>ERR</v>
      </c>
      <c r="Z26" s="90">
        <f>IF(H26=0,0,CAPITAL!$H$5*Y26)
</f>
        <v>0</v>
      </c>
      <c r="AA26" s="90">
        <f>IF(I26=0,0,CAPITAL!$H$6*Y26)
</f>
        <v>0</v>
      </c>
      <c r="AB26" s="90">
        <f>IF(J26=0,0,CAPITAL!$H$7*Y26)
</f>
        <v>0</v>
      </c>
      <c r="AC26" s="90"/>
    </row>
    <row r="27">
      <c r="A27" s="77" t="s">
        <v>76</v>
      </c>
      <c r="B27" s="101">
        <v>19.0</v>
      </c>
      <c r="C27" s="79" t="str">
        <f>ENTRY!B21</f>
        <v>SILVERBEES</v>
      </c>
      <c r="D27" s="80">
        <f>CAPITAL!$C$2</f>
        <v>3350000</v>
      </c>
      <c r="E27" s="81" t="str">
        <f>ENTRY!C21</f>
        <v/>
      </c>
      <c r="F27" s="82" t="str">
        <f>ENTRY!D21</f>
        <v/>
      </c>
      <c r="G27" s="83" t="str">
        <f>ENTRY!E21</f>
        <v/>
      </c>
      <c r="H27" s="84">
        <f>G27*ENTRY!$O21</f>
        <v>0</v>
      </c>
      <c r="I27" s="84">
        <f>G27*ENTRY!$P21</f>
        <v>0</v>
      </c>
      <c r="J27" s="84">
        <f>G27*ENTRY!$Q21</f>
        <v>0</v>
      </c>
      <c r="K27" s="82">
        <f t="shared" si="2"/>
        <v>0</v>
      </c>
      <c r="L27" s="82" t="str">
        <f>ENTRY!F21</f>
        <v/>
      </c>
      <c r="M27" s="81" t="str">
        <f>ENTRY!G21</f>
        <v/>
      </c>
      <c r="N27" s="85" t="str">
        <f t="shared" si="3"/>
        <v/>
      </c>
      <c r="O27" s="86">
        <f t="shared" si="4"/>
        <v>0</v>
      </c>
      <c r="P27" s="86">
        <f t="shared" si="5"/>
        <v>0</v>
      </c>
      <c r="Q27" s="86">
        <f t="shared" si="6"/>
        <v>0</v>
      </c>
      <c r="R27" s="86">
        <f t="shared" si="7"/>
        <v>0</v>
      </c>
      <c r="S27" s="87" t="str">
        <f t="shared" ref="S27:V27" si="27">IFERROR(O27-Y27,"")
</f>
        <v/>
      </c>
      <c r="T27" s="87">
        <f t="shared" si="27"/>
        <v>0</v>
      </c>
      <c r="U27" s="87">
        <f t="shared" si="27"/>
        <v>0</v>
      </c>
      <c r="V27" s="87">
        <f t="shared" si="27"/>
        <v>0</v>
      </c>
      <c r="W27" s="88" t="str">
        <f t="shared" si="9"/>
        <v/>
      </c>
      <c r="X27" s="89">
        <f>IFERROR(S27/D27,"")</f>
        <v>0</v>
      </c>
      <c r="Y27" s="90" t="str">
        <f t="shared" si="10"/>
        <v>ERR</v>
      </c>
      <c r="Z27" s="90">
        <f>IF(H27=0,0,CAPITAL!$H$5*Y27)
</f>
        <v>0</v>
      </c>
      <c r="AA27" s="90">
        <f>IF(I27=0,0,CAPITAL!$H$6*Y27)
</f>
        <v>0</v>
      </c>
      <c r="AB27" s="90">
        <f>IF(J27=0,0,CAPITAL!$H$7*Y27)
</f>
        <v>0</v>
      </c>
      <c r="AC27" s="90"/>
    </row>
    <row r="28">
      <c r="A28" s="77" t="s">
        <v>77</v>
      </c>
      <c r="B28" s="102">
        <v>20.0</v>
      </c>
      <c r="C28" s="18" t="str">
        <f>ENTRY!B22</f>
        <v>SILVERBEES</v>
      </c>
      <c r="D28" s="93">
        <f>CAPITAL!$C$2</f>
        <v>3350000</v>
      </c>
      <c r="E28" s="94" t="str">
        <f>ENTRY!C22</f>
        <v/>
      </c>
      <c r="F28" s="95" t="str">
        <f>ENTRY!D22</f>
        <v/>
      </c>
      <c r="G28" s="96" t="str">
        <f>ENTRY!E22</f>
        <v/>
      </c>
      <c r="H28" s="97">
        <f>G28*ENTRY!$O22</f>
        <v>0</v>
      </c>
      <c r="I28" s="97">
        <f>G28*ENTRY!$P22</f>
        <v>0</v>
      </c>
      <c r="J28" s="97">
        <f>G28*ENTRY!$Q22</f>
        <v>0</v>
      </c>
      <c r="K28" s="95">
        <f t="shared" si="2"/>
        <v>0</v>
      </c>
      <c r="L28" s="95" t="str">
        <f>ENTRY!F22</f>
        <v/>
      </c>
      <c r="M28" s="94" t="str">
        <f>ENTRY!G22</f>
        <v/>
      </c>
      <c r="N28" s="98" t="str">
        <f t="shared" si="3"/>
        <v/>
      </c>
      <c r="O28" s="99">
        <f t="shared" si="4"/>
        <v>0</v>
      </c>
      <c r="P28" s="99">
        <f t="shared" si="5"/>
        <v>0</v>
      </c>
      <c r="Q28" s="99">
        <f t="shared" si="6"/>
        <v>0</v>
      </c>
      <c r="R28" s="99">
        <f t="shared" si="7"/>
        <v>0</v>
      </c>
      <c r="S28" s="100" t="str">
        <f t="shared" ref="S28:V28" si="28">IFERROR(O28-Y28,"")
</f>
        <v/>
      </c>
      <c r="T28" s="100">
        <f t="shared" si="28"/>
        <v>0</v>
      </c>
      <c r="U28" s="100">
        <f t="shared" si="28"/>
        <v>0</v>
      </c>
      <c r="V28" s="100">
        <f t="shared" si="28"/>
        <v>0</v>
      </c>
      <c r="W28" s="88" t="str">
        <f t="shared" si="9"/>
        <v/>
      </c>
      <c r="X28" s="89">
        <f>S28/D28</f>
        <v>0</v>
      </c>
      <c r="Y28" s="90" t="str">
        <f t="shared" si="10"/>
        <v>ERR</v>
      </c>
      <c r="Z28" s="90">
        <f>IF(H28=0,0,CAPITAL!$H$5*Y28)
</f>
        <v>0</v>
      </c>
      <c r="AA28" s="90">
        <f>IF(I28=0,0,CAPITAL!$H$6*Y28)
</f>
        <v>0</v>
      </c>
      <c r="AB28" s="90">
        <f>IF(J28=0,0,CAPITAL!$H$7*Y28)
</f>
        <v>0</v>
      </c>
      <c r="AC28" s="90"/>
    </row>
    <row r="29">
      <c r="A29" s="77" t="s">
        <v>78</v>
      </c>
      <c r="B29" s="101">
        <v>21.0</v>
      </c>
      <c r="C29" s="79" t="str">
        <f>ENTRY!B23</f>
        <v>SILVERBEES</v>
      </c>
      <c r="D29" s="80">
        <f>CAPITAL!$C$2</f>
        <v>3350000</v>
      </c>
      <c r="E29" s="81" t="str">
        <f>ENTRY!C23</f>
        <v/>
      </c>
      <c r="F29" s="82" t="str">
        <f>ENTRY!D23</f>
        <v/>
      </c>
      <c r="G29" s="83" t="str">
        <f>ENTRY!E23</f>
        <v/>
      </c>
      <c r="H29" s="84">
        <f>G29*ENTRY!$O23</f>
        <v>0</v>
      </c>
      <c r="I29" s="84">
        <f>G29*ENTRY!$P23</f>
        <v>0</v>
      </c>
      <c r="J29" s="84">
        <f>G29*ENTRY!$Q23</f>
        <v>0</v>
      </c>
      <c r="K29" s="82">
        <f t="shared" si="2"/>
        <v>0</v>
      </c>
      <c r="L29" s="82" t="str">
        <f>ENTRY!F23</f>
        <v/>
      </c>
      <c r="M29" s="81" t="str">
        <f>ENTRY!G23</f>
        <v/>
      </c>
      <c r="N29" s="85" t="str">
        <f t="shared" si="3"/>
        <v/>
      </c>
      <c r="O29" s="86">
        <f t="shared" si="4"/>
        <v>0</v>
      </c>
      <c r="P29" s="86">
        <f t="shared" si="5"/>
        <v>0</v>
      </c>
      <c r="Q29" s="86">
        <f t="shared" si="6"/>
        <v>0</v>
      </c>
      <c r="R29" s="86">
        <f t="shared" si="7"/>
        <v>0</v>
      </c>
      <c r="S29" s="87" t="str">
        <f t="shared" ref="S29:V29" si="29">IFERROR(O29-Y29,"")
</f>
        <v/>
      </c>
      <c r="T29" s="87">
        <f t="shared" si="29"/>
        <v>0</v>
      </c>
      <c r="U29" s="87">
        <f t="shared" si="29"/>
        <v>0</v>
      </c>
      <c r="V29" s="87">
        <f t="shared" si="29"/>
        <v>0</v>
      </c>
      <c r="W29" s="88" t="str">
        <f t="shared" si="9"/>
        <v/>
      </c>
      <c r="X29" s="89">
        <f>IFERROR(S29/D29,"")</f>
        <v>0</v>
      </c>
      <c r="Y29" s="90" t="str">
        <f t="shared" si="10"/>
        <v>ERR</v>
      </c>
      <c r="Z29" s="90">
        <f>IF(H29=0,0,CAPITAL!$H$5*Y29)
</f>
        <v>0</v>
      </c>
      <c r="AA29" s="90">
        <f>IF(I29=0,0,CAPITAL!$H$6*Y29)
</f>
        <v>0</v>
      </c>
      <c r="AB29" s="90">
        <f>IF(J29=0,0,CAPITAL!$H$7*Y29)
</f>
        <v>0</v>
      </c>
      <c r="AC29" s="90"/>
    </row>
    <row r="30">
      <c r="A30" s="77" t="s">
        <v>79</v>
      </c>
      <c r="B30" s="101">
        <v>22.0</v>
      </c>
      <c r="C30" s="18" t="str">
        <f>ENTRY!B24</f>
        <v>SILVERBEES</v>
      </c>
      <c r="D30" s="93">
        <f>CAPITAL!$C$2</f>
        <v>3350000</v>
      </c>
      <c r="E30" s="94" t="str">
        <f>ENTRY!C24</f>
        <v/>
      </c>
      <c r="F30" s="95" t="str">
        <f>ENTRY!D24</f>
        <v/>
      </c>
      <c r="G30" s="96" t="str">
        <f>ENTRY!E24</f>
        <v/>
      </c>
      <c r="H30" s="97">
        <f>G30*ENTRY!$O24</f>
        <v>0</v>
      </c>
      <c r="I30" s="97">
        <f>G30*ENTRY!$P24</f>
        <v>0</v>
      </c>
      <c r="J30" s="97">
        <f>G30*ENTRY!$Q24</f>
        <v>0</v>
      </c>
      <c r="K30" s="95">
        <f t="shared" si="2"/>
        <v>0</v>
      </c>
      <c r="L30" s="95" t="str">
        <f>ENTRY!F24</f>
        <v/>
      </c>
      <c r="M30" s="94" t="str">
        <f>ENTRY!G24</f>
        <v/>
      </c>
      <c r="N30" s="98" t="str">
        <f t="shared" si="3"/>
        <v/>
      </c>
      <c r="O30" s="99">
        <f t="shared" si="4"/>
        <v>0</v>
      </c>
      <c r="P30" s="99">
        <f t="shared" si="5"/>
        <v>0</v>
      </c>
      <c r="Q30" s="99">
        <f t="shared" si="6"/>
        <v>0</v>
      </c>
      <c r="R30" s="99">
        <f t="shared" si="7"/>
        <v>0</v>
      </c>
      <c r="S30" s="100" t="str">
        <f t="shared" ref="S30:V30" si="30">IFERROR(O30-Y30,"")
</f>
        <v/>
      </c>
      <c r="T30" s="100">
        <f t="shared" si="30"/>
        <v>0</v>
      </c>
      <c r="U30" s="100">
        <f t="shared" si="30"/>
        <v>0</v>
      </c>
      <c r="V30" s="100">
        <f t="shared" si="30"/>
        <v>0</v>
      </c>
      <c r="W30" s="88" t="str">
        <f t="shared" si="9"/>
        <v/>
      </c>
      <c r="X30" s="89">
        <f>S30/D30</f>
        <v>0</v>
      </c>
      <c r="Y30" s="90" t="str">
        <f t="shared" si="10"/>
        <v>ERR</v>
      </c>
      <c r="Z30" s="90">
        <f>IF(H30=0,0,CAPITAL!$H$5*Y30)
</f>
        <v>0</v>
      </c>
      <c r="AA30" s="90">
        <f>IF(I30=0,0,CAPITAL!$H$6*Y30)
</f>
        <v>0</v>
      </c>
      <c r="AB30" s="90">
        <f>IF(J30=0,0,CAPITAL!$H$7*Y30)
</f>
        <v>0</v>
      </c>
      <c r="AC30" s="90"/>
    </row>
    <row r="31">
      <c r="A31" s="77" t="s">
        <v>80</v>
      </c>
      <c r="B31" s="101">
        <v>23.0</v>
      </c>
      <c r="C31" s="79" t="str">
        <f>ENTRY!B25</f>
        <v>SILVERBEES</v>
      </c>
      <c r="D31" s="80">
        <f>CAPITAL!$C$2</f>
        <v>3350000</v>
      </c>
      <c r="E31" s="81" t="str">
        <f>ENTRY!C25</f>
        <v/>
      </c>
      <c r="F31" s="82" t="str">
        <f>ENTRY!D25</f>
        <v/>
      </c>
      <c r="G31" s="83" t="str">
        <f>ENTRY!E25</f>
        <v/>
      </c>
      <c r="H31" s="84">
        <f>G31*ENTRY!$O25</f>
        <v>0</v>
      </c>
      <c r="I31" s="84">
        <f>G31*ENTRY!$P25</f>
        <v>0</v>
      </c>
      <c r="J31" s="84">
        <f>G31*ENTRY!$Q25</f>
        <v>0</v>
      </c>
      <c r="K31" s="82">
        <f t="shared" si="2"/>
        <v>0</v>
      </c>
      <c r="L31" s="82" t="str">
        <f>ENTRY!F25</f>
        <v/>
      </c>
      <c r="M31" s="81" t="str">
        <f>ENTRY!G25</f>
        <v/>
      </c>
      <c r="N31" s="85" t="str">
        <f t="shared" si="3"/>
        <v/>
      </c>
      <c r="O31" s="86">
        <f t="shared" si="4"/>
        <v>0</v>
      </c>
      <c r="P31" s="86">
        <f t="shared" si="5"/>
        <v>0</v>
      </c>
      <c r="Q31" s="86">
        <f t="shared" si="6"/>
        <v>0</v>
      </c>
      <c r="R31" s="86">
        <f t="shared" si="7"/>
        <v>0</v>
      </c>
      <c r="S31" s="87" t="str">
        <f t="shared" ref="S31:V31" si="31">IFERROR(O31-Y31,"")
</f>
        <v/>
      </c>
      <c r="T31" s="87">
        <f t="shared" si="31"/>
        <v>0</v>
      </c>
      <c r="U31" s="87">
        <f t="shared" si="31"/>
        <v>0</v>
      </c>
      <c r="V31" s="87">
        <f t="shared" si="31"/>
        <v>0</v>
      </c>
      <c r="W31" s="88" t="str">
        <f t="shared" si="9"/>
        <v/>
      </c>
      <c r="X31" s="89">
        <f>IFERROR(S31/D31,"")</f>
        <v>0</v>
      </c>
      <c r="Y31" s="90" t="str">
        <f t="shared" si="10"/>
        <v>ERR</v>
      </c>
      <c r="Z31" s="90">
        <f>IF(H31=0,0,CAPITAL!$H$5*Y31)
</f>
        <v>0</v>
      </c>
      <c r="AA31" s="90">
        <f>IF(I31=0,0,CAPITAL!$H$6*Y31)
</f>
        <v>0</v>
      </c>
      <c r="AB31" s="90">
        <f>IF(J31=0,0,CAPITAL!$H$7*Y31)
</f>
        <v>0</v>
      </c>
      <c r="AC31" s="90"/>
    </row>
    <row r="32">
      <c r="A32" s="77" t="s">
        <v>81</v>
      </c>
      <c r="B32" s="101">
        <v>24.0</v>
      </c>
      <c r="C32" s="18" t="str">
        <f>ENTRY!B26</f>
        <v>SILVERBEES</v>
      </c>
      <c r="D32" s="93">
        <f>CAPITAL!$C$2</f>
        <v>3350000</v>
      </c>
      <c r="E32" s="94" t="str">
        <f>ENTRY!C26</f>
        <v/>
      </c>
      <c r="F32" s="95" t="str">
        <f>ENTRY!D26</f>
        <v/>
      </c>
      <c r="G32" s="96" t="str">
        <f>ENTRY!E26</f>
        <v/>
      </c>
      <c r="H32" s="97">
        <f>G32*ENTRY!$O26</f>
        <v>0</v>
      </c>
      <c r="I32" s="97">
        <f>G32*ENTRY!$P26</f>
        <v>0</v>
      </c>
      <c r="J32" s="97">
        <f>G32*ENTRY!$Q26</f>
        <v>0</v>
      </c>
      <c r="K32" s="95">
        <f t="shared" si="2"/>
        <v>0</v>
      </c>
      <c r="L32" s="95" t="str">
        <f>ENTRY!F26</f>
        <v/>
      </c>
      <c r="M32" s="94" t="str">
        <f>ENTRY!G26</f>
        <v/>
      </c>
      <c r="N32" s="98" t="str">
        <f t="shared" si="3"/>
        <v/>
      </c>
      <c r="O32" s="99">
        <f t="shared" si="4"/>
        <v>0</v>
      </c>
      <c r="P32" s="99">
        <f t="shared" si="5"/>
        <v>0</v>
      </c>
      <c r="Q32" s="99">
        <f t="shared" si="6"/>
        <v>0</v>
      </c>
      <c r="R32" s="99">
        <f t="shared" si="7"/>
        <v>0</v>
      </c>
      <c r="S32" s="100" t="str">
        <f t="shared" ref="S32:V32" si="32">IFERROR(O32-Y32,"")
</f>
        <v/>
      </c>
      <c r="T32" s="100">
        <f t="shared" si="32"/>
        <v>0</v>
      </c>
      <c r="U32" s="100">
        <f t="shared" si="32"/>
        <v>0</v>
      </c>
      <c r="V32" s="100">
        <f t="shared" si="32"/>
        <v>0</v>
      </c>
      <c r="W32" s="88" t="str">
        <f t="shared" si="9"/>
        <v/>
      </c>
      <c r="X32" s="89">
        <f>S32/D32</f>
        <v>0</v>
      </c>
      <c r="Y32" s="90" t="str">
        <f t="shared" si="10"/>
        <v>ERR</v>
      </c>
      <c r="Z32" s="90">
        <f>IF(H32=0,0,CAPITAL!$H$5*Y32)
</f>
        <v>0</v>
      </c>
      <c r="AA32" s="90">
        <f>IF(I32=0,0,CAPITAL!$H$6*Y32)
</f>
        <v>0</v>
      </c>
      <c r="AB32" s="90">
        <f>IF(J32=0,0,CAPITAL!$H$7*Y32)
</f>
        <v>0</v>
      </c>
      <c r="AC32" s="90"/>
    </row>
    <row r="33">
      <c r="A33" s="77" t="s">
        <v>82</v>
      </c>
      <c r="B33" s="101">
        <v>25.0</v>
      </c>
      <c r="C33" s="79" t="str">
        <f>ENTRY!B27</f>
        <v>SILVERBEES</v>
      </c>
      <c r="D33" s="80">
        <f>CAPITAL!$C$2</f>
        <v>3350000</v>
      </c>
      <c r="E33" s="81" t="str">
        <f>ENTRY!C27</f>
        <v/>
      </c>
      <c r="F33" s="82" t="str">
        <f>ENTRY!D27</f>
        <v/>
      </c>
      <c r="G33" s="83" t="str">
        <f>ENTRY!E27</f>
        <v/>
      </c>
      <c r="H33" s="84">
        <f>G33*ENTRY!$O27</f>
        <v>0</v>
      </c>
      <c r="I33" s="84">
        <f>G33*ENTRY!$P27</f>
        <v>0</v>
      </c>
      <c r="J33" s="84">
        <f>G33*ENTRY!$Q27</f>
        <v>0</v>
      </c>
      <c r="K33" s="82">
        <f t="shared" si="2"/>
        <v>0</v>
      </c>
      <c r="L33" s="82" t="str">
        <f>ENTRY!F27</f>
        <v/>
      </c>
      <c r="M33" s="81" t="str">
        <f>ENTRY!G27</f>
        <v/>
      </c>
      <c r="N33" s="85" t="str">
        <f t="shared" si="3"/>
        <v/>
      </c>
      <c r="O33" s="86">
        <f t="shared" si="4"/>
        <v>0</v>
      </c>
      <c r="P33" s="86">
        <f t="shared" si="5"/>
        <v>0</v>
      </c>
      <c r="Q33" s="86">
        <f t="shared" si="6"/>
        <v>0</v>
      </c>
      <c r="R33" s="86">
        <f t="shared" si="7"/>
        <v>0</v>
      </c>
      <c r="S33" s="87" t="str">
        <f t="shared" ref="S33:V33" si="33">IFERROR(O33-Y33,"")
</f>
        <v/>
      </c>
      <c r="T33" s="87">
        <f t="shared" si="33"/>
        <v>0</v>
      </c>
      <c r="U33" s="87">
        <f t="shared" si="33"/>
        <v>0</v>
      </c>
      <c r="V33" s="87">
        <f t="shared" si="33"/>
        <v>0</v>
      </c>
      <c r="W33" s="88" t="str">
        <f t="shared" si="9"/>
        <v/>
      </c>
      <c r="X33" s="89">
        <f>IFERROR(S33/D33,"")</f>
        <v>0</v>
      </c>
      <c r="Y33" s="90" t="str">
        <f t="shared" si="10"/>
        <v>ERR</v>
      </c>
      <c r="Z33" s="90">
        <f>IF(H33=0,0,CAPITAL!$H$5*Y33)
</f>
        <v>0</v>
      </c>
      <c r="AA33" s="90">
        <f>IF(I33=0,0,CAPITAL!$H$6*Y33)
</f>
        <v>0</v>
      </c>
      <c r="AB33" s="90">
        <f>IF(J33=0,0,CAPITAL!$H$7*Y33)
</f>
        <v>0</v>
      </c>
      <c r="AC33" s="90"/>
    </row>
    <row r="34">
      <c r="A34" s="77" t="s">
        <v>83</v>
      </c>
      <c r="B34" s="101">
        <v>26.0</v>
      </c>
      <c r="C34" s="18" t="str">
        <f>ENTRY!B28</f>
        <v>SILVERBEES</v>
      </c>
      <c r="D34" s="93">
        <f>CAPITAL!$C$2</f>
        <v>3350000</v>
      </c>
      <c r="E34" s="94" t="str">
        <f>ENTRY!C28</f>
        <v/>
      </c>
      <c r="F34" s="95" t="str">
        <f>ENTRY!D28</f>
        <v/>
      </c>
      <c r="G34" s="96" t="str">
        <f>ENTRY!E28</f>
        <v/>
      </c>
      <c r="H34" s="97">
        <f>G34*ENTRY!$O28</f>
        <v>0</v>
      </c>
      <c r="I34" s="97">
        <f>G34*ENTRY!$P28</f>
        <v>0</v>
      </c>
      <c r="J34" s="97">
        <f>G34*ENTRY!$Q28</f>
        <v>0</v>
      </c>
      <c r="K34" s="95">
        <f t="shared" si="2"/>
        <v>0</v>
      </c>
      <c r="L34" s="95" t="str">
        <f>ENTRY!F28</f>
        <v/>
      </c>
      <c r="M34" s="94" t="str">
        <f>ENTRY!G28</f>
        <v/>
      </c>
      <c r="N34" s="98" t="str">
        <f t="shared" si="3"/>
        <v/>
      </c>
      <c r="O34" s="99">
        <f t="shared" si="4"/>
        <v>0</v>
      </c>
      <c r="P34" s="99">
        <f t="shared" si="5"/>
        <v>0</v>
      </c>
      <c r="Q34" s="99">
        <f t="shared" si="6"/>
        <v>0</v>
      </c>
      <c r="R34" s="99">
        <f t="shared" si="7"/>
        <v>0</v>
      </c>
      <c r="S34" s="100" t="str">
        <f t="shared" ref="S34:V34" si="34">IFERROR(O34-Y34,"")
</f>
        <v/>
      </c>
      <c r="T34" s="100">
        <f t="shared" si="34"/>
        <v>0</v>
      </c>
      <c r="U34" s="100">
        <f t="shared" si="34"/>
        <v>0</v>
      </c>
      <c r="V34" s="100">
        <f t="shared" si="34"/>
        <v>0</v>
      </c>
      <c r="W34" s="88" t="str">
        <f t="shared" si="9"/>
        <v/>
      </c>
      <c r="X34" s="89">
        <f>S34/D34</f>
        <v>0</v>
      </c>
      <c r="Y34" s="90" t="str">
        <f t="shared" si="10"/>
        <v>ERR</v>
      </c>
      <c r="Z34" s="90">
        <f>IF(H34=0,0,CAPITAL!$H$5*Y34)
</f>
        <v>0</v>
      </c>
      <c r="AA34" s="90">
        <f>IF(I34=0,0,CAPITAL!$H$6*Y34)
</f>
        <v>0</v>
      </c>
      <c r="AB34" s="90">
        <f>IF(J34=0,0,CAPITAL!$H$7*Y34)
</f>
        <v>0</v>
      </c>
      <c r="AC34" s="90"/>
    </row>
    <row r="35">
      <c r="A35" s="77" t="s">
        <v>84</v>
      </c>
      <c r="B35" s="101">
        <v>27.0</v>
      </c>
      <c r="C35" s="79" t="str">
        <f>ENTRY!B29</f>
        <v>SILVERBEES</v>
      </c>
      <c r="D35" s="80">
        <f>CAPITAL!$C$2</f>
        <v>3350000</v>
      </c>
      <c r="E35" s="81" t="str">
        <f>ENTRY!C29</f>
        <v/>
      </c>
      <c r="F35" s="82" t="str">
        <f>ENTRY!D29</f>
        <v/>
      </c>
      <c r="G35" s="83" t="str">
        <f>ENTRY!E29</f>
        <v/>
      </c>
      <c r="H35" s="84">
        <f>G35*ENTRY!$O29</f>
        <v>0</v>
      </c>
      <c r="I35" s="84">
        <f>G35*ENTRY!$P29</f>
        <v>0</v>
      </c>
      <c r="J35" s="84">
        <f>G35*ENTRY!$Q29</f>
        <v>0</v>
      </c>
      <c r="K35" s="82">
        <f t="shared" si="2"/>
        <v>0</v>
      </c>
      <c r="L35" s="82" t="str">
        <f>ENTRY!F29</f>
        <v/>
      </c>
      <c r="M35" s="81" t="str">
        <f>ENTRY!G29</f>
        <v/>
      </c>
      <c r="N35" s="85" t="str">
        <f t="shared" si="3"/>
        <v/>
      </c>
      <c r="O35" s="86">
        <f t="shared" si="4"/>
        <v>0</v>
      </c>
      <c r="P35" s="86">
        <f t="shared" si="5"/>
        <v>0</v>
      </c>
      <c r="Q35" s="86">
        <f t="shared" si="6"/>
        <v>0</v>
      </c>
      <c r="R35" s="86">
        <f t="shared" si="7"/>
        <v>0</v>
      </c>
      <c r="S35" s="87" t="str">
        <f t="shared" ref="S35:V35" si="35">IFERROR(O35-Y35,"")
</f>
        <v/>
      </c>
      <c r="T35" s="87">
        <f t="shared" si="35"/>
        <v>0</v>
      </c>
      <c r="U35" s="87">
        <f t="shared" si="35"/>
        <v>0</v>
      </c>
      <c r="V35" s="87">
        <f t="shared" si="35"/>
        <v>0</v>
      </c>
      <c r="W35" s="88" t="str">
        <f t="shared" si="9"/>
        <v/>
      </c>
      <c r="X35" s="89">
        <f>IFERROR(S35/D35,"")</f>
        <v>0</v>
      </c>
      <c r="Y35" s="90" t="str">
        <f t="shared" si="10"/>
        <v>ERR</v>
      </c>
      <c r="Z35" s="90">
        <f>IF(H35=0,0,CAPITAL!$H$5*Y35)
</f>
        <v>0</v>
      </c>
      <c r="AA35" s="90">
        <f>IF(I35=0,0,CAPITAL!$H$6*Y35)
</f>
        <v>0</v>
      </c>
      <c r="AB35" s="90">
        <f>IF(J35=0,0,CAPITAL!$H$7*Y35)
</f>
        <v>0</v>
      </c>
      <c r="AC35" s="90"/>
    </row>
    <row r="36">
      <c r="A36" s="77" t="s">
        <v>85</v>
      </c>
      <c r="B36" s="101">
        <v>28.0</v>
      </c>
      <c r="C36" s="18" t="str">
        <f>ENTRY!B30</f>
        <v>SILVERBEES</v>
      </c>
      <c r="D36" s="93">
        <f>CAPITAL!$C$2</f>
        <v>3350000</v>
      </c>
      <c r="E36" s="94" t="str">
        <f>ENTRY!C30</f>
        <v/>
      </c>
      <c r="F36" s="95" t="str">
        <f>ENTRY!D30</f>
        <v/>
      </c>
      <c r="G36" s="96" t="str">
        <f>ENTRY!E30</f>
        <v/>
      </c>
      <c r="H36" s="97">
        <f>G36*ENTRY!$O30</f>
        <v>0</v>
      </c>
      <c r="I36" s="97">
        <f>G36*ENTRY!$P30</f>
        <v>0</v>
      </c>
      <c r="J36" s="97">
        <f>G36*ENTRY!$Q30</f>
        <v>0</v>
      </c>
      <c r="K36" s="95">
        <f t="shared" si="2"/>
        <v>0</v>
      </c>
      <c r="L36" s="95" t="str">
        <f>ENTRY!F30</f>
        <v/>
      </c>
      <c r="M36" s="94" t="str">
        <f>ENTRY!G30</f>
        <v/>
      </c>
      <c r="N36" s="98" t="str">
        <f t="shared" si="3"/>
        <v/>
      </c>
      <c r="O36" s="99">
        <f t="shared" si="4"/>
        <v>0</v>
      </c>
      <c r="P36" s="99">
        <f t="shared" si="5"/>
        <v>0</v>
      </c>
      <c r="Q36" s="99">
        <f t="shared" si="6"/>
        <v>0</v>
      </c>
      <c r="R36" s="99">
        <f t="shared" si="7"/>
        <v>0</v>
      </c>
      <c r="S36" s="100" t="str">
        <f t="shared" ref="S36:V36" si="36">IFERROR(O36-Y36,"")
</f>
        <v/>
      </c>
      <c r="T36" s="100">
        <f t="shared" si="36"/>
        <v>0</v>
      </c>
      <c r="U36" s="100">
        <f t="shared" si="36"/>
        <v>0</v>
      </c>
      <c r="V36" s="100">
        <f t="shared" si="36"/>
        <v>0</v>
      </c>
      <c r="W36" s="88" t="str">
        <f t="shared" si="9"/>
        <v/>
      </c>
      <c r="X36" s="89">
        <f>S36/D36</f>
        <v>0</v>
      </c>
      <c r="Y36" s="90" t="str">
        <f t="shared" si="10"/>
        <v>ERR</v>
      </c>
      <c r="Z36" s="90">
        <f>IF(H36=0,0,CAPITAL!$H$5*Y36)
</f>
        <v>0</v>
      </c>
      <c r="AA36" s="90">
        <f>IF(I36=0,0,CAPITAL!$H$6*Y36)
</f>
        <v>0</v>
      </c>
      <c r="AB36" s="90">
        <f>IF(J36=0,0,CAPITAL!$H$7*Y36)
</f>
        <v>0</v>
      </c>
      <c r="AC36" s="90"/>
    </row>
    <row r="37">
      <c r="A37" s="77" t="s">
        <v>86</v>
      </c>
      <c r="B37" s="101">
        <v>29.0</v>
      </c>
      <c r="C37" s="79" t="str">
        <f>ENTRY!B31</f>
        <v>SILVERBEES</v>
      </c>
      <c r="D37" s="80">
        <f>CAPITAL!$C$2</f>
        <v>3350000</v>
      </c>
      <c r="E37" s="81" t="str">
        <f>ENTRY!C31</f>
        <v/>
      </c>
      <c r="F37" s="82" t="str">
        <f>ENTRY!D31</f>
        <v/>
      </c>
      <c r="G37" s="83" t="str">
        <f>ENTRY!E31</f>
        <v/>
      </c>
      <c r="H37" s="84">
        <f>G37*ENTRY!$O31</f>
        <v>0</v>
      </c>
      <c r="I37" s="84">
        <f>G37*ENTRY!$P31</f>
        <v>0</v>
      </c>
      <c r="J37" s="84">
        <f>G37*ENTRY!$Q31</f>
        <v>0</v>
      </c>
      <c r="K37" s="82">
        <f t="shared" si="2"/>
        <v>0</v>
      </c>
      <c r="L37" s="82" t="str">
        <f>ENTRY!F31</f>
        <v/>
      </c>
      <c r="M37" s="81" t="str">
        <f>ENTRY!G31</f>
        <v/>
      </c>
      <c r="N37" s="85" t="str">
        <f t="shared" si="3"/>
        <v/>
      </c>
      <c r="O37" s="86">
        <f t="shared" si="4"/>
        <v>0</v>
      </c>
      <c r="P37" s="86">
        <f t="shared" si="5"/>
        <v>0</v>
      </c>
      <c r="Q37" s="86">
        <f t="shared" si="6"/>
        <v>0</v>
      </c>
      <c r="R37" s="86">
        <f t="shared" si="7"/>
        <v>0</v>
      </c>
      <c r="S37" s="87" t="str">
        <f t="shared" ref="S37:V37" si="37">IFERROR(O37-Y37,"")
</f>
        <v/>
      </c>
      <c r="T37" s="87">
        <f t="shared" si="37"/>
        <v>0</v>
      </c>
      <c r="U37" s="87">
        <f t="shared" si="37"/>
        <v>0</v>
      </c>
      <c r="V37" s="87">
        <f t="shared" si="37"/>
        <v>0</v>
      </c>
      <c r="W37" s="88" t="str">
        <f t="shared" si="9"/>
        <v/>
      </c>
      <c r="X37" s="89">
        <f>IFERROR(S37/D37,"")</f>
        <v>0</v>
      </c>
      <c r="Y37" s="90" t="str">
        <f t="shared" si="10"/>
        <v>ERR</v>
      </c>
      <c r="Z37" s="90">
        <f>IF(H37=0,0,CAPITAL!$H$5*Y37)
</f>
        <v>0</v>
      </c>
      <c r="AA37" s="90">
        <f>IF(I37=0,0,CAPITAL!$H$6*Y37)
</f>
        <v>0</v>
      </c>
      <c r="AB37" s="90">
        <f>IF(J37=0,0,CAPITAL!$H$7*Y37)
</f>
        <v>0</v>
      </c>
      <c r="AC37" s="90"/>
    </row>
    <row r="38">
      <c r="A38" s="77" t="s">
        <v>87</v>
      </c>
      <c r="B38" s="101">
        <v>30.0</v>
      </c>
      <c r="C38" s="18" t="str">
        <f>ENTRY!B32</f>
        <v>SILVERBEES</v>
      </c>
      <c r="D38" s="93">
        <f>CAPITAL!$C$2</f>
        <v>3350000</v>
      </c>
      <c r="E38" s="94" t="str">
        <f>ENTRY!C32</f>
        <v/>
      </c>
      <c r="F38" s="95" t="str">
        <f>ENTRY!D32</f>
        <v/>
      </c>
      <c r="G38" s="96" t="str">
        <f>ENTRY!E32</f>
        <v/>
      </c>
      <c r="H38" s="97">
        <f>G38*ENTRY!$O32</f>
        <v>0</v>
      </c>
      <c r="I38" s="97">
        <f>G38*ENTRY!$P32</f>
        <v>0</v>
      </c>
      <c r="J38" s="97">
        <f>G38*ENTRY!$Q32</f>
        <v>0</v>
      </c>
      <c r="K38" s="95">
        <f t="shared" si="2"/>
        <v>0</v>
      </c>
      <c r="L38" s="95" t="str">
        <f>ENTRY!F32</f>
        <v/>
      </c>
      <c r="M38" s="94" t="str">
        <f>ENTRY!G32</f>
        <v/>
      </c>
      <c r="N38" s="98" t="str">
        <f t="shared" si="3"/>
        <v/>
      </c>
      <c r="O38" s="99">
        <f t="shared" si="4"/>
        <v>0</v>
      </c>
      <c r="P38" s="99">
        <f t="shared" si="5"/>
        <v>0</v>
      </c>
      <c r="Q38" s="99">
        <f t="shared" si="6"/>
        <v>0</v>
      </c>
      <c r="R38" s="99">
        <f t="shared" si="7"/>
        <v>0</v>
      </c>
      <c r="S38" s="100" t="str">
        <f t="shared" ref="S38:V38" si="38">IFERROR(O38-Y38,"")
</f>
        <v/>
      </c>
      <c r="T38" s="100">
        <f t="shared" si="38"/>
        <v>0</v>
      </c>
      <c r="U38" s="100">
        <f t="shared" si="38"/>
        <v>0</v>
      </c>
      <c r="V38" s="100">
        <f t="shared" si="38"/>
        <v>0</v>
      </c>
      <c r="W38" s="88" t="str">
        <f t="shared" si="9"/>
        <v/>
      </c>
      <c r="X38" s="89">
        <f>S38/D38</f>
        <v>0</v>
      </c>
      <c r="Y38" s="90" t="str">
        <f t="shared" si="10"/>
        <v>ERR</v>
      </c>
      <c r="Z38" s="90">
        <f>IF(H38=0,0,CAPITAL!$H$5*Y38)
</f>
        <v>0</v>
      </c>
      <c r="AA38" s="90">
        <f>IF(I38=0,0,CAPITAL!$H$6*Y38)
</f>
        <v>0</v>
      </c>
      <c r="AB38" s="90">
        <f>IF(J38=0,0,CAPITAL!$H$7*Y38)
</f>
        <v>0</v>
      </c>
      <c r="AC38" s="90"/>
    </row>
    <row r="39">
      <c r="A39" s="77" t="s">
        <v>88</v>
      </c>
      <c r="B39" s="101">
        <v>31.0</v>
      </c>
      <c r="C39" s="79" t="str">
        <f>ENTRY!B33</f>
        <v>SILVERBEES</v>
      </c>
      <c r="D39" s="80">
        <f>CAPITAL!$C$2</f>
        <v>3350000</v>
      </c>
      <c r="E39" s="81" t="str">
        <f>ENTRY!C33</f>
        <v/>
      </c>
      <c r="F39" s="82" t="str">
        <f>ENTRY!D33</f>
        <v/>
      </c>
      <c r="G39" s="83" t="str">
        <f>ENTRY!E33</f>
        <v/>
      </c>
      <c r="H39" s="84">
        <f>G39*ENTRY!$O33</f>
        <v>0</v>
      </c>
      <c r="I39" s="84">
        <f>G39*ENTRY!$P33</f>
        <v>0</v>
      </c>
      <c r="J39" s="84">
        <f>G39*ENTRY!$Q33</f>
        <v>0</v>
      </c>
      <c r="K39" s="82">
        <f t="shared" si="2"/>
        <v>0</v>
      </c>
      <c r="L39" s="82" t="str">
        <f>ENTRY!F33</f>
        <v/>
      </c>
      <c r="M39" s="81" t="str">
        <f>ENTRY!G33</f>
        <v/>
      </c>
      <c r="N39" s="85" t="str">
        <f t="shared" si="3"/>
        <v/>
      </c>
      <c r="O39" s="86">
        <f t="shared" si="4"/>
        <v>0</v>
      </c>
      <c r="P39" s="86">
        <f t="shared" si="5"/>
        <v>0</v>
      </c>
      <c r="Q39" s="86">
        <f t="shared" si="6"/>
        <v>0</v>
      </c>
      <c r="R39" s="86">
        <f t="shared" si="7"/>
        <v>0</v>
      </c>
      <c r="S39" s="87" t="str">
        <f t="shared" ref="S39:V39" si="39">IFERROR(O39-Y39,"")
</f>
        <v/>
      </c>
      <c r="T39" s="87">
        <f t="shared" si="39"/>
        <v>0</v>
      </c>
      <c r="U39" s="87">
        <f t="shared" si="39"/>
        <v>0</v>
      </c>
      <c r="V39" s="87">
        <f t="shared" si="39"/>
        <v>0</v>
      </c>
      <c r="W39" s="88" t="str">
        <f t="shared" si="9"/>
        <v/>
      </c>
      <c r="X39" s="89">
        <f>IFERROR(S39/D39,"")</f>
        <v>0</v>
      </c>
      <c r="Y39" s="90" t="str">
        <f t="shared" si="10"/>
        <v>ERR</v>
      </c>
      <c r="Z39" s="90">
        <f>IF(H39=0,0,CAPITAL!$H$5*Y39)
</f>
        <v>0</v>
      </c>
      <c r="AA39" s="90">
        <f>IF(I39=0,0,CAPITAL!$H$6*Y39)
</f>
        <v>0</v>
      </c>
      <c r="AB39" s="90">
        <f>IF(J39=0,0,CAPITAL!$H$7*Y39)
</f>
        <v>0</v>
      </c>
      <c r="AC39" s="90"/>
    </row>
    <row r="40">
      <c r="A40" s="77" t="s">
        <v>89</v>
      </c>
      <c r="B40" s="101">
        <v>32.0</v>
      </c>
      <c r="C40" s="18" t="str">
        <f>ENTRY!B34</f>
        <v>SILVERBEES</v>
      </c>
      <c r="D40" s="93">
        <f>CAPITAL!$C$2</f>
        <v>3350000</v>
      </c>
      <c r="E40" s="94" t="str">
        <f>ENTRY!C34</f>
        <v/>
      </c>
      <c r="F40" s="95" t="str">
        <f>ENTRY!D34</f>
        <v/>
      </c>
      <c r="G40" s="96" t="str">
        <f>ENTRY!E34</f>
        <v/>
      </c>
      <c r="H40" s="97">
        <f>G40*ENTRY!$O34</f>
        <v>0</v>
      </c>
      <c r="I40" s="97">
        <f>G40*ENTRY!$P34</f>
        <v>0</v>
      </c>
      <c r="J40" s="97">
        <f>G40*ENTRY!$Q34</f>
        <v>0</v>
      </c>
      <c r="K40" s="95">
        <f t="shared" si="2"/>
        <v>0</v>
      </c>
      <c r="L40" s="95" t="str">
        <f>ENTRY!F34</f>
        <v/>
      </c>
      <c r="M40" s="94" t="str">
        <f>ENTRY!G34</f>
        <v/>
      </c>
      <c r="N40" s="98" t="str">
        <f t="shared" si="3"/>
        <v/>
      </c>
      <c r="O40" s="99">
        <f t="shared" si="4"/>
        <v>0</v>
      </c>
      <c r="P40" s="99">
        <f t="shared" si="5"/>
        <v>0</v>
      </c>
      <c r="Q40" s="99">
        <f t="shared" si="6"/>
        <v>0</v>
      </c>
      <c r="R40" s="99">
        <f t="shared" si="7"/>
        <v>0</v>
      </c>
      <c r="S40" s="100" t="str">
        <f t="shared" ref="S40:V40" si="40">IFERROR(O40-Y40,"")
</f>
        <v/>
      </c>
      <c r="T40" s="100">
        <f t="shared" si="40"/>
        <v>0</v>
      </c>
      <c r="U40" s="100">
        <f t="shared" si="40"/>
        <v>0</v>
      </c>
      <c r="V40" s="100">
        <f t="shared" si="40"/>
        <v>0</v>
      </c>
      <c r="W40" s="88" t="str">
        <f t="shared" si="9"/>
        <v/>
      </c>
      <c r="X40" s="89">
        <f>S40/D40</f>
        <v>0</v>
      </c>
      <c r="Y40" s="90" t="str">
        <f t="shared" si="10"/>
        <v>ERR</v>
      </c>
      <c r="Z40" s="90">
        <f>IF(H40=0,0,CAPITAL!$H$5*Y40)
</f>
        <v>0</v>
      </c>
      <c r="AA40" s="90">
        <f>IF(I40=0,0,CAPITAL!$H$6*Y40)
</f>
        <v>0</v>
      </c>
      <c r="AB40" s="90">
        <f>IF(J40=0,0,CAPITAL!$H$7*Y40)
</f>
        <v>0</v>
      </c>
      <c r="AC40" s="90"/>
    </row>
    <row r="41">
      <c r="A41" s="77" t="s">
        <v>90</v>
      </c>
      <c r="B41" s="101">
        <v>33.0</v>
      </c>
      <c r="C41" s="79" t="str">
        <f>ENTRY!B35</f>
        <v>SILVERBEES</v>
      </c>
      <c r="D41" s="80">
        <f>CAPITAL!$C$2</f>
        <v>3350000</v>
      </c>
      <c r="E41" s="81" t="str">
        <f>ENTRY!C35</f>
        <v/>
      </c>
      <c r="F41" s="82" t="str">
        <f>ENTRY!D35</f>
        <v/>
      </c>
      <c r="G41" s="83" t="str">
        <f>ENTRY!E35</f>
        <v/>
      </c>
      <c r="H41" s="84">
        <f>G41*ENTRY!$O35</f>
        <v>0</v>
      </c>
      <c r="I41" s="84">
        <f>G41*ENTRY!$P35</f>
        <v>0</v>
      </c>
      <c r="J41" s="84">
        <f>G41*ENTRY!$Q35</f>
        <v>0</v>
      </c>
      <c r="K41" s="82">
        <f t="shared" si="2"/>
        <v>0</v>
      </c>
      <c r="L41" s="82" t="str">
        <f>ENTRY!F35</f>
        <v/>
      </c>
      <c r="M41" s="81" t="str">
        <f>ENTRY!G35</f>
        <v/>
      </c>
      <c r="N41" s="85" t="str">
        <f t="shared" si="3"/>
        <v/>
      </c>
      <c r="O41" s="86">
        <f t="shared" si="4"/>
        <v>0</v>
      </c>
      <c r="P41" s="86">
        <f t="shared" si="5"/>
        <v>0</v>
      </c>
      <c r="Q41" s="86">
        <f t="shared" si="6"/>
        <v>0</v>
      </c>
      <c r="R41" s="86">
        <f t="shared" si="7"/>
        <v>0</v>
      </c>
      <c r="S41" s="87" t="str">
        <f t="shared" ref="S41:V41" si="41">IFERROR(O41-Y41,"")
</f>
        <v/>
      </c>
      <c r="T41" s="87">
        <f t="shared" si="41"/>
        <v>0</v>
      </c>
      <c r="U41" s="87">
        <f t="shared" si="41"/>
        <v>0</v>
      </c>
      <c r="V41" s="87">
        <f t="shared" si="41"/>
        <v>0</v>
      </c>
      <c r="W41" s="88" t="str">
        <f t="shared" si="9"/>
        <v/>
      </c>
      <c r="X41" s="89">
        <f>IFERROR(S41/D41,"")</f>
        <v>0</v>
      </c>
      <c r="Y41" s="90" t="str">
        <f t="shared" si="10"/>
        <v>ERR</v>
      </c>
      <c r="Z41" s="90">
        <f>IF(H41=0,0,CAPITAL!$H$5*Y41)
</f>
        <v>0</v>
      </c>
      <c r="AA41" s="90">
        <f>IF(I41=0,0,CAPITAL!$H$6*Y41)
</f>
        <v>0</v>
      </c>
      <c r="AB41" s="90">
        <f>IF(J41=0,0,CAPITAL!$H$7*Y41)
</f>
        <v>0</v>
      </c>
      <c r="AC41" s="90"/>
    </row>
    <row r="42">
      <c r="A42" s="77" t="s">
        <v>91</v>
      </c>
      <c r="B42" s="101">
        <v>34.0</v>
      </c>
      <c r="C42" s="18" t="str">
        <f>ENTRY!B36</f>
        <v>SILVERBEES</v>
      </c>
      <c r="D42" s="93">
        <f>CAPITAL!$C$2</f>
        <v>3350000</v>
      </c>
      <c r="E42" s="94" t="str">
        <f>ENTRY!C36</f>
        <v/>
      </c>
      <c r="F42" s="95" t="str">
        <f>ENTRY!D36</f>
        <v/>
      </c>
      <c r="G42" s="96" t="str">
        <f>ENTRY!E36</f>
        <v/>
      </c>
      <c r="H42" s="97">
        <f>G42*ENTRY!$O36</f>
        <v>0</v>
      </c>
      <c r="I42" s="97">
        <f>G42*ENTRY!$P36</f>
        <v>0</v>
      </c>
      <c r="J42" s="97">
        <f>G42*ENTRY!$Q36</f>
        <v>0</v>
      </c>
      <c r="K42" s="95">
        <f t="shared" si="2"/>
        <v>0</v>
      </c>
      <c r="L42" s="95" t="str">
        <f>ENTRY!F36</f>
        <v/>
      </c>
      <c r="M42" s="94" t="str">
        <f>ENTRY!G36</f>
        <v/>
      </c>
      <c r="N42" s="98" t="str">
        <f t="shared" si="3"/>
        <v/>
      </c>
      <c r="O42" s="99">
        <f t="shared" si="4"/>
        <v>0</v>
      </c>
      <c r="P42" s="99">
        <f t="shared" si="5"/>
        <v>0</v>
      </c>
      <c r="Q42" s="99">
        <f t="shared" si="6"/>
        <v>0</v>
      </c>
      <c r="R42" s="99">
        <f t="shared" si="7"/>
        <v>0</v>
      </c>
      <c r="S42" s="100" t="str">
        <f t="shared" ref="S42:V42" si="42">IFERROR(O42-Y42,"")
</f>
        <v/>
      </c>
      <c r="T42" s="100">
        <f t="shared" si="42"/>
        <v>0</v>
      </c>
      <c r="U42" s="100">
        <f t="shared" si="42"/>
        <v>0</v>
      </c>
      <c r="V42" s="100">
        <f t="shared" si="42"/>
        <v>0</v>
      </c>
      <c r="W42" s="88" t="str">
        <f t="shared" si="9"/>
        <v/>
      </c>
      <c r="X42" s="89">
        <f>S42/D42</f>
        <v>0</v>
      </c>
      <c r="Y42" s="90" t="str">
        <f t="shared" si="10"/>
        <v>ERR</v>
      </c>
      <c r="Z42" s="90">
        <f>IF(H42=0,0,CAPITAL!$H$5*Y42)
</f>
        <v>0</v>
      </c>
      <c r="AA42" s="90">
        <f>IF(I42=0,0,CAPITAL!$H$6*Y42)
</f>
        <v>0</v>
      </c>
      <c r="AB42" s="90">
        <f>IF(J42=0,0,CAPITAL!$H$7*Y42)
</f>
        <v>0</v>
      </c>
      <c r="AC42" s="90"/>
    </row>
    <row r="43">
      <c r="A43" s="77" t="s">
        <v>92</v>
      </c>
      <c r="B43" s="101">
        <v>35.0</v>
      </c>
      <c r="C43" s="79" t="str">
        <f>ENTRY!B37</f>
        <v>SILVERBEES</v>
      </c>
      <c r="D43" s="80">
        <f>CAPITAL!$C$2</f>
        <v>3350000</v>
      </c>
      <c r="E43" s="81" t="str">
        <f>ENTRY!C37</f>
        <v/>
      </c>
      <c r="F43" s="82" t="str">
        <f>ENTRY!D37</f>
        <v/>
      </c>
      <c r="G43" s="83" t="str">
        <f>ENTRY!E37</f>
        <v/>
      </c>
      <c r="H43" s="84">
        <f>G43*ENTRY!$O37</f>
        <v>0</v>
      </c>
      <c r="I43" s="84">
        <f>G43*ENTRY!$P37</f>
        <v>0</v>
      </c>
      <c r="J43" s="84">
        <f>G43*ENTRY!$Q37</f>
        <v>0</v>
      </c>
      <c r="K43" s="82">
        <f t="shared" si="2"/>
        <v>0</v>
      </c>
      <c r="L43" s="82" t="str">
        <f>ENTRY!F37</f>
        <v/>
      </c>
      <c r="M43" s="81" t="str">
        <f>ENTRY!G37</f>
        <v/>
      </c>
      <c r="N43" s="85" t="str">
        <f t="shared" si="3"/>
        <v/>
      </c>
      <c r="O43" s="86">
        <f t="shared" si="4"/>
        <v>0</v>
      </c>
      <c r="P43" s="86">
        <f t="shared" si="5"/>
        <v>0</v>
      </c>
      <c r="Q43" s="86">
        <f t="shared" si="6"/>
        <v>0</v>
      </c>
      <c r="R43" s="86">
        <f t="shared" si="7"/>
        <v>0</v>
      </c>
      <c r="S43" s="87" t="str">
        <f t="shared" ref="S43:V43" si="43">IFERROR(O43-Y43,"")
</f>
        <v/>
      </c>
      <c r="T43" s="87">
        <f t="shared" si="43"/>
        <v>0</v>
      </c>
      <c r="U43" s="87">
        <f t="shared" si="43"/>
        <v>0</v>
      </c>
      <c r="V43" s="87">
        <f t="shared" si="43"/>
        <v>0</v>
      </c>
      <c r="W43" s="88" t="str">
        <f t="shared" si="9"/>
        <v/>
      </c>
      <c r="X43" s="89">
        <f>IFERROR(S43/D43,"")</f>
        <v>0</v>
      </c>
      <c r="Y43" s="90" t="str">
        <f t="shared" si="10"/>
        <v>ERR</v>
      </c>
      <c r="Z43" s="90">
        <f>IF(H43=0,0,CAPITAL!$H$5*Y43)
</f>
        <v>0</v>
      </c>
      <c r="AA43" s="90">
        <f>IF(I43=0,0,CAPITAL!$H$6*Y43)
</f>
        <v>0</v>
      </c>
      <c r="AB43" s="90">
        <f>IF(J43=0,0,CAPITAL!$H$7*Y43)
</f>
        <v>0</v>
      </c>
      <c r="AC43" s="90"/>
    </row>
    <row r="44">
      <c r="A44" s="77" t="s">
        <v>93</v>
      </c>
      <c r="B44" s="101">
        <v>36.0</v>
      </c>
      <c r="C44" s="18" t="str">
        <f>ENTRY!B38</f>
        <v>SILVERBEES</v>
      </c>
      <c r="D44" s="93">
        <f>CAPITAL!$C$2</f>
        <v>3350000</v>
      </c>
      <c r="E44" s="94" t="str">
        <f>ENTRY!C38</f>
        <v/>
      </c>
      <c r="F44" s="95" t="str">
        <f>ENTRY!D38</f>
        <v/>
      </c>
      <c r="G44" s="96" t="str">
        <f>ENTRY!E38</f>
        <v/>
      </c>
      <c r="H44" s="97">
        <f>G44*ENTRY!$O38</f>
        <v>0</v>
      </c>
      <c r="I44" s="97">
        <f>G44*ENTRY!$P38</f>
        <v>0</v>
      </c>
      <c r="J44" s="97">
        <f>G44*ENTRY!$Q38</f>
        <v>0</v>
      </c>
      <c r="K44" s="95">
        <f t="shared" si="2"/>
        <v>0</v>
      </c>
      <c r="L44" s="95" t="str">
        <f>ENTRY!F38</f>
        <v/>
      </c>
      <c r="M44" s="94" t="str">
        <f>ENTRY!G38</f>
        <v/>
      </c>
      <c r="N44" s="98" t="str">
        <f t="shared" si="3"/>
        <v/>
      </c>
      <c r="O44" s="99">
        <f t="shared" si="4"/>
        <v>0</v>
      </c>
      <c r="P44" s="99">
        <f t="shared" si="5"/>
        <v>0</v>
      </c>
      <c r="Q44" s="99">
        <f t="shared" si="6"/>
        <v>0</v>
      </c>
      <c r="R44" s="99">
        <f t="shared" si="7"/>
        <v>0</v>
      </c>
      <c r="S44" s="100" t="str">
        <f t="shared" ref="S44:V44" si="44">IFERROR(O44-Y44,"")
</f>
        <v/>
      </c>
      <c r="T44" s="100">
        <f t="shared" si="44"/>
        <v>0</v>
      </c>
      <c r="U44" s="100">
        <f t="shared" si="44"/>
        <v>0</v>
      </c>
      <c r="V44" s="100">
        <f t="shared" si="44"/>
        <v>0</v>
      </c>
      <c r="W44" s="88" t="str">
        <f t="shared" si="9"/>
        <v/>
      </c>
      <c r="X44" s="89">
        <f>S44/D44</f>
        <v>0</v>
      </c>
      <c r="Y44" s="90" t="str">
        <f t="shared" si="10"/>
        <v>ERR</v>
      </c>
      <c r="Z44" s="90">
        <f>IF(H44=0,0,CAPITAL!$H$5*Y44)
</f>
        <v>0</v>
      </c>
      <c r="AA44" s="90">
        <f>IF(I44=0,0,CAPITAL!$H$6*Y44)
</f>
        <v>0</v>
      </c>
      <c r="AB44" s="90">
        <f>IF(J44=0,0,CAPITAL!$H$7*Y44)
</f>
        <v>0</v>
      </c>
      <c r="AC44" s="90"/>
    </row>
    <row r="45">
      <c r="A45" s="77" t="s">
        <v>27</v>
      </c>
      <c r="B45" s="101">
        <v>37.0</v>
      </c>
      <c r="C45" s="79" t="str">
        <f>ENTRY!B39</f>
        <v>SILVERBEES</v>
      </c>
      <c r="D45" s="80">
        <f>CAPITAL!$C$2</f>
        <v>3350000</v>
      </c>
      <c r="E45" s="81" t="str">
        <f>ENTRY!C39</f>
        <v/>
      </c>
      <c r="F45" s="82" t="str">
        <f>ENTRY!D39</f>
        <v/>
      </c>
      <c r="G45" s="83" t="str">
        <f>ENTRY!E39</f>
        <v/>
      </c>
      <c r="H45" s="84">
        <f>G45*ENTRY!$O39</f>
        <v>0</v>
      </c>
      <c r="I45" s="84">
        <f>G45*ENTRY!$P39</f>
        <v>0</v>
      </c>
      <c r="J45" s="84">
        <f>G45*ENTRY!$Q39</f>
        <v>0</v>
      </c>
      <c r="K45" s="82">
        <f t="shared" si="2"/>
        <v>0</v>
      </c>
      <c r="L45" s="82" t="str">
        <f>ENTRY!F39</f>
        <v/>
      </c>
      <c r="M45" s="81" t="str">
        <f>ENTRY!G39</f>
        <v/>
      </c>
      <c r="N45" s="85" t="str">
        <f t="shared" si="3"/>
        <v/>
      </c>
      <c r="O45" s="86">
        <f t="shared" si="4"/>
        <v>0</v>
      </c>
      <c r="P45" s="86">
        <f t="shared" si="5"/>
        <v>0</v>
      </c>
      <c r="Q45" s="86">
        <f t="shared" si="6"/>
        <v>0</v>
      </c>
      <c r="R45" s="86">
        <f t="shared" si="7"/>
        <v>0</v>
      </c>
      <c r="S45" s="87" t="str">
        <f t="shared" ref="S45:V45" si="45">IFERROR(O45-Y45,"")
</f>
        <v/>
      </c>
      <c r="T45" s="87">
        <f t="shared" si="45"/>
        <v>0</v>
      </c>
      <c r="U45" s="87">
        <f t="shared" si="45"/>
        <v>0</v>
      </c>
      <c r="V45" s="87">
        <f t="shared" si="45"/>
        <v>0</v>
      </c>
      <c r="W45" s="88" t="str">
        <f t="shared" si="9"/>
        <v/>
      </c>
      <c r="X45" s="89">
        <f>IFERROR(S45/D45,"")</f>
        <v>0</v>
      </c>
      <c r="Y45" s="90" t="str">
        <f t="shared" si="10"/>
        <v>ERR</v>
      </c>
      <c r="Z45" s="90">
        <f>IF(H45=0,0,CAPITAL!$H$5*Y45)
</f>
        <v>0</v>
      </c>
      <c r="AA45" s="90">
        <f>IF(I45=0,0,CAPITAL!$H$6*Y45)
</f>
        <v>0</v>
      </c>
      <c r="AB45" s="90">
        <f>IF(J45=0,0,CAPITAL!$H$7*Y45)
</f>
        <v>0</v>
      </c>
      <c r="AC45" s="90"/>
    </row>
    <row r="46">
      <c r="A46" s="77" t="s">
        <v>94</v>
      </c>
      <c r="B46" s="101">
        <v>38.0</v>
      </c>
      <c r="C46" s="18" t="str">
        <f>ENTRY!B40</f>
        <v>SILVERBEES</v>
      </c>
      <c r="D46" s="93">
        <f>CAPITAL!$C$2</f>
        <v>3350000</v>
      </c>
      <c r="E46" s="94" t="str">
        <f>ENTRY!C40</f>
        <v/>
      </c>
      <c r="F46" s="95" t="str">
        <f>ENTRY!D40</f>
        <v/>
      </c>
      <c r="G46" s="96" t="str">
        <f>ENTRY!E40</f>
        <v/>
      </c>
      <c r="H46" s="97">
        <f>G46*ENTRY!$O40</f>
        <v>0</v>
      </c>
      <c r="I46" s="97">
        <f>G46*ENTRY!$P40</f>
        <v>0</v>
      </c>
      <c r="J46" s="97">
        <f>G46*ENTRY!$Q40</f>
        <v>0</v>
      </c>
      <c r="K46" s="95">
        <f t="shared" si="2"/>
        <v>0</v>
      </c>
      <c r="L46" s="95" t="str">
        <f>ENTRY!F40</f>
        <v/>
      </c>
      <c r="M46" s="94" t="str">
        <f>ENTRY!G40</f>
        <v/>
      </c>
      <c r="N46" s="98" t="str">
        <f t="shared" si="3"/>
        <v/>
      </c>
      <c r="O46" s="99">
        <f t="shared" si="4"/>
        <v>0</v>
      </c>
      <c r="P46" s="99">
        <f t="shared" si="5"/>
        <v>0</v>
      </c>
      <c r="Q46" s="99">
        <f t="shared" si="6"/>
        <v>0</v>
      </c>
      <c r="R46" s="99">
        <f t="shared" si="7"/>
        <v>0</v>
      </c>
      <c r="S46" s="100" t="str">
        <f t="shared" ref="S46:V46" si="46">IFERROR(O46-Y46,"")
</f>
        <v/>
      </c>
      <c r="T46" s="100">
        <f t="shared" si="46"/>
        <v>0</v>
      </c>
      <c r="U46" s="100">
        <f t="shared" si="46"/>
        <v>0</v>
      </c>
      <c r="V46" s="100">
        <f t="shared" si="46"/>
        <v>0</v>
      </c>
      <c r="W46" s="88" t="str">
        <f t="shared" si="9"/>
        <v/>
      </c>
      <c r="X46" s="89">
        <f>S46/D46</f>
        <v>0</v>
      </c>
      <c r="Y46" s="90" t="str">
        <f t="shared" si="10"/>
        <v>ERR</v>
      </c>
      <c r="Z46" s="90">
        <f>IF(H46=0,0,CAPITAL!$H$5*Y46)
</f>
        <v>0</v>
      </c>
      <c r="AA46" s="90">
        <f>IF(I46=0,0,CAPITAL!$H$6*Y46)
</f>
        <v>0</v>
      </c>
      <c r="AB46" s="90">
        <f>IF(J46=0,0,CAPITAL!$H$7*Y46)
</f>
        <v>0</v>
      </c>
      <c r="AC46" s="90"/>
    </row>
    <row r="47">
      <c r="A47" s="77" t="s">
        <v>28</v>
      </c>
      <c r="B47" s="102">
        <v>39.0</v>
      </c>
      <c r="C47" s="79" t="str">
        <f>ENTRY!B41</f>
        <v>SILVERBEES</v>
      </c>
      <c r="D47" s="80">
        <f>CAPITAL!$C$2</f>
        <v>3350000</v>
      </c>
      <c r="E47" s="81" t="str">
        <f>ENTRY!C41</f>
        <v/>
      </c>
      <c r="F47" s="82" t="str">
        <f>ENTRY!D41</f>
        <v/>
      </c>
      <c r="G47" s="83" t="str">
        <f>ENTRY!E41</f>
        <v/>
      </c>
      <c r="H47" s="84">
        <f>G47*ENTRY!$O41</f>
        <v>0</v>
      </c>
      <c r="I47" s="84">
        <f>G47*ENTRY!$P41</f>
        <v>0</v>
      </c>
      <c r="J47" s="84">
        <f>G47*ENTRY!$Q41</f>
        <v>0</v>
      </c>
      <c r="K47" s="82">
        <f t="shared" si="2"/>
        <v>0</v>
      </c>
      <c r="L47" s="82" t="str">
        <f>ENTRY!F41</f>
        <v/>
      </c>
      <c r="M47" s="81" t="str">
        <f>ENTRY!G41</f>
        <v/>
      </c>
      <c r="N47" s="85" t="str">
        <f t="shared" si="3"/>
        <v/>
      </c>
      <c r="O47" s="86">
        <f t="shared" si="4"/>
        <v>0</v>
      </c>
      <c r="P47" s="86">
        <f t="shared" si="5"/>
        <v>0</v>
      </c>
      <c r="Q47" s="86">
        <f t="shared" si="6"/>
        <v>0</v>
      </c>
      <c r="R47" s="86">
        <f t="shared" si="7"/>
        <v>0</v>
      </c>
      <c r="S47" s="87" t="str">
        <f t="shared" ref="S47:V47" si="47">IFERROR(O47-Y47,"")
</f>
        <v/>
      </c>
      <c r="T47" s="87">
        <f t="shared" si="47"/>
        <v>0</v>
      </c>
      <c r="U47" s="87">
        <f t="shared" si="47"/>
        <v>0</v>
      </c>
      <c r="V47" s="87">
        <f t="shared" si="47"/>
        <v>0</v>
      </c>
      <c r="W47" s="88" t="str">
        <f t="shared" si="9"/>
        <v/>
      </c>
      <c r="X47" s="89">
        <f>IFERROR(S47/D47,"")</f>
        <v>0</v>
      </c>
      <c r="Y47" s="90" t="str">
        <f t="shared" si="10"/>
        <v>ERR</v>
      </c>
      <c r="Z47" s="90">
        <f>IF(H47=0,0,CAPITAL!$H$5*Y47)
</f>
        <v>0</v>
      </c>
      <c r="AA47" s="90">
        <f>IF(I47=0,0,CAPITAL!$H$6*Y47)
</f>
        <v>0</v>
      </c>
      <c r="AB47" s="90">
        <f>IF(J47=0,0,CAPITAL!$H$7*Y47)
</f>
        <v>0</v>
      </c>
      <c r="AC47" s="90"/>
    </row>
    <row r="48">
      <c r="A48" s="77" t="s">
        <v>95</v>
      </c>
      <c r="B48" s="101">
        <v>40.0</v>
      </c>
      <c r="C48" s="18" t="str">
        <f>ENTRY!B42</f>
        <v>SILVERBEES</v>
      </c>
      <c r="D48" s="93">
        <f>CAPITAL!$C$2</f>
        <v>3350000</v>
      </c>
      <c r="E48" s="94" t="str">
        <f>ENTRY!C42</f>
        <v/>
      </c>
      <c r="F48" s="95" t="str">
        <f>ENTRY!D42</f>
        <v/>
      </c>
      <c r="G48" s="96" t="str">
        <f>ENTRY!E42</f>
        <v/>
      </c>
      <c r="H48" s="97">
        <f>G48*ENTRY!$O42</f>
        <v>0</v>
      </c>
      <c r="I48" s="97">
        <f>G48*ENTRY!$P42</f>
        <v>0</v>
      </c>
      <c r="J48" s="97">
        <f>G48*ENTRY!$Q42</f>
        <v>0</v>
      </c>
      <c r="K48" s="95">
        <f t="shared" si="2"/>
        <v>0</v>
      </c>
      <c r="L48" s="95" t="str">
        <f>ENTRY!F42</f>
        <v/>
      </c>
      <c r="M48" s="94" t="str">
        <f>ENTRY!G42</f>
        <v/>
      </c>
      <c r="N48" s="98" t="str">
        <f t="shared" si="3"/>
        <v/>
      </c>
      <c r="O48" s="99">
        <f t="shared" si="4"/>
        <v>0</v>
      </c>
      <c r="P48" s="99">
        <f t="shared" si="5"/>
        <v>0</v>
      </c>
      <c r="Q48" s="99">
        <f t="shared" si="6"/>
        <v>0</v>
      </c>
      <c r="R48" s="99">
        <f t="shared" si="7"/>
        <v>0</v>
      </c>
      <c r="S48" s="100" t="str">
        <f t="shared" ref="S48:V48" si="48">IFERROR(O48-Y48,"")
</f>
        <v/>
      </c>
      <c r="T48" s="100">
        <f t="shared" si="48"/>
        <v>0</v>
      </c>
      <c r="U48" s="100">
        <f t="shared" si="48"/>
        <v>0</v>
      </c>
      <c r="V48" s="100">
        <f t="shared" si="48"/>
        <v>0</v>
      </c>
      <c r="W48" s="88" t="str">
        <f t="shared" si="9"/>
        <v/>
      </c>
      <c r="X48" s="89">
        <f>S48/D48</f>
        <v>0</v>
      </c>
      <c r="Y48" s="90" t="str">
        <f t="shared" si="10"/>
        <v>ERR</v>
      </c>
      <c r="Z48" s="90">
        <f>IF(H48=0,0,CAPITAL!$H$5*Y48)
</f>
        <v>0</v>
      </c>
      <c r="AA48" s="90">
        <f>IF(I48=0,0,CAPITAL!$H$6*Y48)
</f>
        <v>0</v>
      </c>
      <c r="AB48" s="90">
        <f>IF(J48=0,0,CAPITAL!$H$7*Y48)
</f>
        <v>0</v>
      </c>
      <c r="AC48" s="90"/>
    </row>
    <row r="49">
      <c r="A49" s="77" t="s">
        <v>96</v>
      </c>
      <c r="B49" s="101">
        <v>41.0</v>
      </c>
      <c r="C49" s="79" t="str">
        <f>ENTRY!B43</f>
        <v>SILVERBEES</v>
      </c>
      <c r="D49" s="80">
        <f>CAPITAL!$C$2</f>
        <v>3350000</v>
      </c>
      <c r="E49" s="81" t="str">
        <f>ENTRY!C43</f>
        <v/>
      </c>
      <c r="F49" s="82" t="str">
        <f>ENTRY!D43</f>
        <v/>
      </c>
      <c r="G49" s="83" t="str">
        <f>ENTRY!E43</f>
        <v/>
      </c>
      <c r="H49" s="84">
        <f>G49*ENTRY!$O43</f>
        <v>0</v>
      </c>
      <c r="I49" s="84">
        <f>G49*ENTRY!$P43</f>
        <v>0</v>
      </c>
      <c r="J49" s="84">
        <f>G49*ENTRY!$Q43</f>
        <v>0</v>
      </c>
      <c r="K49" s="82">
        <f t="shared" si="2"/>
        <v>0</v>
      </c>
      <c r="L49" s="82" t="str">
        <f>ENTRY!F43</f>
        <v/>
      </c>
      <c r="M49" s="81" t="str">
        <f>ENTRY!G43</f>
        <v/>
      </c>
      <c r="N49" s="85" t="str">
        <f t="shared" si="3"/>
        <v/>
      </c>
      <c r="O49" s="86">
        <f t="shared" si="4"/>
        <v>0</v>
      </c>
      <c r="P49" s="86">
        <f t="shared" si="5"/>
        <v>0</v>
      </c>
      <c r="Q49" s="86">
        <f t="shared" si="6"/>
        <v>0</v>
      </c>
      <c r="R49" s="86">
        <f t="shared" si="7"/>
        <v>0</v>
      </c>
      <c r="S49" s="87" t="str">
        <f t="shared" ref="S49:V49" si="49">IFERROR(O49-Y49,"")
</f>
        <v/>
      </c>
      <c r="T49" s="87">
        <f t="shared" si="49"/>
        <v>0</v>
      </c>
      <c r="U49" s="87">
        <f t="shared" si="49"/>
        <v>0</v>
      </c>
      <c r="V49" s="87">
        <f t="shared" si="49"/>
        <v>0</v>
      </c>
      <c r="W49" s="88" t="str">
        <f t="shared" si="9"/>
        <v/>
      </c>
      <c r="X49" s="89">
        <f>IFERROR(S49/D49,"")</f>
        <v>0</v>
      </c>
      <c r="Y49" s="90" t="str">
        <f t="shared" si="10"/>
        <v>ERR</v>
      </c>
      <c r="Z49" s="90">
        <f>IF(H49=0,0,CAPITAL!$H$5*Y49)
</f>
        <v>0</v>
      </c>
      <c r="AA49" s="90">
        <f>IF(I49=0,0,CAPITAL!$H$6*Y49)
</f>
        <v>0</v>
      </c>
      <c r="AB49" s="90">
        <f>IF(J49=0,0,CAPITAL!$H$7*Y49)
</f>
        <v>0</v>
      </c>
      <c r="AC49" s="90"/>
    </row>
    <row r="50">
      <c r="A50" s="77" t="s">
        <v>97</v>
      </c>
      <c r="B50" s="101">
        <v>42.0</v>
      </c>
      <c r="C50" s="18" t="str">
        <f>ENTRY!B44</f>
        <v>SILVERBEES</v>
      </c>
      <c r="D50" s="93">
        <f>CAPITAL!$C$2</f>
        <v>3350000</v>
      </c>
      <c r="E50" s="94" t="str">
        <f>ENTRY!C44</f>
        <v/>
      </c>
      <c r="F50" s="95" t="str">
        <f>ENTRY!D44</f>
        <v/>
      </c>
      <c r="G50" s="96" t="str">
        <f>ENTRY!E44</f>
        <v/>
      </c>
      <c r="H50" s="97">
        <f>G50*ENTRY!$O44</f>
        <v>0</v>
      </c>
      <c r="I50" s="97">
        <f>G50*ENTRY!$P44</f>
        <v>0</v>
      </c>
      <c r="J50" s="97">
        <f>G50*ENTRY!$Q44</f>
        <v>0</v>
      </c>
      <c r="K50" s="95">
        <f t="shared" si="2"/>
        <v>0</v>
      </c>
      <c r="L50" s="95" t="str">
        <f>ENTRY!F44</f>
        <v/>
      </c>
      <c r="M50" s="94" t="str">
        <f>ENTRY!G44</f>
        <v/>
      </c>
      <c r="N50" s="98" t="str">
        <f t="shared" si="3"/>
        <v/>
      </c>
      <c r="O50" s="99">
        <f t="shared" si="4"/>
        <v>0</v>
      </c>
      <c r="P50" s="99">
        <f t="shared" si="5"/>
        <v>0</v>
      </c>
      <c r="Q50" s="99">
        <f t="shared" si="6"/>
        <v>0</v>
      </c>
      <c r="R50" s="99">
        <f t="shared" si="7"/>
        <v>0</v>
      </c>
      <c r="S50" s="100" t="str">
        <f t="shared" ref="S50:V50" si="50">IFERROR(O50-Y50,"")
</f>
        <v/>
      </c>
      <c r="T50" s="100">
        <f t="shared" si="50"/>
        <v>0</v>
      </c>
      <c r="U50" s="100">
        <f t="shared" si="50"/>
        <v>0</v>
      </c>
      <c r="V50" s="100">
        <f t="shared" si="50"/>
        <v>0</v>
      </c>
      <c r="W50" s="88" t="str">
        <f t="shared" si="9"/>
        <v/>
      </c>
      <c r="X50" s="89">
        <f>S50/D50</f>
        <v>0</v>
      </c>
      <c r="Y50" s="90" t="str">
        <f t="shared" si="10"/>
        <v>ERR</v>
      </c>
      <c r="Z50" s="90">
        <f>IF(H50=0,0,CAPITAL!$H$5*Y50)
</f>
        <v>0</v>
      </c>
      <c r="AA50" s="90">
        <f>IF(I50=0,0,CAPITAL!$H$6*Y50)
</f>
        <v>0</v>
      </c>
      <c r="AB50" s="90">
        <f>IF(J50=0,0,CAPITAL!$H$7*Y50)
</f>
        <v>0</v>
      </c>
      <c r="AC50" s="90"/>
    </row>
    <row r="51">
      <c r="A51" s="77" t="s">
        <v>98</v>
      </c>
      <c r="B51" s="101">
        <v>43.0</v>
      </c>
      <c r="C51" s="79" t="str">
        <f>ENTRY!B45</f>
        <v>SILVERBEES</v>
      </c>
      <c r="D51" s="80">
        <f>CAPITAL!$C$2</f>
        <v>3350000</v>
      </c>
      <c r="E51" s="81" t="str">
        <f>ENTRY!C45</f>
        <v/>
      </c>
      <c r="F51" s="82" t="str">
        <f>ENTRY!D45</f>
        <v/>
      </c>
      <c r="G51" s="83" t="str">
        <f>ENTRY!E45</f>
        <v/>
      </c>
      <c r="H51" s="84">
        <f>G51*ENTRY!$O45</f>
        <v>0</v>
      </c>
      <c r="I51" s="84">
        <f>G51*ENTRY!$P45</f>
        <v>0</v>
      </c>
      <c r="J51" s="84">
        <f>G51*ENTRY!$Q45</f>
        <v>0</v>
      </c>
      <c r="K51" s="82">
        <f t="shared" si="2"/>
        <v>0</v>
      </c>
      <c r="L51" s="82" t="str">
        <f>ENTRY!F45</f>
        <v/>
      </c>
      <c r="M51" s="81" t="str">
        <f>ENTRY!G45</f>
        <v/>
      </c>
      <c r="N51" s="85" t="str">
        <f t="shared" si="3"/>
        <v/>
      </c>
      <c r="O51" s="86">
        <f t="shared" si="4"/>
        <v>0</v>
      </c>
      <c r="P51" s="86">
        <f t="shared" si="5"/>
        <v>0</v>
      </c>
      <c r="Q51" s="86">
        <f t="shared" si="6"/>
        <v>0</v>
      </c>
      <c r="R51" s="86">
        <f t="shared" si="7"/>
        <v>0</v>
      </c>
      <c r="S51" s="87" t="str">
        <f t="shared" ref="S51:V51" si="51">IFERROR(O51-Y51,"")
</f>
        <v/>
      </c>
      <c r="T51" s="87">
        <f t="shared" si="51"/>
        <v>0</v>
      </c>
      <c r="U51" s="87">
        <f t="shared" si="51"/>
        <v>0</v>
      </c>
      <c r="V51" s="87">
        <f t="shared" si="51"/>
        <v>0</v>
      </c>
      <c r="W51" s="88" t="str">
        <f t="shared" si="9"/>
        <v/>
      </c>
      <c r="X51" s="89">
        <f>IFERROR(S51/D51,"")</f>
        <v>0</v>
      </c>
      <c r="Y51" s="90" t="str">
        <f t="shared" si="10"/>
        <v>ERR</v>
      </c>
      <c r="Z51" s="90">
        <f>IF(H51=0,0,CAPITAL!$H$5*Y51)
</f>
        <v>0</v>
      </c>
      <c r="AA51" s="90">
        <f>IF(I51=0,0,CAPITAL!$H$6*Y51)
</f>
        <v>0</v>
      </c>
      <c r="AB51" s="90">
        <f>IF(J51=0,0,CAPITAL!$H$7*Y51)
</f>
        <v>0</v>
      </c>
      <c r="AC51" s="90"/>
    </row>
    <row r="52">
      <c r="A52" s="77" t="s">
        <v>99</v>
      </c>
      <c r="B52" s="101">
        <v>44.0</v>
      </c>
      <c r="C52" s="18" t="str">
        <f>ENTRY!B46</f>
        <v>SILVERBEES</v>
      </c>
      <c r="D52" s="93">
        <f>CAPITAL!$C$2</f>
        <v>3350000</v>
      </c>
      <c r="E52" s="94" t="str">
        <f>ENTRY!C46</f>
        <v/>
      </c>
      <c r="F52" s="95" t="str">
        <f>ENTRY!D46</f>
        <v/>
      </c>
      <c r="G52" s="96" t="str">
        <f>ENTRY!E46</f>
        <v/>
      </c>
      <c r="H52" s="97">
        <f>G52*ENTRY!$O46</f>
        <v>0</v>
      </c>
      <c r="I52" s="97">
        <f>G52*ENTRY!$P46</f>
        <v>0</v>
      </c>
      <c r="J52" s="97">
        <f>G52*ENTRY!$Q46</f>
        <v>0</v>
      </c>
      <c r="K52" s="95">
        <f t="shared" si="2"/>
        <v>0</v>
      </c>
      <c r="L52" s="95" t="str">
        <f>ENTRY!F46</f>
        <v/>
      </c>
      <c r="M52" s="94" t="str">
        <f>ENTRY!G46</f>
        <v/>
      </c>
      <c r="N52" s="98" t="str">
        <f t="shared" si="3"/>
        <v/>
      </c>
      <c r="O52" s="99">
        <f t="shared" si="4"/>
        <v>0</v>
      </c>
      <c r="P52" s="99">
        <f t="shared" si="5"/>
        <v>0</v>
      </c>
      <c r="Q52" s="99">
        <f t="shared" si="6"/>
        <v>0</v>
      </c>
      <c r="R52" s="99">
        <f t="shared" si="7"/>
        <v>0</v>
      </c>
      <c r="S52" s="100" t="str">
        <f t="shared" ref="S52:V52" si="52">IFERROR(O52-Y52,"")
</f>
        <v/>
      </c>
      <c r="T52" s="100">
        <f t="shared" si="52"/>
        <v>0</v>
      </c>
      <c r="U52" s="100">
        <f t="shared" si="52"/>
        <v>0</v>
      </c>
      <c r="V52" s="100">
        <f t="shared" si="52"/>
        <v>0</v>
      </c>
      <c r="W52" s="88" t="str">
        <f t="shared" si="9"/>
        <v/>
      </c>
      <c r="X52" s="89">
        <f>S52/D52</f>
        <v>0</v>
      </c>
      <c r="Y52" s="90" t="str">
        <f t="shared" si="10"/>
        <v>ERR</v>
      </c>
      <c r="Z52" s="90">
        <f>IF(H52=0,0,CAPITAL!$H$5*Y52)
</f>
        <v>0</v>
      </c>
      <c r="AA52" s="90">
        <f>IF(I52=0,0,CAPITAL!$H$6*Y52)
</f>
        <v>0</v>
      </c>
      <c r="AB52" s="90">
        <f>IF(J52=0,0,CAPITAL!$H$7*Y52)
</f>
        <v>0</v>
      </c>
      <c r="AC52" s="90"/>
    </row>
    <row r="53">
      <c r="A53" s="77" t="s">
        <v>100</v>
      </c>
      <c r="B53" s="101">
        <v>45.0</v>
      </c>
      <c r="C53" s="79" t="str">
        <f>ENTRY!B47</f>
        <v>SILVERBEES</v>
      </c>
      <c r="D53" s="80">
        <f>CAPITAL!$C$2</f>
        <v>3350000</v>
      </c>
      <c r="E53" s="81" t="str">
        <f>ENTRY!C47</f>
        <v/>
      </c>
      <c r="F53" s="82" t="str">
        <f>ENTRY!D47</f>
        <v/>
      </c>
      <c r="G53" s="83" t="str">
        <f>ENTRY!E47</f>
        <v/>
      </c>
      <c r="H53" s="84">
        <f>G53*ENTRY!$O47</f>
        <v>0</v>
      </c>
      <c r="I53" s="84">
        <f>G53*ENTRY!$P47</f>
        <v>0</v>
      </c>
      <c r="J53" s="84">
        <f>G53*ENTRY!$Q47</f>
        <v>0</v>
      </c>
      <c r="K53" s="82">
        <f t="shared" si="2"/>
        <v>0</v>
      </c>
      <c r="L53" s="82" t="str">
        <f>ENTRY!F47</f>
        <v/>
      </c>
      <c r="M53" s="81" t="str">
        <f>ENTRY!G47</f>
        <v/>
      </c>
      <c r="N53" s="85" t="str">
        <f t="shared" si="3"/>
        <v/>
      </c>
      <c r="O53" s="86">
        <f t="shared" si="4"/>
        <v>0</v>
      </c>
      <c r="P53" s="86">
        <f t="shared" si="5"/>
        <v>0</v>
      </c>
      <c r="Q53" s="86">
        <f t="shared" si="6"/>
        <v>0</v>
      </c>
      <c r="R53" s="86">
        <f t="shared" si="7"/>
        <v>0</v>
      </c>
      <c r="S53" s="87" t="str">
        <f t="shared" ref="S53:V53" si="53">IFERROR(O53-Y53,"")
</f>
        <v/>
      </c>
      <c r="T53" s="87">
        <f t="shared" si="53"/>
        <v>0</v>
      </c>
      <c r="U53" s="87">
        <f t="shared" si="53"/>
        <v>0</v>
      </c>
      <c r="V53" s="87">
        <f t="shared" si="53"/>
        <v>0</v>
      </c>
      <c r="W53" s="88" t="str">
        <f t="shared" si="9"/>
        <v/>
      </c>
      <c r="X53" s="89">
        <f>IFERROR(S53/D53,"")</f>
        <v>0</v>
      </c>
      <c r="Y53" s="90" t="str">
        <f t="shared" si="10"/>
        <v>ERR</v>
      </c>
      <c r="Z53" s="90">
        <f>IF(H53=0,0,CAPITAL!$H$5*Y53)
</f>
        <v>0</v>
      </c>
      <c r="AA53" s="90">
        <f>IF(I53=0,0,CAPITAL!$H$6*Y53)
</f>
        <v>0</v>
      </c>
      <c r="AB53" s="90">
        <f>IF(J53=0,0,CAPITAL!$H$7*Y53)
</f>
        <v>0</v>
      </c>
      <c r="AC53" s="90"/>
    </row>
    <row r="54">
      <c r="A54" s="77" t="s">
        <v>101</v>
      </c>
      <c r="B54" s="101">
        <v>46.0</v>
      </c>
      <c r="C54" s="18" t="str">
        <f>ENTRY!B48</f>
        <v>SILVERBEES</v>
      </c>
      <c r="D54" s="93">
        <f>CAPITAL!$C$2</f>
        <v>3350000</v>
      </c>
      <c r="E54" s="94" t="str">
        <f>ENTRY!C48</f>
        <v/>
      </c>
      <c r="F54" s="95" t="str">
        <f>ENTRY!D48</f>
        <v/>
      </c>
      <c r="G54" s="96" t="str">
        <f>ENTRY!E48</f>
        <v/>
      </c>
      <c r="H54" s="97">
        <f>G54*ENTRY!$O48</f>
        <v>0</v>
      </c>
      <c r="I54" s="97">
        <f>G54*ENTRY!$P48</f>
        <v>0</v>
      </c>
      <c r="J54" s="97">
        <f>G54*ENTRY!$Q48</f>
        <v>0</v>
      </c>
      <c r="K54" s="95">
        <f t="shared" si="2"/>
        <v>0</v>
      </c>
      <c r="L54" s="95" t="str">
        <f>ENTRY!F48</f>
        <v/>
      </c>
      <c r="M54" s="94" t="str">
        <f>ENTRY!G48</f>
        <v/>
      </c>
      <c r="N54" s="98" t="str">
        <f t="shared" si="3"/>
        <v/>
      </c>
      <c r="O54" s="99">
        <f t="shared" si="4"/>
        <v>0</v>
      </c>
      <c r="P54" s="99">
        <f t="shared" si="5"/>
        <v>0</v>
      </c>
      <c r="Q54" s="99">
        <f t="shared" si="6"/>
        <v>0</v>
      </c>
      <c r="R54" s="99">
        <f t="shared" si="7"/>
        <v>0</v>
      </c>
      <c r="S54" s="100" t="str">
        <f t="shared" ref="S54:V54" si="54">IFERROR(O54-Y54,"")
</f>
        <v/>
      </c>
      <c r="T54" s="100">
        <f t="shared" si="54"/>
        <v>0</v>
      </c>
      <c r="U54" s="100">
        <f t="shared" si="54"/>
        <v>0</v>
      </c>
      <c r="V54" s="100">
        <f t="shared" si="54"/>
        <v>0</v>
      </c>
      <c r="W54" s="88" t="str">
        <f t="shared" si="9"/>
        <v/>
      </c>
      <c r="X54" s="89">
        <f>S54/D54</f>
        <v>0</v>
      </c>
      <c r="Y54" s="90" t="str">
        <f t="shared" si="10"/>
        <v>ERR</v>
      </c>
      <c r="Z54" s="90">
        <f>IF(H54=0,0,CAPITAL!$H$5*Y54)
</f>
        <v>0</v>
      </c>
      <c r="AA54" s="90">
        <f>IF(I54=0,0,CAPITAL!$H$6*Y54)
</f>
        <v>0</v>
      </c>
      <c r="AB54" s="90">
        <f>IF(J54=0,0,CAPITAL!$H$7*Y54)
</f>
        <v>0</v>
      </c>
      <c r="AC54" s="90"/>
    </row>
    <row r="55">
      <c r="A55" s="77" t="s">
        <v>102</v>
      </c>
      <c r="B55" s="101">
        <v>47.0</v>
      </c>
      <c r="C55" s="79" t="str">
        <f>ENTRY!B49</f>
        <v>SILVERBEES</v>
      </c>
      <c r="D55" s="80">
        <f>CAPITAL!$C$2</f>
        <v>3350000</v>
      </c>
      <c r="E55" s="81" t="str">
        <f>ENTRY!C49</f>
        <v/>
      </c>
      <c r="F55" s="82" t="str">
        <f>ENTRY!D49</f>
        <v/>
      </c>
      <c r="G55" s="83" t="str">
        <f>ENTRY!E49</f>
        <v/>
      </c>
      <c r="H55" s="84">
        <f>G55*ENTRY!$O49</f>
        <v>0</v>
      </c>
      <c r="I55" s="84">
        <f>G55*ENTRY!$P49</f>
        <v>0</v>
      </c>
      <c r="J55" s="84">
        <f>G55*ENTRY!$Q49</f>
        <v>0</v>
      </c>
      <c r="K55" s="82">
        <f t="shared" si="2"/>
        <v>0</v>
      </c>
      <c r="L55" s="82" t="str">
        <f>ENTRY!F49</f>
        <v/>
      </c>
      <c r="M55" s="81" t="str">
        <f>ENTRY!G49</f>
        <v/>
      </c>
      <c r="N55" s="85" t="str">
        <f t="shared" si="3"/>
        <v/>
      </c>
      <c r="O55" s="86">
        <f t="shared" si="4"/>
        <v>0</v>
      </c>
      <c r="P55" s="86">
        <f t="shared" si="5"/>
        <v>0</v>
      </c>
      <c r="Q55" s="86">
        <f t="shared" si="6"/>
        <v>0</v>
      </c>
      <c r="R55" s="86">
        <f t="shared" si="7"/>
        <v>0</v>
      </c>
      <c r="S55" s="87" t="str">
        <f t="shared" ref="S55:V55" si="55">IFERROR(O55-Y55,"")
</f>
        <v/>
      </c>
      <c r="T55" s="87">
        <f t="shared" si="55"/>
        <v>0</v>
      </c>
      <c r="U55" s="87">
        <f t="shared" si="55"/>
        <v>0</v>
      </c>
      <c r="V55" s="87">
        <f t="shared" si="55"/>
        <v>0</v>
      </c>
      <c r="W55" s="88" t="str">
        <f t="shared" si="9"/>
        <v/>
      </c>
      <c r="X55" s="89">
        <f>IFERROR(S55/D55,"")</f>
        <v>0</v>
      </c>
      <c r="Y55" s="90" t="str">
        <f t="shared" si="10"/>
        <v>ERR</v>
      </c>
      <c r="Z55" s="90">
        <f>IF(H55=0,0,CAPITAL!$H$5*Y55)
</f>
        <v>0</v>
      </c>
      <c r="AA55" s="90">
        <f>IF(I55=0,0,CAPITAL!$H$6*Y55)
</f>
        <v>0</v>
      </c>
      <c r="AB55" s="90">
        <f>IF(J55=0,0,CAPITAL!$H$7*Y55)
</f>
        <v>0</v>
      </c>
      <c r="AC55" s="90"/>
    </row>
    <row r="56">
      <c r="A56" s="77" t="s">
        <v>103</v>
      </c>
      <c r="B56" s="101">
        <v>48.0</v>
      </c>
      <c r="C56" s="18" t="str">
        <f>ENTRY!B50</f>
        <v>SILVERBEES</v>
      </c>
      <c r="D56" s="93">
        <f>CAPITAL!$C$2</f>
        <v>3350000</v>
      </c>
      <c r="E56" s="94" t="str">
        <f>ENTRY!C50</f>
        <v/>
      </c>
      <c r="F56" s="95" t="str">
        <f>ENTRY!D50</f>
        <v/>
      </c>
      <c r="G56" s="96" t="str">
        <f>ENTRY!E50</f>
        <v/>
      </c>
      <c r="H56" s="97">
        <f>G56*ENTRY!$O50</f>
        <v>0</v>
      </c>
      <c r="I56" s="97">
        <f>G56*ENTRY!$P50</f>
        <v>0</v>
      </c>
      <c r="J56" s="97">
        <f>G56*ENTRY!$Q50</f>
        <v>0</v>
      </c>
      <c r="K56" s="95">
        <f t="shared" si="2"/>
        <v>0</v>
      </c>
      <c r="L56" s="95" t="str">
        <f>ENTRY!F50</f>
        <v/>
      </c>
      <c r="M56" s="94" t="str">
        <f>ENTRY!G50</f>
        <v/>
      </c>
      <c r="N56" s="98" t="str">
        <f t="shared" si="3"/>
        <v/>
      </c>
      <c r="O56" s="99">
        <f t="shared" si="4"/>
        <v>0</v>
      </c>
      <c r="P56" s="99">
        <f t="shared" si="5"/>
        <v>0</v>
      </c>
      <c r="Q56" s="99">
        <f t="shared" si="6"/>
        <v>0</v>
      </c>
      <c r="R56" s="99">
        <f t="shared" si="7"/>
        <v>0</v>
      </c>
      <c r="S56" s="100" t="str">
        <f t="shared" ref="S56:V56" si="56">IFERROR(O56-Y56,"")
</f>
        <v/>
      </c>
      <c r="T56" s="100">
        <f t="shared" si="56"/>
        <v>0</v>
      </c>
      <c r="U56" s="100">
        <f t="shared" si="56"/>
        <v>0</v>
      </c>
      <c r="V56" s="100">
        <f t="shared" si="56"/>
        <v>0</v>
      </c>
      <c r="W56" s="88" t="str">
        <f t="shared" si="9"/>
        <v/>
      </c>
      <c r="X56" s="89">
        <f>S56/D56</f>
        <v>0</v>
      </c>
      <c r="Y56" s="90" t="str">
        <f t="shared" si="10"/>
        <v>ERR</v>
      </c>
      <c r="Z56" s="90">
        <f>IF(H56=0,0,CAPITAL!$H$5*Y56)
</f>
        <v>0</v>
      </c>
      <c r="AA56" s="90">
        <f>IF(I56=0,0,CAPITAL!$H$6*Y56)
</f>
        <v>0</v>
      </c>
      <c r="AB56" s="90">
        <f>IF(J56=0,0,CAPITAL!$H$7*Y56)
</f>
        <v>0</v>
      </c>
      <c r="AC56" s="90"/>
    </row>
    <row r="57">
      <c r="A57" s="77" t="s">
        <v>104</v>
      </c>
      <c r="B57" s="101">
        <v>49.0</v>
      </c>
      <c r="C57" s="79" t="str">
        <f>ENTRY!B51</f>
        <v>SILVERBEES</v>
      </c>
      <c r="D57" s="80">
        <f>CAPITAL!$C$2</f>
        <v>3350000</v>
      </c>
      <c r="E57" s="81" t="str">
        <f>ENTRY!C51</f>
        <v/>
      </c>
      <c r="F57" s="82" t="str">
        <f>ENTRY!D51</f>
        <v/>
      </c>
      <c r="G57" s="83" t="str">
        <f>ENTRY!E51</f>
        <v/>
      </c>
      <c r="H57" s="84">
        <f>G57*ENTRY!$O51</f>
        <v>0</v>
      </c>
      <c r="I57" s="84">
        <f>G57*ENTRY!$P51</f>
        <v>0</v>
      </c>
      <c r="J57" s="84">
        <f>G57*ENTRY!$Q51</f>
        <v>0</v>
      </c>
      <c r="K57" s="82">
        <f t="shared" si="2"/>
        <v>0</v>
      </c>
      <c r="L57" s="82" t="str">
        <f>ENTRY!F51</f>
        <v/>
      </c>
      <c r="M57" s="81" t="str">
        <f>ENTRY!G51</f>
        <v/>
      </c>
      <c r="N57" s="85" t="str">
        <f t="shared" si="3"/>
        <v/>
      </c>
      <c r="O57" s="86">
        <f t="shared" si="4"/>
        <v>0</v>
      </c>
      <c r="P57" s="86">
        <f t="shared" si="5"/>
        <v>0</v>
      </c>
      <c r="Q57" s="86">
        <f t="shared" si="6"/>
        <v>0</v>
      </c>
      <c r="R57" s="86">
        <f t="shared" si="7"/>
        <v>0</v>
      </c>
      <c r="S57" s="87" t="str">
        <f t="shared" ref="S57:V57" si="57">IFERROR(O57-Y57,"")
</f>
        <v/>
      </c>
      <c r="T57" s="87">
        <f t="shared" si="57"/>
        <v>0</v>
      </c>
      <c r="U57" s="87">
        <f t="shared" si="57"/>
        <v>0</v>
      </c>
      <c r="V57" s="87">
        <f t="shared" si="57"/>
        <v>0</v>
      </c>
      <c r="W57" s="88" t="str">
        <f t="shared" si="9"/>
        <v/>
      </c>
      <c r="X57" s="89">
        <f>IFERROR(S57/D57,"")</f>
        <v>0</v>
      </c>
      <c r="Y57" s="90" t="str">
        <f t="shared" si="10"/>
        <v>ERR</v>
      </c>
      <c r="Z57" s="90">
        <f>IF(H57=0,0,CAPITAL!$H$5*Y57)
</f>
        <v>0</v>
      </c>
      <c r="AA57" s="90">
        <f>IF(I57=0,0,CAPITAL!$H$6*Y57)
</f>
        <v>0</v>
      </c>
      <c r="AB57" s="90">
        <f>IF(J57=0,0,CAPITAL!$H$7*Y57)
</f>
        <v>0</v>
      </c>
      <c r="AC57" s="90"/>
    </row>
    <row r="58">
      <c r="A58" s="77" t="s">
        <v>105</v>
      </c>
      <c r="B58" s="101">
        <v>50.0</v>
      </c>
      <c r="C58" s="18" t="str">
        <f>ENTRY!B52</f>
        <v>SILVERBEES</v>
      </c>
      <c r="D58" s="93">
        <f>CAPITAL!$C$2</f>
        <v>3350000</v>
      </c>
      <c r="E58" s="94" t="str">
        <f>ENTRY!C52</f>
        <v/>
      </c>
      <c r="F58" s="95" t="str">
        <f>ENTRY!D52</f>
        <v/>
      </c>
      <c r="G58" s="96" t="str">
        <f>ENTRY!E52</f>
        <v/>
      </c>
      <c r="H58" s="97">
        <f>G58*ENTRY!$O52</f>
        <v>0</v>
      </c>
      <c r="I58" s="97">
        <f>G58*ENTRY!$P52</f>
        <v>0</v>
      </c>
      <c r="J58" s="97">
        <f>G58*ENTRY!$Q52</f>
        <v>0</v>
      </c>
      <c r="K58" s="95">
        <f t="shared" si="2"/>
        <v>0</v>
      </c>
      <c r="L58" s="95" t="str">
        <f>ENTRY!F52</f>
        <v/>
      </c>
      <c r="M58" s="94" t="str">
        <f>ENTRY!G52</f>
        <v/>
      </c>
      <c r="N58" s="98" t="str">
        <f t="shared" si="3"/>
        <v/>
      </c>
      <c r="O58" s="99">
        <f t="shared" si="4"/>
        <v>0</v>
      </c>
      <c r="P58" s="99">
        <f t="shared" si="5"/>
        <v>0</v>
      </c>
      <c r="Q58" s="99">
        <f t="shared" si="6"/>
        <v>0</v>
      </c>
      <c r="R58" s="99">
        <f t="shared" si="7"/>
        <v>0</v>
      </c>
      <c r="S58" s="100" t="str">
        <f t="shared" ref="S58:V58" si="58">IFERROR(O58-Y58,"")
</f>
        <v/>
      </c>
      <c r="T58" s="100">
        <f t="shared" si="58"/>
        <v>0</v>
      </c>
      <c r="U58" s="100">
        <f t="shared" si="58"/>
        <v>0</v>
      </c>
      <c r="V58" s="100">
        <f t="shared" si="58"/>
        <v>0</v>
      </c>
      <c r="W58" s="88" t="str">
        <f t="shared" si="9"/>
        <v/>
      </c>
      <c r="X58" s="89">
        <f>S58/D58</f>
        <v>0</v>
      </c>
      <c r="Y58" s="90" t="str">
        <f t="shared" si="10"/>
        <v>ERR</v>
      </c>
      <c r="Z58" s="90">
        <f>IF(H58=0,0,CAPITAL!$H$5*Y58)
</f>
        <v>0</v>
      </c>
      <c r="AA58" s="90">
        <f>IF(I58=0,0,CAPITAL!$H$6*Y58)
</f>
        <v>0</v>
      </c>
      <c r="AB58" s="90">
        <f>IF(J58=0,0,CAPITAL!$H$7*Y58)
</f>
        <v>0</v>
      </c>
      <c r="AC58" s="90"/>
    </row>
    <row r="59">
      <c r="A59" s="77" t="s">
        <v>106</v>
      </c>
      <c r="B59" s="101">
        <v>51.0</v>
      </c>
      <c r="C59" s="79" t="str">
        <f>ENTRY!B53</f>
        <v>SILVERBEES</v>
      </c>
      <c r="D59" s="80">
        <f>CAPITAL!$C$2</f>
        <v>3350000</v>
      </c>
      <c r="E59" s="81" t="str">
        <f>ENTRY!C53</f>
        <v/>
      </c>
      <c r="F59" s="82" t="str">
        <f>ENTRY!D53</f>
        <v/>
      </c>
      <c r="G59" s="83" t="str">
        <f>ENTRY!E53</f>
        <v/>
      </c>
      <c r="H59" s="84">
        <f>G59*ENTRY!$O53</f>
        <v>0</v>
      </c>
      <c r="I59" s="84">
        <f>G59*ENTRY!$P53</f>
        <v>0</v>
      </c>
      <c r="J59" s="84">
        <f>G59*ENTRY!$Q53</f>
        <v>0</v>
      </c>
      <c r="K59" s="82">
        <f t="shared" si="2"/>
        <v>0</v>
      </c>
      <c r="L59" s="82" t="str">
        <f>ENTRY!F53</f>
        <v/>
      </c>
      <c r="M59" s="81" t="str">
        <f>ENTRY!G53</f>
        <v/>
      </c>
      <c r="N59" s="85" t="str">
        <f t="shared" si="3"/>
        <v/>
      </c>
      <c r="O59" s="86">
        <f t="shared" si="4"/>
        <v>0</v>
      </c>
      <c r="P59" s="86">
        <f t="shared" si="5"/>
        <v>0</v>
      </c>
      <c r="Q59" s="86">
        <f t="shared" si="6"/>
        <v>0</v>
      </c>
      <c r="R59" s="86">
        <f t="shared" si="7"/>
        <v>0</v>
      </c>
      <c r="S59" s="87" t="str">
        <f t="shared" ref="S59:V59" si="59">IFERROR(O59-Y59,"")
</f>
        <v/>
      </c>
      <c r="T59" s="87">
        <f t="shared" si="59"/>
        <v>0</v>
      </c>
      <c r="U59" s="87">
        <f t="shared" si="59"/>
        <v>0</v>
      </c>
      <c r="V59" s="87">
        <f t="shared" si="59"/>
        <v>0</v>
      </c>
      <c r="W59" s="88" t="str">
        <f t="shared" si="9"/>
        <v/>
      </c>
      <c r="X59" s="89">
        <f>IFERROR(S59/D59,"")</f>
        <v>0</v>
      </c>
      <c r="Y59" s="90" t="str">
        <f t="shared" si="10"/>
        <v>ERR</v>
      </c>
      <c r="Z59" s="90">
        <f>IF(H59=0,0,CAPITAL!$H$5*Y59)
</f>
        <v>0</v>
      </c>
      <c r="AA59" s="90">
        <f>IF(I59=0,0,CAPITAL!$H$6*Y59)
</f>
        <v>0</v>
      </c>
      <c r="AB59" s="90">
        <f>IF(J59=0,0,CAPITAL!$H$7*Y59)
</f>
        <v>0</v>
      </c>
      <c r="AC59" s="90"/>
    </row>
    <row r="60">
      <c r="A60" s="77" t="s">
        <v>107</v>
      </c>
      <c r="B60" s="101">
        <v>52.0</v>
      </c>
      <c r="C60" s="18" t="str">
        <f>ENTRY!B54</f>
        <v>SILVERBEES</v>
      </c>
      <c r="D60" s="93">
        <f>CAPITAL!$C$2</f>
        <v>3350000</v>
      </c>
      <c r="E60" s="94" t="str">
        <f>ENTRY!C54</f>
        <v/>
      </c>
      <c r="F60" s="95" t="str">
        <f>ENTRY!D54</f>
        <v/>
      </c>
      <c r="G60" s="96" t="str">
        <f>ENTRY!E54</f>
        <v/>
      </c>
      <c r="H60" s="97">
        <f>G60*ENTRY!$O54</f>
        <v>0</v>
      </c>
      <c r="I60" s="97">
        <f>G60*ENTRY!$P54</f>
        <v>0</v>
      </c>
      <c r="J60" s="97">
        <f>G60*ENTRY!$Q54</f>
        <v>0</v>
      </c>
      <c r="K60" s="95">
        <f t="shared" si="2"/>
        <v>0</v>
      </c>
      <c r="L60" s="95" t="str">
        <f>ENTRY!F54</f>
        <v/>
      </c>
      <c r="M60" s="94" t="str">
        <f>ENTRY!G54</f>
        <v/>
      </c>
      <c r="N60" s="98" t="str">
        <f t="shared" si="3"/>
        <v/>
      </c>
      <c r="O60" s="99">
        <f t="shared" si="4"/>
        <v>0</v>
      </c>
      <c r="P60" s="99">
        <f t="shared" si="5"/>
        <v>0</v>
      </c>
      <c r="Q60" s="99">
        <f t="shared" si="6"/>
        <v>0</v>
      </c>
      <c r="R60" s="99">
        <f t="shared" si="7"/>
        <v>0</v>
      </c>
      <c r="S60" s="100" t="str">
        <f t="shared" ref="S60:V60" si="60">IFERROR(O60-Y60,"")
</f>
        <v/>
      </c>
      <c r="T60" s="100">
        <f t="shared" si="60"/>
        <v>0</v>
      </c>
      <c r="U60" s="100">
        <f t="shared" si="60"/>
        <v>0</v>
      </c>
      <c r="V60" s="100">
        <f t="shared" si="60"/>
        <v>0</v>
      </c>
      <c r="W60" s="88" t="str">
        <f t="shared" si="9"/>
        <v/>
      </c>
      <c r="X60" s="89">
        <f>S60/D60</f>
        <v>0</v>
      </c>
      <c r="Y60" s="90" t="str">
        <f t="shared" si="10"/>
        <v>ERR</v>
      </c>
      <c r="Z60" s="90">
        <f>IF(H60=0,0,CAPITAL!$H$5*Y60)
</f>
        <v>0</v>
      </c>
      <c r="AA60" s="90">
        <f>IF(I60=0,0,CAPITAL!$H$6*Y60)
</f>
        <v>0</v>
      </c>
      <c r="AB60" s="90">
        <f>IF(J60=0,0,CAPITAL!$H$7*Y60)
</f>
        <v>0</v>
      </c>
      <c r="AC60" s="90"/>
    </row>
    <row r="61">
      <c r="A61" s="77" t="s">
        <v>108</v>
      </c>
      <c r="B61" s="101">
        <v>53.0</v>
      </c>
      <c r="C61" s="79" t="str">
        <f>ENTRY!B55</f>
        <v>SILVERBEES</v>
      </c>
      <c r="D61" s="80">
        <f>CAPITAL!$C$2</f>
        <v>3350000</v>
      </c>
      <c r="E61" s="81" t="str">
        <f>ENTRY!C55</f>
        <v/>
      </c>
      <c r="F61" s="82" t="str">
        <f>ENTRY!D55</f>
        <v/>
      </c>
      <c r="G61" s="83" t="str">
        <f>ENTRY!E55</f>
        <v/>
      </c>
      <c r="H61" s="84">
        <f>G61*ENTRY!$O55</f>
        <v>0</v>
      </c>
      <c r="I61" s="84">
        <f>G61*ENTRY!$P55</f>
        <v>0</v>
      </c>
      <c r="J61" s="84">
        <f>G61*ENTRY!$Q55</f>
        <v>0</v>
      </c>
      <c r="K61" s="82">
        <f t="shared" si="2"/>
        <v>0</v>
      </c>
      <c r="L61" s="82" t="str">
        <f>ENTRY!F55</f>
        <v/>
      </c>
      <c r="M61" s="81" t="str">
        <f>ENTRY!G55</f>
        <v/>
      </c>
      <c r="N61" s="85" t="str">
        <f t="shared" si="3"/>
        <v/>
      </c>
      <c r="O61" s="86">
        <f t="shared" si="4"/>
        <v>0</v>
      </c>
      <c r="P61" s="86">
        <f t="shared" si="5"/>
        <v>0</v>
      </c>
      <c r="Q61" s="86">
        <f t="shared" si="6"/>
        <v>0</v>
      </c>
      <c r="R61" s="86">
        <f t="shared" si="7"/>
        <v>0</v>
      </c>
      <c r="S61" s="87" t="str">
        <f t="shared" ref="S61:V61" si="61">IFERROR(O61-Y61,"")
</f>
        <v/>
      </c>
      <c r="T61" s="87">
        <f t="shared" si="61"/>
        <v>0</v>
      </c>
      <c r="U61" s="87">
        <f t="shared" si="61"/>
        <v>0</v>
      </c>
      <c r="V61" s="87">
        <f t="shared" si="61"/>
        <v>0</v>
      </c>
      <c r="W61" s="88" t="str">
        <f t="shared" si="9"/>
        <v/>
      </c>
      <c r="X61" s="89">
        <f>IFERROR(S61/D61,"")</f>
        <v>0</v>
      </c>
      <c r="Y61" s="90" t="str">
        <f t="shared" si="10"/>
        <v>ERR</v>
      </c>
      <c r="Z61" s="90">
        <f>IF(H61=0,0,CAPITAL!$H$5*Y61)
</f>
        <v>0</v>
      </c>
      <c r="AA61" s="90">
        <f>IF(I61=0,0,CAPITAL!$H$6*Y61)
</f>
        <v>0</v>
      </c>
      <c r="AB61" s="90">
        <f>IF(J61=0,0,CAPITAL!$H$7*Y61)
</f>
        <v>0</v>
      </c>
      <c r="AC61" s="90"/>
    </row>
    <row r="62">
      <c r="A62" s="77" t="s">
        <v>109</v>
      </c>
      <c r="B62" s="101">
        <v>54.0</v>
      </c>
      <c r="C62" s="18" t="str">
        <f>ENTRY!B56</f>
        <v>SILVERBEES</v>
      </c>
      <c r="D62" s="93">
        <f>CAPITAL!$C$2</f>
        <v>3350000</v>
      </c>
      <c r="E62" s="94" t="str">
        <f>ENTRY!C56</f>
        <v/>
      </c>
      <c r="F62" s="95" t="str">
        <f>ENTRY!D56</f>
        <v/>
      </c>
      <c r="G62" s="96" t="str">
        <f>ENTRY!E56</f>
        <v/>
      </c>
      <c r="H62" s="97">
        <f>G62*ENTRY!$O56</f>
        <v>0</v>
      </c>
      <c r="I62" s="97">
        <f>G62*ENTRY!$P56</f>
        <v>0</v>
      </c>
      <c r="J62" s="97">
        <f>G62*ENTRY!$Q56</f>
        <v>0</v>
      </c>
      <c r="K62" s="95">
        <f t="shared" si="2"/>
        <v>0</v>
      </c>
      <c r="L62" s="95" t="str">
        <f>ENTRY!F56</f>
        <v/>
      </c>
      <c r="M62" s="94" t="str">
        <f>ENTRY!G56</f>
        <v/>
      </c>
      <c r="N62" s="98" t="str">
        <f t="shared" si="3"/>
        <v/>
      </c>
      <c r="O62" s="99">
        <f t="shared" si="4"/>
        <v>0</v>
      </c>
      <c r="P62" s="99">
        <f t="shared" si="5"/>
        <v>0</v>
      </c>
      <c r="Q62" s="99">
        <f t="shared" si="6"/>
        <v>0</v>
      </c>
      <c r="R62" s="99">
        <f t="shared" si="7"/>
        <v>0</v>
      </c>
      <c r="S62" s="100" t="str">
        <f t="shared" ref="S62:V62" si="62">IFERROR(O62-Y62,"")
</f>
        <v/>
      </c>
      <c r="T62" s="100">
        <f t="shared" si="62"/>
        <v>0</v>
      </c>
      <c r="U62" s="100">
        <f t="shared" si="62"/>
        <v>0</v>
      </c>
      <c r="V62" s="100">
        <f t="shared" si="62"/>
        <v>0</v>
      </c>
      <c r="W62" s="88" t="str">
        <f t="shared" si="9"/>
        <v/>
      </c>
      <c r="X62" s="89">
        <f>S62/D62</f>
        <v>0</v>
      </c>
      <c r="Y62" s="90" t="str">
        <f t="shared" si="10"/>
        <v>ERR</v>
      </c>
      <c r="Z62" s="90">
        <f>IF(H62=0,0,CAPITAL!$H$5*Y62)
</f>
        <v>0</v>
      </c>
      <c r="AA62" s="90">
        <f>IF(I62=0,0,CAPITAL!$H$6*Y62)
</f>
        <v>0</v>
      </c>
      <c r="AB62" s="90">
        <f>IF(J62=0,0,CAPITAL!$H$7*Y62)
</f>
        <v>0</v>
      </c>
      <c r="AC62" s="90"/>
    </row>
    <row r="63">
      <c r="A63" s="77" t="s">
        <v>110</v>
      </c>
      <c r="B63" s="101">
        <v>55.0</v>
      </c>
      <c r="C63" s="79" t="str">
        <f>ENTRY!B57</f>
        <v>SILVERBEES</v>
      </c>
      <c r="D63" s="80">
        <f>CAPITAL!$C$2</f>
        <v>3350000</v>
      </c>
      <c r="E63" s="81" t="str">
        <f>ENTRY!C57</f>
        <v/>
      </c>
      <c r="F63" s="82" t="str">
        <f>ENTRY!D57</f>
        <v/>
      </c>
      <c r="G63" s="83" t="str">
        <f>ENTRY!E57</f>
        <v/>
      </c>
      <c r="H63" s="84">
        <f>G63*ENTRY!$O57</f>
        <v>0</v>
      </c>
      <c r="I63" s="84">
        <f>G63*ENTRY!$P57</f>
        <v>0</v>
      </c>
      <c r="J63" s="84">
        <f>G63*ENTRY!$Q57</f>
        <v>0</v>
      </c>
      <c r="K63" s="82">
        <f t="shared" si="2"/>
        <v>0</v>
      </c>
      <c r="L63" s="82" t="str">
        <f>ENTRY!F57</f>
        <v/>
      </c>
      <c r="M63" s="81" t="str">
        <f>ENTRY!G57</f>
        <v/>
      </c>
      <c r="N63" s="85" t="str">
        <f t="shared" si="3"/>
        <v/>
      </c>
      <c r="O63" s="86">
        <f t="shared" si="4"/>
        <v>0</v>
      </c>
      <c r="P63" s="86">
        <f t="shared" si="5"/>
        <v>0</v>
      </c>
      <c r="Q63" s="86">
        <f t="shared" si="6"/>
        <v>0</v>
      </c>
      <c r="R63" s="86">
        <f t="shared" si="7"/>
        <v>0</v>
      </c>
      <c r="S63" s="87" t="str">
        <f t="shared" ref="S63:V63" si="63">IFERROR(O63-Y63,"")
</f>
        <v/>
      </c>
      <c r="T63" s="87">
        <f t="shared" si="63"/>
        <v>0</v>
      </c>
      <c r="U63" s="87">
        <f t="shared" si="63"/>
        <v>0</v>
      </c>
      <c r="V63" s="87">
        <f t="shared" si="63"/>
        <v>0</v>
      </c>
      <c r="W63" s="88" t="str">
        <f t="shared" si="9"/>
        <v/>
      </c>
      <c r="X63" s="89">
        <f>IFERROR(S63/D63,"")</f>
        <v>0</v>
      </c>
      <c r="Y63" s="90" t="str">
        <f t="shared" si="10"/>
        <v>ERR</v>
      </c>
      <c r="Z63" s="90">
        <f>IF(H63=0,0,CAPITAL!$H$5*Y63)
</f>
        <v>0</v>
      </c>
      <c r="AA63" s="90">
        <f>IF(I63=0,0,CAPITAL!$H$6*Y63)
</f>
        <v>0</v>
      </c>
      <c r="AB63" s="90">
        <f>IF(J63=0,0,CAPITAL!$H$7*Y63)
</f>
        <v>0</v>
      </c>
      <c r="AC63" s="90"/>
    </row>
    <row r="64">
      <c r="A64" s="77" t="s">
        <v>111</v>
      </c>
      <c r="B64" s="101">
        <v>56.0</v>
      </c>
      <c r="C64" s="18" t="str">
        <f>ENTRY!B58</f>
        <v>SILVERBEES</v>
      </c>
      <c r="D64" s="93">
        <f>CAPITAL!$C$2</f>
        <v>3350000</v>
      </c>
      <c r="E64" s="94" t="str">
        <f>ENTRY!C58</f>
        <v/>
      </c>
      <c r="F64" s="95" t="str">
        <f>ENTRY!D58</f>
        <v/>
      </c>
      <c r="G64" s="96" t="str">
        <f>ENTRY!E58</f>
        <v/>
      </c>
      <c r="H64" s="97">
        <f>G64*ENTRY!$O58</f>
        <v>0</v>
      </c>
      <c r="I64" s="97">
        <f>G64*ENTRY!$P58</f>
        <v>0</v>
      </c>
      <c r="J64" s="97">
        <f>G64*ENTRY!$Q58</f>
        <v>0</v>
      </c>
      <c r="K64" s="95">
        <f t="shared" si="2"/>
        <v>0</v>
      </c>
      <c r="L64" s="95" t="str">
        <f>ENTRY!F58</f>
        <v/>
      </c>
      <c r="M64" s="94" t="str">
        <f>ENTRY!G58</f>
        <v/>
      </c>
      <c r="N64" s="98" t="str">
        <f t="shared" si="3"/>
        <v/>
      </c>
      <c r="O64" s="99">
        <f t="shared" si="4"/>
        <v>0</v>
      </c>
      <c r="P64" s="99">
        <f t="shared" si="5"/>
        <v>0</v>
      </c>
      <c r="Q64" s="99">
        <f t="shared" si="6"/>
        <v>0</v>
      </c>
      <c r="R64" s="99">
        <f t="shared" si="7"/>
        <v>0</v>
      </c>
      <c r="S64" s="100" t="str">
        <f t="shared" ref="S64:V64" si="64">IFERROR(O64-Y64,"")
</f>
        <v/>
      </c>
      <c r="T64" s="100">
        <f t="shared" si="64"/>
        <v>0</v>
      </c>
      <c r="U64" s="100">
        <f t="shared" si="64"/>
        <v>0</v>
      </c>
      <c r="V64" s="100">
        <f t="shared" si="64"/>
        <v>0</v>
      </c>
      <c r="W64" s="88" t="str">
        <f t="shared" si="9"/>
        <v/>
      </c>
      <c r="X64" s="89">
        <f>S64/D64</f>
        <v>0</v>
      </c>
      <c r="Y64" s="90" t="str">
        <f t="shared" si="10"/>
        <v>ERR</v>
      </c>
      <c r="Z64" s="90">
        <f>IF(H64=0,0,CAPITAL!$H$5*Y64)
</f>
        <v>0</v>
      </c>
      <c r="AA64" s="90">
        <f>IF(I64=0,0,CAPITAL!$H$6*Y64)
</f>
        <v>0</v>
      </c>
      <c r="AB64" s="90">
        <f>IF(J64=0,0,CAPITAL!$H$7*Y64)
</f>
        <v>0</v>
      </c>
      <c r="AC64" s="90"/>
    </row>
    <row r="65">
      <c r="A65" s="77" t="s">
        <v>112</v>
      </c>
      <c r="B65" s="101">
        <v>57.0</v>
      </c>
      <c r="C65" s="79" t="str">
        <f>ENTRY!B59</f>
        <v>SILVERBEES</v>
      </c>
      <c r="D65" s="80">
        <f>CAPITAL!$C$2</f>
        <v>3350000</v>
      </c>
      <c r="E65" s="81" t="str">
        <f>ENTRY!C59</f>
        <v/>
      </c>
      <c r="F65" s="82" t="str">
        <f>ENTRY!D59</f>
        <v/>
      </c>
      <c r="G65" s="83" t="str">
        <f>ENTRY!E59</f>
        <v/>
      </c>
      <c r="H65" s="84">
        <f>G65*ENTRY!$O59</f>
        <v>0</v>
      </c>
      <c r="I65" s="84">
        <f>G65*ENTRY!$P59</f>
        <v>0</v>
      </c>
      <c r="J65" s="84">
        <f>G65*ENTRY!$Q59</f>
        <v>0</v>
      </c>
      <c r="K65" s="82">
        <f t="shared" si="2"/>
        <v>0</v>
      </c>
      <c r="L65" s="82" t="str">
        <f>ENTRY!F59</f>
        <v/>
      </c>
      <c r="M65" s="81" t="str">
        <f>ENTRY!G59</f>
        <v/>
      </c>
      <c r="N65" s="85" t="str">
        <f t="shared" si="3"/>
        <v/>
      </c>
      <c r="O65" s="86">
        <f t="shared" si="4"/>
        <v>0</v>
      </c>
      <c r="P65" s="86">
        <f t="shared" si="5"/>
        <v>0</v>
      </c>
      <c r="Q65" s="86">
        <f t="shared" si="6"/>
        <v>0</v>
      </c>
      <c r="R65" s="86">
        <f t="shared" si="7"/>
        <v>0</v>
      </c>
      <c r="S65" s="87" t="str">
        <f t="shared" ref="S65:V65" si="65">IFERROR(O65-Y65,"")
</f>
        <v/>
      </c>
      <c r="T65" s="87">
        <f t="shared" si="65"/>
        <v>0</v>
      </c>
      <c r="U65" s="87">
        <f t="shared" si="65"/>
        <v>0</v>
      </c>
      <c r="V65" s="87">
        <f t="shared" si="65"/>
        <v>0</v>
      </c>
      <c r="W65" s="88" t="str">
        <f t="shared" si="9"/>
        <v/>
      </c>
      <c r="X65" s="89">
        <f>IFERROR(S65/D65,"")</f>
        <v>0</v>
      </c>
      <c r="Y65" s="90" t="str">
        <f t="shared" si="10"/>
        <v>ERR</v>
      </c>
      <c r="Z65" s="90">
        <f>IF(H65=0,0,CAPITAL!$H$5*Y65)
</f>
        <v>0</v>
      </c>
      <c r="AA65" s="90">
        <f>IF(I65=0,0,CAPITAL!$H$6*Y65)
</f>
        <v>0</v>
      </c>
      <c r="AB65" s="90">
        <f>IF(J65=0,0,CAPITAL!$H$7*Y65)
</f>
        <v>0</v>
      </c>
      <c r="AC65" s="90"/>
    </row>
    <row r="66">
      <c r="A66" s="77" t="s">
        <v>113</v>
      </c>
      <c r="B66" s="101">
        <v>58.0</v>
      </c>
      <c r="C66" s="18" t="str">
        <f>ENTRY!B60</f>
        <v>SILVERBEES</v>
      </c>
      <c r="D66" s="93">
        <f>CAPITAL!$C$2</f>
        <v>3350000</v>
      </c>
      <c r="E66" s="94" t="str">
        <f>ENTRY!C60</f>
        <v/>
      </c>
      <c r="F66" s="95" t="str">
        <f>ENTRY!D60</f>
        <v/>
      </c>
      <c r="G66" s="96" t="str">
        <f>ENTRY!E60</f>
        <v/>
      </c>
      <c r="H66" s="97">
        <f>G66*ENTRY!$O60</f>
        <v>0</v>
      </c>
      <c r="I66" s="97">
        <f>G66*ENTRY!$P60</f>
        <v>0</v>
      </c>
      <c r="J66" s="97">
        <f>G66*ENTRY!$Q60</f>
        <v>0</v>
      </c>
      <c r="K66" s="95">
        <f t="shared" si="2"/>
        <v>0</v>
      </c>
      <c r="L66" s="95" t="str">
        <f>ENTRY!F60</f>
        <v/>
      </c>
      <c r="M66" s="94" t="str">
        <f>ENTRY!G60</f>
        <v/>
      </c>
      <c r="N66" s="98" t="str">
        <f t="shared" si="3"/>
        <v/>
      </c>
      <c r="O66" s="99">
        <f t="shared" si="4"/>
        <v>0</v>
      </c>
      <c r="P66" s="99">
        <f t="shared" si="5"/>
        <v>0</v>
      </c>
      <c r="Q66" s="99">
        <f t="shared" si="6"/>
        <v>0</v>
      </c>
      <c r="R66" s="99">
        <f t="shared" si="7"/>
        <v>0</v>
      </c>
      <c r="S66" s="100" t="str">
        <f t="shared" ref="S66:V66" si="66">IFERROR(O66-Y66,"")
</f>
        <v/>
      </c>
      <c r="T66" s="100">
        <f t="shared" si="66"/>
        <v>0</v>
      </c>
      <c r="U66" s="100">
        <f t="shared" si="66"/>
        <v>0</v>
      </c>
      <c r="V66" s="100">
        <f t="shared" si="66"/>
        <v>0</v>
      </c>
      <c r="W66" s="88" t="str">
        <f t="shared" si="9"/>
        <v/>
      </c>
      <c r="X66" s="89">
        <f>S66/D66</f>
        <v>0</v>
      </c>
      <c r="Y66" s="90" t="str">
        <f t="shared" si="10"/>
        <v>ERR</v>
      </c>
      <c r="Z66" s="90">
        <f>IF(H66=0,0,CAPITAL!$H$5*Y66)
</f>
        <v>0</v>
      </c>
      <c r="AA66" s="90">
        <f>IF(I66=0,0,CAPITAL!$H$6*Y66)
</f>
        <v>0</v>
      </c>
      <c r="AB66" s="90">
        <f>IF(J66=0,0,CAPITAL!$H$7*Y66)
</f>
        <v>0</v>
      </c>
      <c r="AC66" s="90"/>
    </row>
    <row r="67">
      <c r="A67" s="77" t="s">
        <v>25</v>
      </c>
      <c r="B67" s="101">
        <v>59.0</v>
      </c>
      <c r="C67" s="79" t="str">
        <f>ENTRY!B61</f>
        <v>SILVERBEES</v>
      </c>
      <c r="D67" s="80">
        <f>CAPITAL!$C$2</f>
        <v>3350000</v>
      </c>
      <c r="E67" s="81" t="str">
        <f>ENTRY!C61</f>
        <v/>
      </c>
      <c r="F67" s="82" t="str">
        <f>ENTRY!D61</f>
        <v/>
      </c>
      <c r="G67" s="83" t="str">
        <f>ENTRY!E61</f>
        <v/>
      </c>
      <c r="H67" s="84">
        <f>G67*ENTRY!$O61</f>
        <v>0</v>
      </c>
      <c r="I67" s="84">
        <f>G67*ENTRY!$P61</f>
        <v>0</v>
      </c>
      <c r="J67" s="84">
        <f>G67*ENTRY!$Q61</f>
        <v>0</v>
      </c>
      <c r="K67" s="82">
        <f t="shared" si="2"/>
        <v>0</v>
      </c>
      <c r="L67" s="82" t="str">
        <f>ENTRY!F61</f>
        <v/>
      </c>
      <c r="M67" s="81" t="str">
        <f>ENTRY!G61</f>
        <v/>
      </c>
      <c r="N67" s="85" t="str">
        <f t="shared" si="3"/>
        <v/>
      </c>
      <c r="O67" s="86">
        <f t="shared" si="4"/>
        <v>0</v>
      </c>
      <c r="P67" s="86">
        <f t="shared" si="5"/>
        <v>0</v>
      </c>
      <c r="Q67" s="86">
        <f t="shared" si="6"/>
        <v>0</v>
      </c>
      <c r="R67" s="86">
        <f t="shared" si="7"/>
        <v>0</v>
      </c>
      <c r="S67" s="87" t="str">
        <f t="shared" ref="S67:V67" si="67">IFERROR(O67-Y67,"")
</f>
        <v/>
      </c>
      <c r="T67" s="87">
        <f t="shared" si="67"/>
        <v>0</v>
      </c>
      <c r="U67" s="87">
        <f t="shared" si="67"/>
        <v>0</v>
      </c>
      <c r="V67" s="87">
        <f t="shared" si="67"/>
        <v>0</v>
      </c>
      <c r="W67" s="88" t="str">
        <f t="shared" si="9"/>
        <v/>
      </c>
      <c r="X67" s="89">
        <f>IFERROR(S67/D67,"")</f>
        <v>0</v>
      </c>
      <c r="Y67" s="90" t="str">
        <f t="shared" si="10"/>
        <v>ERR</v>
      </c>
      <c r="Z67" s="90">
        <f>IF(H67=0,0,CAPITAL!$H$5*Y67)
</f>
        <v>0</v>
      </c>
      <c r="AA67" s="90">
        <f>IF(I67=0,0,CAPITAL!$H$6*Y67)
</f>
        <v>0</v>
      </c>
      <c r="AB67" s="90">
        <f>IF(J67=0,0,CAPITAL!$H$7*Y67)
</f>
        <v>0</v>
      </c>
      <c r="AC67" s="90"/>
    </row>
    <row r="68">
      <c r="A68" s="77" t="s">
        <v>114</v>
      </c>
      <c r="B68" s="101">
        <v>60.0</v>
      </c>
      <c r="C68" s="18" t="str">
        <f>ENTRY!B62</f>
        <v>SILVERBEES</v>
      </c>
      <c r="D68" s="93">
        <f>CAPITAL!$C$2</f>
        <v>3350000</v>
      </c>
      <c r="E68" s="94" t="str">
        <f>ENTRY!C62</f>
        <v/>
      </c>
      <c r="F68" s="95" t="str">
        <f>ENTRY!D62</f>
        <v/>
      </c>
      <c r="G68" s="96" t="str">
        <f>ENTRY!E62</f>
        <v/>
      </c>
      <c r="H68" s="97">
        <f>G68*ENTRY!$O62</f>
        <v>0</v>
      </c>
      <c r="I68" s="97">
        <f>G68*ENTRY!$P62</f>
        <v>0</v>
      </c>
      <c r="J68" s="97">
        <f>G68*ENTRY!$Q62</f>
        <v>0</v>
      </c>
      <c r="K68" s="95">
        <f t="shared" si="2"/>
        <v>0</v>
      </c>
      <c r="L68" s="95" t="str">
        <f>ENTRY!F62</f>
        <v/>
      </c>
      <c r="M68" s="94" t="str">
        <f>ENTRY!G62</f>
        <v/>
      </c>
      <c r="N68" s="98" t="str">
        <f t="shared" si="3"/>
        <v/>
      </c>
      <c r="O68" s="99">
        <f t="shared" si="4"/>
        <v>0</v>
      </c>
      <c r="P68" s="99">
        <f t="shared" si="5"/>
        <v>0</v>
      </c>
      <c r="Q68" s="99">
        <f t="shared" si="6"/>
        <v>0</v>
      </c>
      <c r="R68" s="99">
        <f t="shared" si="7"/>
        <v>0</v>
      </c>
      <c r="S68" s="100" t="str">
        <f t="shared" ref="S68:V68" si="68">IFERROR(O68-Y68,"")
</f>
        <v/>
      </c>
      <c r="T68" s="100">
        <f t="shared" si="68"/>
        <v>0</v>
      </c>
      <c r="U68" s="100">
        <f t="shared" si="68"/>
        <v>0</v>
      </c>
      <c r="V68" s="100">
        <f t="shared" si="68"/>
        <v>0</v>
      </c>
      <c r="W68" s="88" t="str">
        <f t="shared" si="9"/>
        <v/>
      </c>
      <c r="X68" s="89">
        <f>S68/D68</f>
        <v>0</v>
      </c>
      <c r="Y68" s="90" t="str">
        <f t="shared" si="10"/>
        <v>ERR</v>
      </c>
      <c r="Z68" s="90">
        <f>IF(H68=0,0,CAPITAL!$H$5*Y68)
</f>
        <v>0</v>
      </c>
      <c r="AA68" s="90">
        <f>IF(I68=0,0,CAPITAL!$H$6*Y68)
</f>
        <v>0</v>
      </c>
      <c r="AB68" s="90">
        <f>IF(J68=0,0,CAPITAL!$H$7*Y68)
</f>
        <v>0</v>
      </c>
      <c r="AC68" s="90"/>
    </row>
    <row r="69">
      <c r="A69" s="77" t="s">
        <v>115</v>
      </c>
      <c r="B69" s="101">
        <v>61.0</v>
      </c>
      <c r="C69" s="79" t="str">
        <f>ENTRY!B63</f>
        <v>SILVERBEES</v>
      </c>
      <c r="D69" s="80">
        <f>CAPITAL!$C$2</f>
        <v>3350000</v>
      </c>
      <c r="E69" s="81" t="str">
        <f>ENTRY!C63</f>
        <v/>
      </c>
      <c r="F69" s="82" t="str">
        <f>ENTRY!D63</f>
        <v/>
      </c>
      <c r="G69" s="83" t="str">
        <f>ENTRY!E63</f>
        <v/>
      </c>
      <c r="H69" s="84">
        <f>G69*ENTRY!$O63</f>
        <v>0</v>
      </c>
      <c r="I69" s="84">
        <f>G69*ENTRY!$P63</f>
        <v>0</v>
      </c>
      <c r="J69" s="84">
        <f>G69*ENTRY!$Q63</f>
        <v>0</v>
      </c>
      <c r="K69" s="82">
        <f t="shared" si="2"/>
        <v>0</v>
      </c>
      <c r="L69" s="82" t="str">
        <f>ENTRY!F63</f>
        <v/>
      </c>
      <c r="M69" s="81" t="str">
        <f>ENTRY!G63</f>
        <v/>
      </c>
      <c r="N69" s="85" t="str">
        <f t="shared" si="3"/>
        <v/>
      </c>
      <c r="O69" s="86">
        <f t="shared" si="4"/>
        <v>0</v>
      </c>
      <c r="P69" s="86">
        <f t="shared" si="5"/>
        <v>0</v>
      </c>
      <c r="Q69" s="86">
        <f t="shared" si="6"/>
        <v>0</v>
      </c>
      <c r="R69" s="86">
        <f t="shared" si="7"/>
        <v>0</v>
      </c>
      <c r="S69" s="87" t="str">
        <f t="shared" ref="S69:V69" si="69">IFERROR(O69-Y69,"")
</f>
        <v/>
      </c>
      <c r="T69" s="87">
        <f t="shared" si="69"/>
        <v>0</v>
      </c>
      <c r="U69" s="87">
        <f t="shared" si="69"/>
        <v>0</v>
      </c>
      <c r="V69" s="87">
        <f t="shared" si="69"/>
        <v>0</v>
      </c>
      <c r="W69" s="88" t="str">
        <f t="shared" si="9"/>
        <v/>
      </c>
      <c r="X69" s="89">
        <f>IFERROR(S69/D69,"")</f>
        <v>0</v>
      </c>
      <c r="Y69" s="90" t="str">
        <f t="shared" si="10"/>
        <v>ERR</v>
      </c>
      <c r="Z69" s="90">
        <f>IF(H69=0,0,CAPITAL!$H$5*Y69)
</f>
        <v>0</v>
      </c>
      <c r="AA69" s="90">
        <f>IF(I69=0,0,CAPITAL!$H$6*Y69)
</f>
        <v>0</v>
      </c>
      <c r="AB69" s="90">
        <f>IF(J69=0,0,CAPITAL!$H$7*Y69)
</f>
        <v>0</v>
      </c>
      <c r="AC69" s="90"/>
    </row>
    <row r="70">
      <c r="A70" s="77" t="s">
        <v>116</v>
      </c>
      <c r="B70" s="101">
        <v>62.0</v>
      </c>
      <c r="C70" s="18" t="str">
        <f>ENTRY!B64</f>
        <v>SILVERBEES</v>
      </c>
      <c r="D70" s="93">
        <f>CAPITAL!$C$2</f>
        <v>3350000</v>
      </c>
      <c r="E70" s="94" t="str">
        <f>ENTRY!C64</f>
        <v/>
      </c>
      <c r="F70" s="95" t="str">
        <f>ENTRY!D64</f>
        <v/>
      </c>
      <c r="G70" s="96" t="str">
        <f>ENTRY!E64</f>
        <v/>
      </c>
      <c r="H70" s="97">
        <f>G70*ENTRY!$O64</f>
        <v>0</v>
      </c>
      <c r="I70" s="97">
        <f>G70*ENTRY!$P64</f>
        <v>0</v>
      </c>
      <c r="J70" s="97">
        <f>G70*ENTRY!$Q64</f>
        <v>0</v>
      </c>
      <c r="K70" s="95">
        <f t="shared" si="2"/>
        <v>0</v>
      </c>
      <c r="L70" s="95" t="str">
        <f>ENTRY!F64</f>
        <v/>
      </c>
      <c r="M70" s="94" t="str">
        <f>ENTRY!G64</f>
        <v/>
      </c>
      <c r="N70" s="98" t="str">
        <f t="shared" si="3"/>
        <v/>
      </c>
      <c r="O70" s="99">
        <f t="shared" si="4"/>
        <v>0</v>
      </c>
      <c r="P70" s="99">
        <f t="shared" si="5"/>
        <v>0</v>
      </c>
      <c r="Q70" s="99">
        <f t="shared" si="6"/>
        <v>0</v>
      </c>
      <c r="R70" s="99">
        <f t="shared" si="7"/>
        <v>0</v>
      </c>
      <c r="S70" s="100" t="str">
        <f t="shared" ref="S70:V70" si="70">IFERROR(O70-Y70,"")
</f>
        <v/>
      </c>
      <c r="T70" s="100">
        <f t="shared" si="70"/>
        <v>0</v>
      </c>
      <c r="U70" s="100">
        <f t="shared" si="70"/>
        <v>0</v>
      </c>
      <c r="V70" s="100">
        <f t="shared" si="70"/>
        <v>0</v>
      </c>
      <c r="W70" s="88" t="str">
        <f t="shared" si="9"/>
        <v/>
      </c>
      <c r="X70" s="89">
        <f>S70/D70</f>
        <v>0</v>
      </c>
      <c r="Y70" s="90" t="str">
        <f t="shared" si="10"/>
        <v>ERR</v>
      </c>
      <c r="Z70" s="90">
        <f>IF(H70=0,0,CAPITAL!$H$5*Y70)
</f>
        <v>0</v>
      </c>
      <c r="AA70" s="90">
        <f>IF(I70=0,0,CAPITAL!$H$6*Y70)
</f>
        <v>0</v>
      </c>
      <c r="AB70" s="90">
        <f>IF(J70=0,0,CAPITAL!$H$7*Y70)
</f>
        <v>0</v>
      </c>
      <c r="AC70" s="90"/>
    </row>
    <row r="71">
      <c r="A71" s="77" t="s">
        <v>117</v>
      </c>
      <c r="B71" s="101">
        <v>63.0</v>
      </c>
      <c r="C71" s="79" t="str">
        <f>ENTRY!B65</f>
        <v>SILVERBEES</v>
      </c>
      <c r="D71" s="80">
        <f>CAPITAL!$C$2</f>
        <v>3350000</v>
      </c>
      <c r="E71" s="81" t="str">
        <f>ENTRY!C65</f>
        <v/>
      </c>
      <c r="F71" s="82" t="str">
        <f>ENTRY!D65</f>
        <v/>
      </c>
      <c r="G71" s="83" t="str">
        <f>ENTRY!E65</f>
        <v/>
      </c>
      <c r="H71" s="84">
        <f>G71*ENTRY!$O65</f>
        <v>0</v>
      </c>
      <c r="I71" s="84">
        <f>G71*ENTRY!$P65</f>
        <v>0</v>
      </c>
      <c r="J71" s="84">
        <f>G71*ENTRY!$Q65</f>
        <v>0</v>
      </c>
      <c r="K71" s="82">
        <f t="shared" si="2"/>
        <v>0</v>
      </c>
      <c r="L71" s="82" t="str">
        <f>ENTRY!F65</f>
        <v/>
      </c>
      <c r="M71" s="81" t="str">
        <f>ENTRY!G65</f>
        <v/>
      </c>
      <c r="N71" s="85" t="str">
        <f t="shared" si="3"/>
        <v/>
      </c>
      <c r="O71" s="86">
        <f t="shared" si="4"/>
        <v>0</v>
      </c>
      <c r="P71" s="86">
        <f t="shared" si="5"/>
        <v>0</v>
      </c>
      <c r="Q71" s="86">
        <f t="shared" si="6"/>
        <v>0</v>
      </c>
      <c r="R71" s="86">
        <f t="shared" si="7"/>
        <v>0</v>
      </c>
      <c r="S71" s="87" t="str">
        <f t="shared" ref="S71:V71" si="71">IFERROR(O71-Y71,"")
</f>
        <v/>
      </c>
      <c r="T71" s="87">
        <f t="shared" si="71"/>
        <v>0</v>
      </c>
      <c r="U71" s="87">
        <f t="shared" si="71"/>
        <v>0</v>
      </c>
      <c r="V71" s="87">
        <f t="shared" si="71"/>
        <v>0</v>
      </c>
      <c r="W71" s="88" t="str">
        <f t="shared" si="9"/>
        <v/>
      </c>
      <c r="X71" s="89">
        <f>IFERROR(S71/D71,"")</f>
        <v>0</v>
      </c>
      <c r="Y71" s="90" t="str">
        <f t="shared" si="10"/>
        <v>ERR</v>
      </c>
      <c r="Z71" s="90">
        <f>IF(H71=0,0,CAPITAL!$H$5*Y71)
</f>
        <v>0</v>
      </c>
      <c r="AA71" s="90">
        <f>IF(I71=0,0,CAPITAL!$H$6*Y71)
</f>
        <v>0</v>
      </c>
      <c r="AB71" s="90">
        <f>IF(J71=0,0,CAPITAL!$H$7*Y71)
</f>
        <v>0</v>
      </c>
      <c r="AC71" s="90"/>
    </row>
    <row r="72">
      <c r="A72" s="77" t="s">
        <v>29</v>
      </c>
      <c r="B72" s="101">
        <v>64.0</v>
      </c>
      <c r="C72" s="18" t="str">
        <f>ENTRY!B66</f>
        <v>SILVERBEES</v>
      </c>
      <c r="D72" s="93">
        <f>CAPITAL!$C$2</f>
        <v>3350000</v>
      </c>
      <c r="E72" s="94" t="str">
        <f>ENTRY!C66</f>
        <v/>
      </c>
      <c r="F72" s="95" t="str">
        <f>ENTRY!D66</f>
        <v/>
      </c>
      <c r="G72" s="96" t="str">
        <f>ENTRY!E66</f>
        <v/>
      </c>
      <c r="H72" s="97">
        <f>G72*ENTRY!$O66</f>
        <v>0</v>
      </c>
      <c r="I72" s="97">
        <f>G72*ENTRY!$P66</f>
        <v>0</v>
      </c>
      <c r="J72" s="97">
        <f>G72*ENTRY!$Q66</f>
        <v>0</v>
      </c>
      <c r="K72" s="95">
        <f t="shared" si="2"/>
        <v>0</v>
      </c>
      <c r="L72" s="95" t="str">
        <f>ENTRY!F66</f>
        <v/>
      </c>
      <c r="M72" s="94" t="str">
        <f>ENTRY!G66</f>
        <v/>
      </c>
      <c r="N72" s="98" t="str">
        <f t="shared" si="3"/>
        <v/>
      </c>
      <c r="O72" s="99">
        <f t="shared" si="4"/>
        <v>0</v>
      </c>
      <c r="P72" s="99">
        <f t="shared" si="5"/>
        <v>0</v>
      </c>
      <c r="Q72" s="99">
        <f t="shared" si="6"/>
        <v>0</v>
      </c>
      <c r="R72" s="99">
        <f t="shared" si="7"/>
        <v>0</v>
      </c>
      <c r="S72" s="100" t="str">
        <f t="shared" ref="S72:V72" si="72">IFERROR(O72-Y72,"")
</f>
        <v/>
      </c>
      <c r="T72" s="100">
        <f t="shared" si="72"/>
        <v>0</v>
      </c>
      <c r="U72" s="100">
        <f t="shared" si="72"/>
        <v>0</v>
      </c>
      <c r="V72" s="100">
        <f t="shared" si="72"/>
        <v>0</v>
      </c>
      <c r="W72" s="88" t="str">
        <f t="shared" si="9"/>
        <v/>
      </c>
      <c r="X72" s="89">
        <f>S72/D72</f>
        <v>0</v>
      </c>
      <c r="Y72" s="90" t="str">
        <f t="shared" si="10"/>
        <v>ERR</v>
      </c>
      <c r="Z72" s="90">
        <f>IF(H72=0,0,CAPITAL!$H$5*Y72)
</f>
        <v>0</v>
      </c>
      <c r="AA72" s="90">
        <f>IF(I72=0,0,CAPITAL!$H$6*Y72)
</f>
        <v>0</v>
      </c>
      <c r="AB72" s="90">
        <f>IF(J72=0,0,CAPITAL!$H$7*Y72)
</f>
        <v>0</v>
      </c>
      <c r="AC72" s="90"/>
    </row>
    <row r="73" ht="19.5" customHeight="1">
      <c r="A73" s="77" t="s">
        <v>118</v>
      </c>
      <c r="B73" s="101">
        <v>65.0</v>
      </c>
      <c r="C73" s="79" t="str">
        <f>ENTRY!B67</f>
        <v>SILVERBEES</v>
      </c>
      <c r="D73" s="80">
        <f>CAPITAL!$C$2</f>
        <v>3350000</v>
      </c>
      <c r="E73" s="81" t="str">
        <f>ENTRY!C67</f>
        <v/>
      </c>
      <c r="F73" s="82" t="str">
        <f>ENTRY!D67</f>
        <v/>
      </c>
      <c r="G73" s="83" t="str">
        <f>ENTRY!E67</f>
        <v/>
      </c>
      <c r="H73" s="84">
        <f>G73*ENTRY!$O67</f>
        <v>0</v>
      </c>
      <c r="I73" s="84">
        <f>G73*ENTRY!$P67</f>
        <v>0</v>
      </c>
      <c r="J73" s="84">
        <f>G73*ENTRY!$Q67</f>
        <v>0</v>
      </c>
      <c r="K73" s="82">
        <f t="shared" si="2"/>
        <v>0</v>
      </c>
      <c r="L73" s="82" t="str">
        <f>ENTRY!F67</f>
        <v/>
      </c>
      <c r="M73" s="81" t="str">
        <f>ENTRY!G67</f>
        <v/>
      </c>
      <c r="N73" s="85" t="str">
        <f t="shared" si="3"/>
        <v/>
      </c>
      <c r="O73" s="86">
        <f t="shared" si="4"/>
        <v>0</v>
      </c>
      <c r="P73" s="86">
        <f t="shared" si="5"/>
        <v>0</v>
      </c>
      <c r="Q73" s="86">
        <f t="shared" si="6"/>
        <v>0</v>
      </c>
      <c r="R73" s="86">
        <f t="shared" si="7"/>
        <v>0</v>
      </c>
      <c r="S73" s="87" t="str">
        <f t="shared" ref="S73:V73" si="73">IFERROR(O73-Y73,"")
</f>
        <v/>
      </c>
      <c r="T73" s="87">
        <f t="shared" si="73"/>
        <v>0</v>
      </c>
      <c r="U73" s="87">
        <f t="shared" si="73"/>
        <v>0</v>
      </c>
      <c r="V73" s="87">
        <f t="shared" si="73"/>
        <v>0</v>
      </c>
      <c r="W73" s="88" t="str">
        <f t="shared" si="9"/>
        <v/>
      </c>
      <c r="X73" s="89">
        <f>IFERROR(S73/D73,"")</f>
        <v>0</v>
      </c>
      <c r="Y73" s="90" t="str">
        <f t="shared" si="10"/>
        <v>ERR</v>
      </c>
      <c r="Z73" s="90">
        <f>IF(H73=0,0,CAPITAL!$H$5*Y73)
</f>
        <v>0</v>
      </c>
      <c r="AA73" s="90">
        <f>IF(I73=0,0,CAPITAL!$H$6*Y73)
</f>
        <v>0</v>
      </c>
      <c r="AB73" s="90">
        <f>IF(J73=0,0,CAPITAL!$H$7*Y73)
</f>
        <v>0</v>
      </c>
      <c r="AC73" s="90"/>
    </row>
    <row r="74">
      <c r="A74" s="77" t="s">
        <v>119</v>
      </c>
      <c r="B74" s="101">
        <v>66.0</v>
      </c>
      <c r="C74" s="18" t="str">
        <f>ENTRY!B68</f>
        <v>SILVERBEES</v>
      </c>
      <c r="D74" s="93">
        <f>CAPITAL!$C$2</f>
        <v>3350000</v>
      </c>
      <c r="E74" s="94" t="str">
        <f>ENTRY!C68</f>
        <v/>
      </c>
      <c r="F74" s="95" t="str">
        <f>ENTRY!D68</f>
        <v/>
      </c>
      <c r="G74" s="96" t="str">
        <f>ENTRY!E68</f>
        <v/>
      </c>
      <c r="H74" s="97">
        <f>G74*ENTRY!$O68</f>
        <v>0</v>
      </c>
      <c r="I74" s="97">
        <f>G74*ENTRY!$P68</f>
        <v>0</v>
      </c>
      <c r="J74" s="97">
        <f>G74*ENTRY!$Q68</f>
        <v>0</v>
      </c>
      <c r="K74" s="95">
        <f t="shared" si="2"/>
        <v>0</v>
      </c>
      <c r="L74" s="95" t="str">
        <f>ENTRY!F68</f>
        <v/>
      </c>
      <c r="M74" s="94" t="str">
        <f>ENTRY!G68</f>
        <v/>
      </c>
      <c r="N74" s="98" t="str">
        <f t="shared" si="3"/>
        <v/>
      </c>
      <c r="O74" s="99">
        <f t="shared" si="4"/>
        <v>0</v>
      </c>
      <c r="P74" s="99">
        <f t="shared" si="5"/>
        <v>0</v>
      </c>
      <c r="Q74" s="99">
        <f t="shared" si="6"/>
        <v>0</v>
      </c>
      <c r="R74" s="99">
        <f t="shared" si="7"/>
        <v>0</v>
      </c>
      <c r="S74" s="100" t="str">
        <f t="shared" ref="S74:V74" si="74">IFERROR(O74-Y74,"")
</f>
        <v/>
      </c>
      <c r="T74" s="100">
        <f t="shared" si="74"/>
        <v>0</v>
      </c>
      <c r="U74" s="100">
        <f t="shared" si="74"/>
        <v>0</v>
      </c>
      <c r="V74" s="100">
        <f t="shared" si="74"/>
        <v>0</v>
      </c>
      <c r="W74" s="88" t="str">
        <f t="shared" si="9"/>
        <v/>
      </c>
      <c r="X74" s="89">
        <f>S74/D74</f>
        <v>0</v>
      </c>
      <c r="Y74" s="90" t="str">
        <f t="shared" si="10"/>
        <v>ERR</v>
      </c>
      <c r="Z74" s="90">
        <f>IF(H74=0,0,CAPITAL!$H$5*Y74)
</f>
        <v>0</v>
      </c>
      <c r="AA74" s="90">
        <f>IF(I74=0,0,CAPITAL!$H$6*Y74)
</f>
        <v>0</v>
      </c>
      <c r="AB74" s="90">
        <f>IF(J74=0,0,CAPITAL!$H$7*Y74)
</f>
        <v>0</v>
      </c>
      <c r="AC74" s="90"/>
    </row>
    <row r="75">
      <c r="A75" s="77" t="s">
        <v>99</v>
      </c>
      <c r="B75" s="101">
        <v>67.0</v>
      </c>
      <c r="C75" s="79" t="str">
        <f>ENTRY!B69</f>
        <v>SILVERBEES</v>
      </c>
      <c r="D75" s="80">
        <f>CAPITAL!$C$2</f>
        <v>3350000</v>
      </c>
      <c r="E75" s="81" t="str">
        <f>ENTRY!C69</f>
        <v/>
      </c>
      <c r="F75" s="82" t="str">
        <f>ENTRY!D69</f>
        <v/>
      </c>
      <c r="G75" s="83" t="str">
        <f>ENTRY!E69</f>
        <v/>
      </c>
      <c r="H75" s="84">
        <f>G75*ENTRY!$O69</f>
        <v>0</v>
      </c>
      <c r="I75" s="84">
        <f>G75*ENTRY!$P69</f>
        <v>0</v>
      </c>
      <c r="J75" s="84">
        <f>G75*ENTRY!$Q69</f>
        <v>0</v>
      </c>
      <c r="K75" s="82">
        <f t="shared" si="2"/>
        <v>0</v>
      </c>
      <c r="L75" s="82" t="str">
        <f>ENTRY!F69</f>
        <v/>
      </c>
      <c r="M75" s="81" t="str">
        <f>ENTRY!G69</f>
        <v/>
      </c>
      <c r="N75" s="85" t="str">
        <f t="shared" si="3"/>
        <v/>
      </c>
      <c r="O75" s="86">
        <f t="shared" si="4"/>
        <v>0</v>
      </c>
      <c r="P75" s="86">
        <f t="shared" si="5"/>
        <v>0</v>
      </c>
      <c r="Q75" s="86">
        <f t="shared" si="6"/>
        <v>0</v>
      </c>
      <c r="R75" s="86">
        <f t="shared" si="7"/>
        <v>0</v>
      </c>
      <c r="S75" s="87" t="str">
        <f t="shared" ref="S75:V75" si="75">IFERROR(O75-Y75,"")
</f>
        <v/>
      </c>
      <c r="T75" s="87">
        <f t="shared" si="75"/>
        <v>0</v>
      </c>
      <c r="U75" s="87">
        <f t="shared" si="75"/>
        <v>0</v>
      </c>
      <c r="V75" s="87">
        <f t="shared" si="75"/>
        <v>0</v>
      </c>
      <c r="W75" s="88" t="str">
        <f t="shared" si="9"/>
        <v/>
      </c>
      <c r="X75" s="89">
        <f>IFERROR(S75/D75,"")</f>
        <v>0</v>
      </c>
      <c r="Y75" s="90" t="str">
        <f t="shared" si="10"/>
        <v>ERR</v>
      </c>
      <c r="Z75" s="90">
        <f>IF(H75=0,0,CAPITAL!$H$5*Y75)
</f>
        <v>0</v>
      </c>
      <c r="AA75" s="90">
        <f>IF(I75=0,0,CAPITAL!$H$6*Y75)
</f>
        <v>0</v>
      </c>
      <c r="AB75" s="90">
        <f>IF(J75=0,0,CAPITAL!$H$7*Y75)
</f>
        <v>0</v>
      </c>
      <c r="AC75" s="90"/>
    </row>
    <row r="76">
      <c r="A76" s="77" t="s">
        <v>31</v>
      </c>
      <c r="B76" s="101">
        <v>68.0</v>
      </c>
      <c r="C76" s="18" t="str">
        <f>ENTRY!B70</f>
        <v>SILVERBEES</v>
      </c>
      <c r="D76" s="93">
        <f>CAPITAL!$C$2</f>
        <v>3350000</v>
      </c>
      <c r="E76" s="94" t="str">
        <f>ENTRY!C70</f>
        <v/>
      </c>
      <c r="F76" s="95" t="str">
        <f>ENTRY!D70</f>
        <v/>
      </c>
      <c r="G76" s="96" t="str">
        <f>ENTRY!E70</f>
        <v/>
      </c>
      <c r="H76" s="97">
        <f>G76*ENTRY!$O70</f>
        <v>0</v>
      </c>
      <c r="I76" s="97">
        <f>G76*ENTRY!$P70</f>
        <v>0</v>
      </c>
      <c r="J76" s="97">
        <f>G76*ENTRY!$Q70</f>
        <v>0</v>
      </c>
      <c r="K76" s="95">
        <f t="shared" si="2"/>
        <v>0</v>
      </c>
      <c r="L76" s="95" t="str">
        <f>ENTRY!F70</f>
        <v/>
      </c>
      <c r="M76" s="94" t="str">
        <f>ENTRY!G70</f>
        <v/>
      </c>
      <c r="N76" s="98" t="str">
        <f t="shared" si="3"/>
        <v/>
      </c>
      <c r="O76" s="99">
        <f t="shared" si="4"/>
        <v>0</v>
      </c>
      <c r="P76" s="99">
        <f t="shared" si="5"/>
        <v>0</v>
      </c>
      <c r="Q76" s="99">
        <f t="shared" si="6"/>
        <v>0</v>
      </c>
      <c r="R76" s="99">
        <f t="shared" si="7"/>
        <v>0</v>
      </c>
      <c r="S76" s="100" t="str">
        <f t="shared" ref="S76:V76" si="76">IFERROR(O76-Y76,"")
</f>
        <v/>
      </c>
      <c r="T76" s="100">
        <f t="shared" si="76"/>
        <v>0</v>
      </c>
      <c r="U76" s="100">
        <f t="shared" si="76"/>
        <v>0</v>
      </c>
      <c r="V76" s="100">
        <f t="shared" si="76"/>
        <v>0</v>
      </c>
      <c r="W76" s="88" t="str">
        <f t="shared" si="9"/>
        <v/>
      </c>
      <c r="X76" s="89">
        <f>S76/D76</f>
        <v>0</v>
      </c>
      <c r="Y76" s="90" t="str">
        <f t="shared" si="10"/>
        <v>ERR</v>
      </c>
      <c r="Z76" s="90">
        <f>IF(H76=0,0,CAPITAL!$H$5*Y76)
</f>
        <v>0</v>
      </c>
      <c r="AA76" s="90">
        <f>IF(I76=0,0,CAPITAL!$H$6*Y76)
</f>
        <v>0</v>
      </c>
      <c r="AB76" s="90">
        <f>IF(J76=0,0,CAPITAL!$H$7*Y76)
</f>
        <v>0</v>
      </c>
      <c r="AC76" s="90"/>
    </row>
    <row r="77">
      <c r="A77" s="77" t="s">
        <v>120</v>
      </c>
      <c r="B77" s="101">
        <v>69.0</v>
      </c>
      <c r="C77" s="79" t="str">
        <f>ENTRY!B71</f>
        <v>SILVERBEES</v>
      </c>
      <c r="D77" s="80">
        <f>CAPITAL!$C$2</f>
        <v>3350000</v>
      </c>
      <c r="E77" s="81" t="str">
        <f>ENTRY!C71</f>
        <v/>
      </c>
      <c r="F77" s="82" t="str">
        <f>ENTRY!D71</f>
        <v/>
      </c>
      <c r="G77" s="83" t="str">
        <f>ENTRY!E71</f>
        <v/>
      </c>
      <c r="H77" s="84">
        <f>G77*ENTRY!$O71</f>
        <v>0</v>
      </c>
      <c r="I77" s="84">
        <f>G77*ENTRY!$P71</f>
        <v>0</v>
      </c>
      <c r="J77" s="84">
        <f>G77*ENTRY!$Q71</f>
        <v>0</v>
      </c>
      <c r="K77" s="82">
        <f t="shared" si="2"/>
        <v>0</v>
      </c>
      <c r="L77" s="82" t="str">
        <f>ENTRY!F71</f>
        <v/>
      </c>
      <c r="M77" s="81" t="str">
        <f>ENTRY!G71</f>
        <v/>
      </c>
      <c r="N77" s="85" t="str">
        <f t="shared" si="3"/>
        <v/>
      </c>
      <c r="O77" s="86">
        <f t="shared" si="4"/>
        <v>0</v>
      </c>
      <c r="P77" s="86">
        <f t="shared" si="5"/>
        <v>0</v>
      </c>
      <c r="Q77" s="86">
        <f t="shared" si="6"/>
        <v>0</v>
      </c>
      <c r="R77" s="86">
        <f t="shared" si="7"/>
        <v>0</v>
      </c>
      <c r="S77" s="87" t="str">
        <f t="shared" ref="S77:V77" si="77">IFERROR(O77-Y77,"")
</f>
        <v/>
      </c>
      <c r="T77" s="87">
        <f t="shared" si="77"/>
        <v>0</v>
      </c>
      <c r="U77" s="87">
        <f t="shared" si="77"/>
        <v>0</v>
      </c>
      <c r="V77" s="87">
        <f t="shared" si="77"/>
        <v>0</v>
      </c>
      <c r="W77" s="88" t="str">
        <f t="shared" si="9"/>
        <v/>
      </c>
      <c r="X77" s="89">
        <f>IFERROR(S77/D77,"")</f>
        <v>0</v>
      </c>
      <c r="Y77" s="90" t="str">
        <f t="shared" si="10"/>
        <v>ERR</v>
      </c>
      <c r="Z77" s="90">
        <f>IF(H77=0,0,CAPITAL!$H$5*Y77)
</f>
        <v>0</v>
      </c>
      <c r="AA77" s="90">
        <f>IF(I77=0,0,CAPITAL!$H$6*Y77)
</f>
        <v>0</v>
      </c>
      <c r="AB77" s="90">
        <f>IF(J77=0,0,CAPITAL!$H$7*Y77)
</f>
        <v>0</v>
      </c>
      <c r="AC77" s="90"/>
    </row>
    <row r="78">
      <c r="A78" s="77" t="s">
        <v>90</v>
      </c>
      <c r="B78" s="101">
        <v>70.0</v>
      </c>
      <c r="C78" s="18" t="str">
        <f>ENTRY!B72</f>
        <v>SILVERBEES</v>
      </c>
      <c r="D78" s="93">
        <f>CAPITAL!$C$2</f>
        <v>3350000</v>
      </c>
      <c r="E78" s="94" t="str">
        <f>ENTRY!C72</f>
        <v/>
      </c>
      <c r="F78" s="95" t="str">
        <f>ENTRY!D72</f>
        <v/>
      </c>
      <c r="G78" s="96" t="str">
        <f>ENTRY!E72</f>
        <v/>
      </c>
      <c r="H78" s="97">
        <f>G78*ENTRY!$O72</f>
        <v>0</v>
      </c>
      <c r="I78" s="97">
        <f>G78*ENTRY!$P72</f>
        <v>0</v>
      </c>
      <c r="J78" s="97">
        <f>G78*ENTRY!$Q72</f>
        <v>0</v>
      </c>
      <c r="K78" s="95">
        <f t="shared" si="2"/>
        <v>0</v>
      </c>
      <c r="L78" s="95" t="str">
        <f>ENTRY!F72</f>
        <v/>
      </c>
      <c r="M78" s="94" t="str">
        <f>ENTRY!G72</f>
        <v/>
      </c>
      <c r="N78" s="98" t="str">
        <f t="shared" si="3"/>
        <v/>
      </c>
      <c r="O78" s="99">
        <f t="shared" si="4"/>
        <v>0</v>
      </c>
      <c r="P78" s="99">
        <f t="shared" si="5"/>
        <v>0</v>
      </c>
      <c r="Q78" s="99">
        <f t="shared" si="6"/>
        <v>0</v>
      </c>
      <c r="R78" s="99">
        <f t="shared" si="7"/>
        <v>0</v>
      </c>
      <c r="S78" s="100" t="str">
        <f t="shared" ref="S78:V78" si="78">IFERROR(O78-Y78,"")
</f>
        <v/>
      </c>
      <c r="T78" s="100">
        <f t="shared" si="78"/>
        <v>0</v>
      </c>
      <c r="U78" s="100">
        <f t="shared" si="78"/>
        <v>0</v>
      </c>
      <c r="V78" s="100">
        <f t="shared" si="78"/>
        <v>0</v>
      </c>
      <c r="W78" s="88" t="str">
        <f t="shared" si="9"/>
        <v/>
      </c>
      <c r="X78" s="89">
        <f>S78/D78</f>
        <v>0</v>
      </c>
      <c r="Y78" s="90" t="str">
        <f t="shared" si="10"/>
        <v>ERR</v>
      </c>
      <c r="Z78" s="90">
        <f>IF(H78=0,0,CAPITAL!$H$5*Y78)
</f>
        <v>0</v>
      </c>
      <c r="AA78" s="90">
        <f>IF(I78=0,0,CAPITAL!$H$6*Y78)
</f>
        <v>0</v>
      </c>
      <c r="AB78" s="90">
        <f>IF(J78=0,0,CAPITAL!$H$7*Y78)
</f>
        <v>0</v>
      </c>
      <c r="AC78" s="90"/>
    </row>
    <row r="79">
      <c r="A79" s="77" t="s">
        <v>85</v>
      </c>
      <c r="B79" s="101">
        <v>71.0</v>
      </c>
      <c r="C79" s="79" t="str">
        <f>ENTRY!B73</f>
        <v>SILVERBEES</v>
      </c>
      <c r="D79" s="80">
        <f>CAPITAL!$C$2</f>
        <v>3350000</v>
      </c>
      <c r="E79" s="81" t="str">
        <f>ENTRY!C73</f>
        <v/>
      </c>
      <c r="F79" s="82" t="str">
        <f>ENTRY!D73</f>
        <v/>
      </c>
      <c r="G79" s="83" t="str">
        <f>ENTRY!E73</f>
        <v/>
      </c>
      <c r="H79" s="84">
        <f>G79*ENTRY!$O73</f>
        <v>0</v>
      </c>
      <c r="I79" s="84">
        <f>G79*ENTRY!$P73</f>
        <v>0</v>
      </c>
      <c r="J79" s="84">
        <f>G79*ENTRY!$Q73</f>
        <v>0</v>
      </c>
      <c r="K79" s="82">
        <f t="shared" si="2"/>
        <v>0</v>
      </c>
      <c r="L79" s="82" t="str">
        <f>ENTRY!F73</f>
        <v/>
      </c>
      <c r="M79" s="81" t="str">
        <f>ENTRY!G73</f>
        <v/>
      </c>
      <c r="N79" s="85" t="str">
        <f t="shared" si="3"/>
        <v/>
      </c>
      <c r="O79" s="86">
        <f t="shared" si="4"/>
        <v>0</v>
      </c>
      <c r="P79" s="86">
        <f t="shared" si="5"/>
        <v>0</v>
      </c>
      <c r="Q79" s="86">
        <f t="shared" si="6"/>
        <v>0</v>
      </c>
      <c r="R79" s="86">
        <f t="shared" si="7"/>
        <v>0</v>
      </c>
      <c r="S79" s="87" t="str">
        <f t="shared" ref="S79:V79" si="79">IFERROR(O79-Y79,"")
</f>
        <v/>
      </c>
      <c r="T79" s="87">
        <f t="shared" si="79"/>
        <v>0</v>
      </c>
      <c r="U79" s="87">
        <f t="shared" si="79"/>
        <v>0</v>
      </c>
      <c r="V79" s="87">
        <f t="shared" si="79"/>
        <v>0</v>
      </c>
      <c r="W79" s="88" t="str">
        <f t="shared" si="9"/>
        <v/>
      </c>
      <c r="X79" s="89">
        <f>IFERROR(S79/D79,"")</f>
        <v>0</v>
      </c>
      <c r="Y79" s="90" t="str">
        <f t="shared" si="10"/>
        <v>ERR</v>
      </c>
      <c r="Z79" s="90">
        <f>IF(H79=0,0,CAPITAL!$H$5*Y79)
</f>
        <v>0</v>
      </c>
      <c r="AA79" s="90">
        <f>IF(I79=0,0,CAPITAL!$H$6*Y79)
</f>
        <v>0</v>
      </c>
      <c r="AB79" s="90">
        <f>IF(J79=0,0,CAPITAL!$H$7*Y79)
</f>
        <v>0</v>
      </c>
      <c r="AC79" s="90"/>
    </row>
    <row r="80">
      <c r="A80" s="77" t="s">
        <v>121</v>
      </c>
      <c r="B80" s="101">
        <v>72.0</v>
      </c>
      <c r="C80" s="18" t="str">
        <f>ENTRY!B74</f>
        <v>SILVERBEES</v>
      </c>
      <c r="D80" s="93">
        <f>CAPITAL!$C$2</f>
        <v>3350000</v>
      </c>
      <c r="E80" s="94" t="str">
        <f>ENTRY!C74</f>
        <v/>
      </c>
      <c r="F80" s="95" t="str">
        <f>ENTRY!D74</f>
        <v/>
      </c>
      <c r="G80" s="96" t="str">
        <f>ENTRY!E74</f>
        <v/>
      </c>
      <c r="H80" s="97">
        <f>G80*ENTRY!$O74</f>
        <v>0</v>
      </c>
      <c r="I80" s="97">
        <f>G80*ENTRY!$P74</f>
        <v>0</v>
      </c>
      <c r="J80" s="97">
        <f>G80*ENTRY!$Q74</f>
        <v>0</v>
      </c>
      <c r="K80" s="95">
        <f t="shared" si="2"/>
        <v>0</v>
      </c>
      <c r="L80" s="95" t="str">
        <f>ENTRY!F74</f>
        <v/>
      </c>
      <c r="M80" s="94" t="str">
        <f>ENTRY!G74</f>
        <v/>
      </c>
      <c r="N80" s="98" t="str">
        <f t="shared" si="3"/>
        <v/>
      </c>
      <c r="O80" s="99">
        <f t="shared" si="4"/>
        <v>0</v>
      </c>
      <c r="P80" s="99">
        <f t="shared" si="5"/>
        <v>0</v>
      </c>
      <c r="Q80" s="99">
        <f t="shared" si="6"/>
        <v>0</v>
      </c>
      <c r="R80" s="99">
        <f t="shared" si="7"/>
        <v>0</v>
      </c>
      <c r="S80" s="100" t="str">
        <f t="shared" ref="S80:V80" si="80">IFERROR(O80-Y80,"")
</f>
        <v/>
      </c>
      <c r="T80" s="100">
        <f t="shared" si="80"/>
        <v>0</v>
      </c>
      <c r="U80" s="100">
        <f t="shared" si="80"/>
        <v>0</v>
      </c>
      <c r="V80" s="100">
        <f t="shared" si="80"/>
        <v>0</v>
      </c>
      <c r="W80" s="88" t="str">
        <f t="shared" si="9"/>
        <v/>
      </c>
      <c r="X80" s="89">
        <f>S80/D80</f>
        <v>0</v>
      </c>
      <c r="Y80" s="90" t="str">
        <f t="shared" si="10"/>
        <v>ERR</v>
      </c>
      <c r="Z80" s="90">
        <f>IF(H80=0,0,CAPITAL!$H$5*Y80)
</f>
        <v>0</v>
      </c>
      <c r="AA80" s="90">
        <f>IF(I80=0,0,CAPITAL!$H$6*Y80)
</f>
        <v>0</v>
      </c>
      <c r="AB80" s="90">
        <f>IF(J80=0,0,CAPITAL!$H$7*Y80)
</f>
        <v>0</v>
      </c>
      <c r="AC80" s="90"/>
    </row>
    <row r="81">
      <c r="A81" s="77" t="s">
        <v>29</v>
      </c>
      <c r="B81" s="101">
        <v>73.0</v>
      </c>
      <c r="C81" s="79" t="str">
        <f>ENTRY!B75</f>
        <v>SILVERBEES</v>
      </c>
      <c r="D81" s="80">
        <f>CAPITAL!$C$2</f>
        <v>3350000</v>
      </c>
      <c r="E81" s="81" t="str">
        <f>ENTRY!C75</f>
        <v/>
      </c>
      <c r="F81" s="82" t="str">
        <f>ENTRY!D75</f>
        <v/>
      </c>
      <c r="G81" s="83" t="str">
        <f>ENTRY!E75</f>
        <v/>
      </c>
      <c r="H81" s="84">
        <f>G81*ENTRY!$O75</f>
        <v>0</v>
      </c>
      <c r="I81" s="84">
        <f>G81*ENTRY!$P75</f>
        <v>0</v>
      </c>
      <c r="J81" s="84">
        <f>G81*ENTRY!$Q75</f>
        <v>0</v>
      </c>
      <c r="K81" s="82">
        <f t="shared" si="2"/>
        <v>0</v>
      </c>
      <c r="L81" s="82" t="str">
        <f>ENTRY!F75</f>
        <v/>
      </c>
      <c r="M81" s="81" t="str">
        <f>ENTRY!G75</f>
        <v/>
      </c>
      <c r="N81" s="85" t="str">
        <f t="shared" si="3"/>
        <v/>
      </c>
      <c r="O81" s="86">
        <f t="shared" si="4"/>
        <v>0</v>
      </c>
      <c r="P81" s="86">
        <f t="shared" si="5"/>
        <v>0</v>
      </c>
      <c r="Q81" s="86">
        <f t="shared" si="6"/>
        <v>0</v>
      </c>
      <c r="R81" s="86">
        <f t="shared" si="7"/>
        <v>0</v>
      </c>
      <c r="S81" s="87" t="str">
        <f t="shared" ref="S81:V81" si="81">IFERROR(O81-Y81,"")
</f>
        <v/>
      </c>
      <c r="T81" s="87">
        <f t="shared" si="81"/>
        <v>0</v>
      </c>
      <c r="U81" s="87">
        <f t="shared" si="81"/>
        <v>0</v>
      </c>
      <c r="V81" s="87">
        <f t="shared" si="81"/>
        <v>0</v>
      </c>
      <c r="W81" s="88" t="str">
        <f t="shared" si="9"/>
        <v/>
      </c>
      <c r="X81" s="89">
        <f>IFERROR(S81/D81,"")</f>
        <v>0</v>
      </c>
      <c r="Y81" s="90" t="str">
        <f t="shared" si="10"/>
        <v>ERR</v>
      </c>
      <c r="Z81" s="90">
        <f>IF(H81=0,0,CAPITAL!$H$5*Y81)
</f>
        <v>0</v>
      </c>
      <c r="AA81" s="90">
        <f>IF(I81=0,0,CAPITAL!$H$6*Y81)
</f>
        <v>0</v>
      </c>
      <c r="AB81" s="90">
        <f>IF(J81=0,0,CAPITAL!$H$7*Y81)
</f>
        <v>0</v>
      </c>
      <c r="AC81" s="90"/>
    </row>
    <row r="82">
      <c r="A82" s="77" t="s">
        <v>122</v>
      </c>
      <c r="B82" s="101">
        <v>74.0</v>
      </c>
      <c r="C82" s="18" t="str">
        <f>ENTRY!B76</f>
        <v>SILVERBEES</v>
      </c>
      <c r="D82" s="93">
        <f>CAPITAL!$C$2</f>
        <v>3350000</v>
      </c>
      <c r="E82" s="94" t="str">
        <f>ENTRY!C76</f>
        <v/>
      </c>
      <c r="F82" s="95" t="str">
        <f>ENTRY!D76</f>
        <v/>
      </c>
      <c r="G82" s="96" t="str">
        <f>ENTRY!E76</f>
        <v/>
      </c>
      <c r="H82" s="97">
        <f>G82*ENTRY!$O76</f>
        <v>0</v>
      </c>
      <c r="I82" s="97">
        <f>G82*ENTRY!$P76</f>
        <v>0</v>
      </c>
      <c r="J82" s="97">
        <f>G82*ENTRY!$Q76</f>
        <v>0</v>
      </c>
      <c r="K82" s="95">
        <f t="shared" si="2"/>
        <v>0</v>
      </c>
      <c r="L82" s="95" t="str">
        <f>ENTRY!F76</f>
        <v/>
      </c>
      <c r="M82" s="94" t="str">
        <f>ENTRY!G76</f>
        <v/>
      </c>
      <c r="N82" s="98" t="str">
        <f t="shared" si="3"/>
        <v/>
      </c>
      <c r="O82" s="99">
        <f t="shared" si="4"/>
        <v>0</v>
      </c>
      <c r="P82" s="99">
        <f t="shared" si="5"/>
        <v>0</v>
      </c>
      <c r="Q82" s="99">
        <f t="shared" si="6"/>
        <v>0</v>
      </c>
      <c r="R82" s="99">
        <f t="shared" si="7"/>
        <v>0</v>
      </c>
      <c r="S82" s="100" t="str">
        <f t="shared" ref="S82:V82" si="82">IFERROR(O82-Y82,"")
</f>
        <v/>
      </c>
      <c r="T82" s="100">
        <f t="shared" si="82"/>
        <v>0</v>
      </c>
      <c r="U82" s="100">
        <f t="shared" si="82"/>
        <v>0</v>
      </c>
      <c r="V82" s="100">
        <f t="shared" si="82"/>
        <v>0</v>
      </c>
      <c r="W82" s="88" t="str">
        <f t="shared" si="9"/>
        <v/>
      </c>
      <c r="X82" s="89">
        <f>S82/D82</f>
        <v>0</v>
      </c>
      <c r="Y82" s="90" t="str">
        <f t="shared" si="10"/>
        <v>ERR</v>
      </c>
      <c r="Z82" s="90">
        <f>IF(H82=0,0,CAPITAL!$H$5*Y82)
</f>
        <v>0</v>
      </c>
      <c r="AA82" s="90">
        <f>IF(I82=0,0,CAPITAL!$H$6*Y82)
</f>
        <v>0</v>
      </c>
      <c r="AB82" s="90">
        <f>IF(J82=0,0,CAPITAL!$H$7*Y82)
</f>
        <v>0</v>
      </c>
      <c r="AC82" s="90"/>
    </row>
    <row r="83">
      <c r="A83" s="77" t="s">
        <v>109</v>
      </c>
      <c r="B83" s="101">
        <v>75.0</v>
      </c>
      <c r="C83" s="79" t="str">
        <f>ENTRY!B77</f>
        <v>SILVERBEES</v>
      </c>
      <c r="D83" s="80">
        <f>CAPITAL!$C$2</f>
        <v>3350000</v>
      </c>
      <c r="E83" s="81" t="str">
        <f>ENTRY!C77</f>
        <v/>
      </c>
      <c r="F83" s="82" t="str">
        <f>ENTRY!D77</f>
        <v/>
      </c>
      <c r="G83" s="83" t="str">
        <f>ENTRY!E77</f>
        <v/>
      </c>
      <c r="H83" s="84">
        <f>G83*ENTRY!$O77</f>
        <v>0</v>
      </c>
      <c r="I83" s="84">
        <f>G83*ENTRY!$P77</f>
        <v>0</v>
      </c>
      <c r="J83" s="84">
        <f>G83*ENTRY!$Q77</f>
        <v>0</v>
      </c>
      <c r="K83" s="82">
        <f t="shared" si="2"/>
        <v>0</v>
      </c>
      <c r="L83" s="82" t="str">
        <f>ENTRY!F77</f>
        <v/>
      </c>
      <c r="M83" s="81" t="str">
        <f>ENTRY!G77</f>
        <v/>
      </c>
      <c r="N83" s="85" t="str">
        <f t="shared" si="3"/>
        <v/>
      </c>
      <c r="O83" s="86">
        <f t="shared" si="4"/>
        <v>0</v>
      </c>
      <c r="P83" s="86">
        <f t="shared" si="5"/>
        <v>0</v>
      </c>
      <c r="Q83" s="86">
        <f t="shared" si="6"/>
        <v>0</v>
      </c>
      <c r="R83" s="86">
        <f t="shared" si="7"/>
        <v>0</v>
      </c>
      <c r="S83" s="87" t="str">
        <f t="shared" ref="S83:V83" si="83">IFERROR(O83-Y83,"")
</f>
        <v/>
      </c>
      <c r="T83" s="87">
        <f t="shared" si="83"/>
        <v>0</v>
      </c>
      <c r="U83" s="87">
        <f t="shared" si="83"/>
        <v>0</v>
      </c>
      <c r="V83" s="87">
        <f t="shared" si="83"/>
        <v>0</v>
      </c>
      <c r="W83" s="88" t="str">
        <f t="shared" si="9"/>
        <v/>
      </c>
      <c r="X83" s="89">
        <f>IFERROR(S83/D83,"")</f>
        <v>0</v>
      </c>
      <c r="Y83" s="90" t="str">
        <f t="shared" si="10"/>
        <v>ERR</v>
      </c>
      <c r="Z83" s="90">
        <f>IF(H83=0,0,CAPITAL!$H$5*Y83)
</f>
        <v>0</v>
      </c>
      <c r="AA83" s="90">
        <f>IF(I83=0,0,CAPITAL!$H$6*Y83)
</f>
        <v>0</v>
      </c>
      <c r="AB83" s="90">
        <f>IF(J83=0,0,CAPITAL!$H$7*Y83)
</f>
        <v>0</v>
      </c>
      <c r="AC83" s="90"/>
    </row>
    <row r="84">
      <c r="A84" s="77" t="s">
        <v>123</v>
      </c>
      <c r="B84" s="101">
        <v>76.0</v>
      </c>
      <c r="C84" s="18" t="str">
        <f>ENTRY!B78</f>
        <v>SILVERBEES</v>
      </c>
      <c r="D84" s="93">
        <f>CAPITAL!$C$2</f>
        <v>3350000</v>
      </c>
      <c r="E84" s="94" t="str">
        <f>ENTRY!C78</f>
        <v/>
      </c>
      <c r="F84" s="95" t="str">
        <f>ENTRY!D78</f>
        <v/>
      </c>
      <c r="G84" s="96" t="str">
        <f>ENTRY!E78</f>
        <v/>
      </c>
      <c r="H84" s="97">
        <f>G84*ENTRY!$O78</f>
        <v>0</v>
      </c>
      <c r="I84" s="97">
        <f>G84*ENTRY!$P78</f>
        <v>0</v>
      </c>
      <c r="J84" s="97">
        <f>G84*ENTRY!$Q78</f>
        <v>0</v>
      </c>
      <c r="K84" s="95">
        <f t="shared" si="2"/>
        <v>0</v>
      </c>
      <c r="L84" s="95" t="str">
        <f>ENTRY!F78</f>
        <v/>
      </c>
      <c r="M84" s="94" t="str">
        <f>ENTRY!G78</f>
        <v/>
      </c>
      <c r="N84" s="98" t="str">
        <f t="shared" si="3"/>
        <v/>
      </c>
      <c r="O84" s="99">
        <f t="shared" si="4"/>
        <v>0</v>
      </c>
      <c r="P84" s="99">
        <f t="shared" si="5"/>
        <v>0</v>
      </c>
      <c r="Q84" s="99">
        <f t="shared" si="6"/>
        <v>0</v>
      </c>
      <c r="R84" s="99">
        <f t="shared" si="7"/>
        <v>0</v>
      </c>
      <c r="S84" s="100" t="str">
        <f t="shared" ref="S84:V84" si="84">IFERROR(O84-Y84,"")
</f>
        <v/>
      </c>
      <c r="T84" s="100">
        <f t="shared" si="84"/>
        <v>0</v>
      </c>
      <c r="U84" s="100">
        <f t="shared" si="84"/>
        <v>0</v>
      </c>
      <c r="V84" s="100">
        <f t="shared" si="84"/>
        <v>0</v>
      </c>
      <c r="W84" s="88" t="str">
        <f t="shared" si="9"/>
        <v/>
      </c>
      <c r="X84" s="89">
        <f>S84/D84</f>
        <v>0</v>
      </c>
      <c r="Y84" s="90" t="str">
        <f t="shared" si="10"/>
        <v>ERR</v>
      </c>
      <c r="Z84" s="90">
        <f>IF(H84=0,0,CAPITAL!$H$5*Y84)
</f>
        <v>0</v>
      </c>
      <c r="AA84" s="90">
        <f>IF(I84=0,0,CAPITAL!$H$6*Y84)
</f>
        <v>0</v>
      </c>
      <c r="AB84" s="90">
        <f>IF(J84=0,0,CAPITAL!$H$7*Y84)
</f>
        <v>0</v>
      </c>
      <c r="AC84" s="90"/>
    </row>
    <row r="85" ht="19.5" customHeight="1">
      <c r="A85" s="77" t="s">
        <v>124</v>
      </c>
      <c r="B85" s="101">
        <v>77.0</v>
      </c>
      <c r="C85" s="79" t="str">
        <f>ENTRY!B79</f>
        <v>SILVERBEES</v>
      </c>
      <c r="D85" s="80">
        <f>CAPITAL!$C$2</f>
        <v>3350000</v>
      </c>
      <c r="E85" s="81" t="str">
        <f>ENTRY!C79</f>
        <v/>
      </c>
      <c r="F85" s="82" t="str">
        <f>ENTRY!D79</f>
        <v/>
      </c>
      <c r="G85" s="83" t="str">
        <f>ENTRY!E79</f>
        <v/>
      </c>
      <c r="H85" s="84">
        <f>G85*ENTRY!$O79</f>
        <v>0</v>
      </c>
      <c r="I85" s="84">
        <f>G85*ENTRY!$P79</f>
        <v>0</v>
      </c>
      <c r="J85" s="84">
        <f>G85*ENTRY!$Q79</f>
        <v>0</v>
      </c>
      <c r="K85" s="82">
        <f t="shared" si="2"/>
        <v>0</v>
      </c>
      <c r="L85" s="82" t="str">
        <f>ENTRY!F79</f>
        <v/>
      </c>
      <c r="M85" s="81" t="str">
        <f>ENTRY!G79</f>
        <v/>
      </c>
      <c r="N85" s="85" t="str">
        <f t="shared" si="3"/>
        <v/>
      </c>
      <c r="O85" s="86">
        <f t="shared" si="4"/>
        <v>0</v>
      </c>
      <c r="P85" s="86">
        <f t="shared" si="5"/>
        <v>0</v>
      </c>
      <c r="Q85" s="86">
        <f t="shared" si="6"/>
        <v>0</v>
      </c>
      <c r="R85" s="86">
        <f t="shared" si="7"/>
        <v>0</v>
      </c>
      <c r="S85" s="87" t="str">
        <f t="shared" ref="S85:V85" si="85">IFERROR(O85-Y85,"")
</f>
        <v/>
      </c>
      <c r="T85" s="87">
        <f t="shared" si="85"/>
        <v>0</v>
      </c>
      <c r="U85" s="87">
        <f t="shared" si="85"/>
        <v>0</v>
      </c>
      <c r="V85" s="87">
        <f t="shared" si="85"/>
        <v>0</v>
      </c>
      <c r="W85" s="88" t="str">
        <f t="shared" si="9"/>
        <v/>
      </c>
      <c r="X85" s="89">
        <f>IFERROR(S85/D85,"")</f>
        <v>0</v>
      </c>
      <c r="Y85" s="90" t="str">
        <f t="shared" si="10"/>
        <v>ERR</v>
      </c>
      <c r="Z85" s="90">
        <f>IF(H85=0,0,CAPITAL!$H$5*Y85)
</f>
        <v>0</v>
      </c>
      <c r="AA85" s="90">
        <f>IF(I85=0,0,CAPITAL!$H$6*Y85)
</f>
        <v>0</v>
      </c>
      <c r="AB85" s="90">
        <f>IF(J85=0,0,CAPITAL!$H$7*Y85)
</f>
        <v>0</v>
      </c>
      <c r="AC85" s="90"/>
    </row>
    <row r="86">
      <c r="A86" s="77" t="s">
        <v>92</v>
      </c>
      <c r="B86" s="101">
        <v>79.0</v>
      </c>
      <c r="C86" s="18" t="str">
        <f>ENTRY!B80</f>
        <v>SILVERBEES</v>
      </c>
      <c r="D86" s="93">
        <f>CAPITAL!$C$2</f>
        <v>3350000</v>
      </c>
      <c r="E86" s="94" t="str">
        <f>ENTRY!C80</f>
        <v/>
      </c>
      <c r="F86" s="95" t="str">
        <f>ENTRY!D80</f>
        <v/>
      </c>
      <c r="G86" s="96" t="str">
        <f>ENTRY!E80</f>
        <v/>
      </c>
      <c r="H86" s="97">
        <f>G86*ENTRY!$O80</f>
        <v>0</v>
      </c>
      <c r="I86" s="97">
        <f>G86*ENTRY!$P80</f>
        <v>0</v>
      </c>
      <c r="J86" s="97">
        <f>G86*ENTRY!$Q80</f>
        <v>0</v>
      </c>
      <c r="K86" s="95">
        <f t="shared" si="2"/>
        <v>0</v>
      </c>
      <c r="L86" s="95" t="str">
        <f>ENTRY!F80</f>
        <v/>
      </c>
      <c r="M86" s="94" t="str">
        <f>ENTRY!G80</f>
        <v/>
      </c>
      <c r="N86" s="98" t="str">
        <f t="shared" si="3"/>
        <v/>
      </c>
      <c r="O86" s="99">
        <f t="shared" si="4"/>
        <v>0</v>
      </c>
      <c r="P86" s="99">
        <f t="shared" si="5"/>
        <v>0</v>
      </c>
      <c r="Q86" s="99">
        <f t="shared" si="6"/>
        <v>0</v>
      </c>
      <c r="R86" s="99">
        <f t="shared" si="7"/>
        <v>0</v>
      </c>
      <c r="S86" s="100" t="str">
        <f t="shared" ref="S86:V86" si="86">IFERROR(O86-Y86,"")
</f>
        <v/>
      </c>
      <c r="T86" s="100">
        <f t="shared" si="86"/>
        <v>0</v>
      </c>
      <c r="U86" s="100">
        <f t="shared" si="86"/>
        <v>0</v>
      </c>
      <c r="V86" s="100">
        <f t="shared" si="86"/>
        <v>0</v>
      </c>
      <c r="W86" s="88" t="str">
        <f t="shared" si="9"/>
        <v/>
      </c>
      <c r="X86" s="89">
        <f>S86/D86</f>
        <v>0</v>
      </c>
      <c r="Y86" s="90" t="str">
        <f t="shared" si="10"/>
        <v>ERR</v>
      </c>
      <c r="Z86" s="90">
        <f>IF(H86=0,0,CAPITAL!$H$5*Y86)
</f>
        <v>0</v>
      </c>
      <c r="AA86" s="90">
        <f>IF(I86=0,0,CAPITAL!$H$6*Y86)
</f>
        <v>0</v>
      </c>
      <c r="AB86" s="90">
        <f>IF(J86=0,0,CAPITAL!$H$7*Y86)
</f>
        <v>0</v>
      </c>
      <c r="AC86" s="90"/>
    </row>
    <row r="87">
      <c r="A87" s="77" t="s">
        <v>92</v>
      </c>
      <c r="B87" s="101">
        <v>80.0</v>
      </c>
      <c r="C87" s="79" t="str">
        <f>ENTRY!B81</f>
        <v>SILVERBEES</v>
      </c>
      <c r="D87" s="80">
        <f>CAPITAL!$C$2</f>
        <v>3350000</v>
      </c>
      <c r="E87" s="81" t="str">
        <f>ENTRY!C81</f>
        <v/>
      </c>
      <c r="F87" s="82" t="str">
        <f>ENTRY!D81</f>
        <v/>
      </c>
      <c r="G87" s="83" t="str">
        <f>ENTRY!E81</f>
        <v/>
      </c>
      <c r="H87" s="84">
        <f>G87*ENTRY!$O81</f>
        <v>0</v>
      </c>
      <c r="I87" s="84">
        <f>G87*ENTRY!$P81</f>
        <v>0</v>
      </c>
      <c r="J87" s="84">
        <f>G87*ENTRY!$Q81</f>
        <v>0</v>
      </c>
      <c r="K87" s="82">
        <f t="shared" si="2"/>
        <v>0</v>
      </c>
      <c r="L87" s="82" t="str">
        <f>ENTRY!F81</f>
        <v/>
      </c>
      <c r="M87" s="81" t="str">
        <f>ENTRY!G81</f>
        <v/>
      </c>
      <c r="N87" s="85" t="str">
        <f t="shared" si="3"/>
        <v/>
      </c>
      <c r="O87" s="86">
        <f t="shared" si="4"/>
        <v>0</v>
      </c>
      <c r="P87" s="86">
        <f t="shared" si="5"/>
        <v>0</v>
      </c>
      <c r="Q87" s="86">
        <f t="shared" si="6"/>
        <v>0</v>
      </c>
      <c r="R87" s="86">
        <f t="shared" si="7"/>
        <v>0</v>
      </c>
      <c r="S87" s="87" t="str">
        <f t="shared" ref="S87:V87" si="87">IFERROR(O87-Y87,"")
</f>
        <v/>
      </c>
      <c r="T87" s="87">
        <f t="shared" si="87"/>
        <v>0</v>
      </c>
      <c r="U87" s="87">
        <f t="shared" si="87"/>
        <v>0</v>
      </c>
      <c r="V87" s="87">
        <f t="shared" si="87"/>
        <v>0</v>
      </c>
      <c r="W87" s="88" t="str">
        <f t="shared" si="9"/>
        <v/>
      </c>
      <c r="X87" s="89">
        <f>IFERROR(S87/D87,"")</f>
        <v>0</v>
      </c>
      <c r="Y87" s="90" t="str">
        <f t="shared" si="10"/>
        <v>ERR</v>
      </c>
      <c r="Z87" s="90">
        <f>IF(H87=0,0,CAPITAL!$H$5*Y87)
</f>
        <v>0</v>
      </c>
      <c r="AA87" s="90">
        <f>IF(I87=0,0,CAPITAL!$H$6*Y87)
</f>
        <v>0</v>
      </c>
      <c r="AB87" s="90">
        <f>IF(J87=0,0,CAPITAL!$H$7*Y87)
</f>
        <v>0</v>
      </c>
      <c r="AC87" s="90"/>
    </row>
    <row r="88">
      <c r="A88" s="77" t="s">
        <v>125</v>
      </c>
      <c r="B88" s="101">
        <v>82.0</v>
      </c>
      <c r="C88" s="18" t="str">
        <f>ENTRY!B82</f>
        <v>SILVERBEES</v>
      </c>
      <c r="D88" s="93">
        <f>CAPITAL!$C$2</f>
        <v>3350000</v>
      </c>
      <c r="E88" s="94" t="str">
        <f>ENTRY!C82</f>
        <v/>
      </c>
      <c r="F88" s="95" t="str">
        <f>ENTRY!D82</f>
        <v/>
      </c>
      <c r="G88" s="96" t="str">
        <f>ENTRY!E82</f>
        <v/>
      </c>
      <c r="H88" s="97">
        <f>G88*ENTRY!$O82</f>
        <v>0</v>
      </c>
      <c r="I88" s="97">
        <f>G88*ENTRY!$P82</f>
        <v>0</v>
      </c>
      <c r="J88" s="97">
        <f>G88*ENTRY!$Q82</f>
        <v>0</v>
      </c>
      <c r="K88" s="95">
        <f t="shared" si="2"/>
        <v>0</v>
      </c>
      <c r="L88" s="95" t="str">
        <f>ENTRY!F82</f>
        <v/>
      </c>
      <c r="M88" s="94" t="str">
        <f>ENTRY!G82</f>
        <v/>
      </c>
      <c r="N88" s="98" t="str">
        <f t="shared" si="3"/>
        <v/>
      </c>
      <c r="O88" s="99">
        <f t="shared" si="4"/>
        <v>0</v>
      </c>
      <c r="P88" s="99">
        <f t="shared" si="5"/>
        <v>0</v>
      </c>
      <c r="Q88" s="99">
        <f t="shared" si="6"/>
        <v>0</v>
      </c>
      <c r="R88" s="99">
        <f t="shared" si="7"/>
        <v>0</v>
      </c>
      <c r="S88" s="100" t="str">
        <f t="shared" ref="S88:V88" si="88">IFERROR(O88-Y88,"")
</f>
        <v/>
      </c>
      <c r="T88" s="100">
        <f t="shared" si="88"/>
        <v>0</v>
      </c>
      <c r="U88" s="100">
        <f t="shared" si="88"/>
        <v>0</v>
      </c>
      <c r="V88" s="100">
        <f t="shared" si="88"/>
        <v>0</v>
      </c>
      <c r="W88" s="88" t="str">
        <f t="shared" si="9"/>
        <v/>
      </c>
      <c r="X88" s="89">
        <f>S88/D88</f>
        <v>0</v>
      </c>
      <c r="Y88" s="90" t="str">
        <f t="shared" si="10"/>
        <v>ERR</v>
      </c>
      <c r="Z88" s="90">
        <f>IF(H88=0,0,CAPITAL!$H$5*Y88)
</f>
        <v>0</v>
      </c>
      <c r="AA88" s="90">
        <f>IF(I88=0,0,CAPITAL!$H$6*Y88)
</f>
        <v>0</v>
      </c>
      <c r="AB88" s="90">
        <f>IF(J88=0,0,CAPITAL!$H$7*Y88)
</f>
        <v>0</v>
      </c>
      <c r="AC88" s="90"/>
    </row>
    <row r="89">
      <c r="A89" s="103"/>
      <c r="B89" s="101">
        <v>83.0</v>
      </c>
      <c r="C89" s="79" t="str">
        <f>ENTRY!B83</f>
        <v>SILVERBEES</v>
      </c>
      <c r="D89" s="80">
        <f>CAPITAL!$C$2</f>
        <v>3350000</v>
      </c>
      <c r="E89" s="81" t="str">
        <f>ENTRY!C83</f>
        <v/>
      </c>
      <c r="F89" s="82" t="str">
        <f>ENTRY!D83</f>
        <v/>
      </c>
      <c r="G89" s="83" t="str">
        <f>ENTRY!E83</f>
        <v/>
      </c>
      <c r="H89" s="84">
        <f>G89*ENTRY!$O83</f>
        <v>0</v>
      </c>
      <c r="I89" s="84">
        <f>G89*ENTRY!$P83</f>
        <v>0</v>
      </c>
      <c r="J89" s="84">
        <f>G89*ENTRY!$Q83</f>
        <v>0</v>
      </c>
      <c r="K89" s="82">
        <f t="shared" si="2"/>
        <v>0</v>
      </c>
      <c r="L89" s="82" t="str">
        <f>ENTRY!F83</f>
        <v/>
      </c>
      <c r="M89" s="81" t="str">
        <f>ENTRY!G83</f>
        <v/>
      </c>
      <c r="N89" s="85" t="str">
        <f t="shared" si="3"/>
        <v/>
      </c>
      <c r="O89" s="86">
        <f t="shared" si="4"/>
        <v>0</v>
      </c>
      <c r="P89" s="86">
        <f t="shared" si="5"/>
        <v>0</v>
      </c>
      <c r="Q89" s="86">
        <f t="shared" si="6"/>
        <v>0</v>
      </c>
      <c r="R89" s="86">
        <f t="shared" si="7"/>
        <v>0</v>
      </c>
      <c r="S89" s="87" t="str">
        <f t="shared" ref="S89:V89" si="89">IFERROR(O89-Y89,"")
</f>
        <v/>
      </c>
      <c r="T89" s="87">
        <f t="shared" si="89"/>
        <v>0</v>
      </c>
      <c r="U89" s="87">
        <f t="shared" si="89"/>
        <v>0</v>
      </c>
      <c r="V89" s="87">
        <f t="shared" si="89"/>
        <v>0</v>
      </c>
      <c r="W89" s="88" t="str">
        <f t="shared" si="9"/>
        <v/>
      </c>
      <c r="X89" s="89">
        <f>IFERROR(S89/D89,"")</f>
        <v>0</v>
      </c>
      <c r="Y89" s="90" t="str">
        <f t="shared" si="10"/>
        <v>ERR</v>
      </c>
      <c r="Z89" s="90">
        <f>IF(H89=0,0,CAPITAL!$H$5*Y89)
</f>
        <v>0</v>
      </c>
      <c r="AA89" s="90">
        <f>IF(I89=0,0,CAPITAL!$H$6*Y89)
</f>
        <v>0</v>
      </c>
      <c r="AB89" s="90">
        <f>IF(J89=0,0,CAPITAL!$H$7*Y89)
</f>
        <v>0</v>
      </c>
      <c r="AC89" s="90"/>
    </row>
    <row r="90">
      <c r="A90" s="103"/>
      <c r="B90" s="101">
        <v>84.0</v>
      </c>
      <c r="C90" s="18" t="str">
        <f>ENTRY!B84</f>
        <v>SILVERBEES</v>
      </c>
      <c r="D90" s="93">
        <f>CAPITAL!$C$2</f>
        <v>3350000</v>
      </c>
      <c r="E90" s="94" t="str">
        <f>ENTRY!C84</f>
        <v/>
      </c>
      <c r="F90" s="95" t="str">
        <f>ENTRY!D84</f>
        <v/>
      </c>
      <c r="G90" s="96" t="str">
        <f>ENTRY!E84</f>
        <v/>
      </c>
      <c r="H90" s="97">
        <f>G90*ENTRY!$O84</f>
        <v>0</v>
      </c>
      <c r="I90" s="97">
        <f>G90*ENTRY!$P84</f>
        <v>0</v>
      </c>
      <c r="J90" s="97">
        <f>G90*ENTRY!$Q84</f>
        <v>0</v>
      </c>
      <c r="K90" s="95">
        <f t="shared" si="2"/>
        <v>0</v>
      </c>
      <c r="L90" s="95" t="str">
        <f>ENTRY!F84</f>
        <v/>
      </c>
      <c r="M90" s="94" t="str">
        <f>ENTRY!G84</f>
        <v/>
      </c>
      <c r="N90" s="98" t="str">
        <f t="shared" si="3"/>
        <v/>
      </c>
      <c r="O90" s="99">
        <f t="shared" si="4"/>
        <v>0</v>
      </c>
      <c r="P90" s="99">
        <f t="shared" si="5"/>
        <v>0</v>
      </c>
      <c r="Q90" s="99">
        <f t="shared" si="6"/>
        <v>0</v>
      </c>
      <c r="R90" s="99">
        <f t="shared" si="7"/>
        <v>0</v>
      </c>
      <c r="S90" s="100" t="str">
        <f t="shared" ref="S90:V90" si="90">IFERROR(O90-Y90,"")
</f>
        <v/>
      </c>
      <c r="T90" s="100">
        <f t="shared" si="90"/>
        <v>0</v>
      </c>
      <c r="U90" s="100">
        <f t="shared" si="90"/>
        <v>0</v>
      </c>
      <c r="V90" s="100">
        <f t="shared" si="90"/>
        <v>0</v>
      </c>
      <c r="W90" s="88" t="str">
        <f t="shared" si="9"/>
        <v/>
      </c>
      <c r="X90" s="89">
        <f>S90/D90</f>
        <v>0</v>
      </c>
      <c r="Y90" s="90" t="str">
        <f t="shared" si="10"/>
        <v>ERR</v>
      </c>
      <c r="Z90" s="90">
        <f>IF(H90=0,0,CAPITAL!$H$5*Y90)
</f>
        <v>0</v>
      </c>
      <c r="AA90" s="90">
        <f>IF(I90=0,0,CAPITAL!$H$6*Y90)
</f>
        <v>0</v>
      </c>
      <c r="AB90" s="90">
        <f>IF(J90=0,0,CAPITAL!$H$7*Y90)
</f>
        <v>0</v>
      </c>
      <c r="AC90" s="90"/>
    </row>
    <row r="91">
      <c r="A91" s="103"/>
      <c r="B91" s="101">
        <v>85.0</v>
      </c>
      <c r="C91" s="79" t="str">
        <f>ENTRY!B85</f>
        <v>SILVERBEES</v>
      </c>
      <c r="D91" s="80">
        <f>CAPITAL!$C$2</f>
        <v>3350000</v>
      </c>
      <c r="E91" s="81" t="str">
        <f>ENTRY!C85</f>
        <v/>
      </c>
      <c r="F91" s="82" t="str">
        <f>ENTRY!D85</f>
        <v/>
      </c>
      <c r="G91" s="83" t="str">
        <f>ENTRY!E85</f>
        <v/>
      </c>
      <c r="H91" s="84">
        <f>G91*ENTRY!$O85</f>
        <v>0</v>
      </c>
      <c r="I91" s="84">
        <f>G91*ENTRY!$P85</f>
        <v>0</v>
      </c>
      <c r="J91" s="84">
        <f>G91*ENTRY!$Q85</f>
        <v>0</v>
      </c>
      <c r="K91" s="82">
        <f t="shared" si="2"/>
        <v>0</v>
      </c>
      <c r="L91" s="82" t="str">
        <f>ENTRY!F85</f>
        <v/>
      </c>
      <c r="M91" s="81" t="str">
        <f>ENTRY!G85</f>
        <v/>
      </c>
      <c r="N91" s="85" t="str">
        <f t="shared" si="3"/>
        <v/>
      </c>
      <c r="O91" s="86">
        <f t="shared" si="4"/>
        <v>0</v>
      </c>
      <c r="P91" s="86">
        <f t="shared" si="5"/>
        <v>0</v>
      </c>
      <c r="Q91" s="86">
        <f t="shared" si="6"/>
        <v>0</v>
      </c>
      <c r="R91" s="86">
        <f t="shared" si="7"/>
        <v>0</v>
      </c>
      <c r="S91" s="87" t="str">
        <f t="shared" ref="S91:V91" si="91">IFERROR(O91-Y91,"")
</f>
        <v/>
      </c>
      <c r="T91" s="87">
        <f t="shared" si="91"/>
        <v>0</v>
      </c>
      <c r="U91" s="87">
        <f t="shared" si="91"/>
        <v>0</v>
      </c>
      <c r="V91" s="87">
        <f t="shared" si="91"/>
        <v>0</v>
      </c>
      <c r="W91" s="88" t="str">
        <f t="shared" si="9"/>
        <v/>
      </c>
      <c r="X91" s="89">
        <f>IFERROR(S91/D91,"")</f>
        <v>0</v>
      </c>
      <c r="Y91" s="90" t="str">
        <f t="shared" si="10"/>
        <v>ERR</v>
      </c>
      <c r="Z91" s="90">
        <f>IF(H91=0,0,CAPITAL!$H$5*Y91)
</f>
        <v>0</v>
      </c>
      <c r="AA91" s="90">
        <f>IF(I91=0,0,CAPITAL!$H$6*Y91)
</f>
        <v>0</v>
      </c>
      <c r="AB91" s="90">
        <f>IF(J91=0,0,CAPITAL!$H$7*Y91)
</f>
        <v>0</v>
      </c>
      <c r="AC91" s="90"/>
    </row>
    <row r="92">
      <c r="A92" s="103"/>
      <c r="B92" s="101">
        <v>86.0</v>
      </c>
      <c r="C92" s="18" t="str">
        <f>ENTRY!B86</f>
        <v>SILVERBEES</v>
      </c>
      <c r="D92" s="93">
        <f>CAPITAL!$C$2</f>
        <v>3350000</v>
      </c>
      <c r="E92" s="94" t="str">
        <f>ENTRY!C86</f>
        <v/>
      </c>
      <c r="F92" s="95" t="str">
        <f>ENTRY!D86</f>
        <v/>
      </c>
      <c r="G92" s="96" t="str">
        <f>ENTRY!E86</f>
        <v/>
      </c>
      <c r="H92" s="97">
        <f>G92*ENTRY!$O86</f>
        <v>0</v>
      </c>
      <c r="I92" s="97">
        <f>G92*ENTRY!$P86</f>
        <v>0</v>
      </c>
      <c r="J92" s="97">
        <f>G92*ENTRY!$Q86</f>
        <v>0</v>
      </c>
      <c r="K92" s="95">
        <f t="shared" si="2"/>
        <v>0</v>
      </c>
      <c r="L92" s="95" t="str">
        <f>ENTRY!F86</f>
        <v/>
      </c>
      <c r="M92" s="94" t="str">
        <f>ENTRY!G86</f>
        <v/>
      </c>
      <c r="N92" s="98" t="str">
        <f t="shared" si="3"/>
        <v/>
      </c>
      <c r="O92" s="99">
        <f t="shared" si="4"/>
        <v>0</v>
      </c>
      <c r="P92" s="99">
        <f t="shared" si="5"/>
        <v>0</v>
      </c>
      <c r="Q92" s="99">
        <f t="shared" si="6"/>
        <v>0</v>
      </c>
      <c r="R92" s="99">
        <f t="shared" si="7"/>
        <v>0</v>
      </c>
      <c r="S92" s="100" t="str">
        <f t="shared" ref="S92:V92" si="92">IFERROR(O92-Y92,"")
</f>
        <v/>
      </c>
      <c r="T92" s="100">
        <f t="shared" si="92"/>
        <v>0</v>
      </c>
      <c r="U92" s="100">
        <f t="shared" si="92"/>
        <v>0</v>
      </c>
      <c r="V92" s="100">
        <f t="shared" si="92"/>
        <v>0</v>
      </c>
      <c r="W92" s="88" t="str">
        <f t="shared" si="9"/>
        <v/>
      </c>
      <c r="X92" s="89">
        <f>S92/D92</f>
        <v>0</v>
      </c>
      <c r="Y92" s="90" t="str">
        <f t="shared" si="10"/>
        <v>ERR</v>
      </c>
      <c r="Z92" s="90">
        <f>IF(H92=0,0,CAPITAL!$H$5*Y92)
</f>
        <v>0</v>
      </c>
      <c r="AA92" s="90">
        <f>IF(I92=0,0,CAPITAL!$H$6*Y92)
</f>
        <v>0</v>
      </c>
      <c r="AB92" s="90">
        <f>IF(J92=0,0,CAPITAL!$H$7*Y92)
</f>
        <v>0</v>
      </c>
      <c r="AC92" s="90"/>
    </row>
    <row r="93">
      <c r="A93" s="103"/>
      <c r="B93" s="101">
        <v>88.0</v>
      </c>
      <c r="C93" s="79" t="str">
        <f>ENTRY!B87</f>
        <v>SILVERBEES</v>
      </c>
      <c r="D93" s="80">
        <f>CAPITAL!$C$2</f>
        <v>3350000</v>
      </c>
      <c r="E93" s="81" t="str">
        <f>ENTRY!C87</f>
        <v/>
      </c>
      <c r="F93" s="82" t="str">
        <f>ENTRY!D87</f>
        <v/>
      </c>
      <c r="G93" s="83" t="str">
        <f>ENTRY!E87</f>
        <v/>
      </c>
      <c r="H93" s="84">
        <f>G93*ENTRY!$O87</f>
        <v>0</v>
      </c>
      <c r="I93" s="84">
        <f>G93*ENTRY!$P87</f>
        <v>0</v>
      </c>
      <c r="J93" s="84">
        <f>G93*ENTRY!$Q87</f>
        <v>0</v>
      </c>
      <c r="K93" s="82">
        <f t="shared" si="2"/>
        <v>0</v>
      </c>
      <c r="L93" s="82" t="str">
        <f>ENTRY!F87</f>
        <v/>
      </c>
      <c r="M93" s="81" t="str">
        <f>ENTRY!G87</f>
        <v/>
      </c>
      <c r="N93" s="85" t="str">
        <f t="shared" si="3"/>
        <v/>
      </c>
      <c r="O93" s="86">
        <f t="shared" si="4"/>
        <v>0</v>
      </c>
      <c r="P93" s="86">
        <f t="shared" si="5"/>
        <v>0</v>
      </c>
      <c r="Q93" s="86">
        <f t="shared" si="6"/>
        <v>0</v>
      </c>
      <c r="R93" s="86">
        <f t="shared" si="7"/>
        <v>0</v>
      </c>
      <c r="S93" s="87" t="str">
        <f t="shared" ref="S93:V93" si="93">IFERROR(O93-Y93,"")
</f>
        <v/>
      </c>
      <c r="T93" s="87">
        <f t="shared" si="93"/>
        <v>0</v>
      </c>
      <c r="U93" s="87">
        <f t="shared" si="93"/>
        <v>0</v>
      </c>
      <c r="V93" s="87">
        <f t="shared" si="93"/>
        <v>0</v>
      </c>
      <c r="W93" s="88" t="str">
        <f t="shared" si="9"/>
        <v/>
      </c>
      <c r="X93" s="89">
        <f>IFERROR(S93/D93,"")</f>
        <v>0</v>
      </c>
      <c r="Y93" s="90" t="str">
        <f t="shared" si="10"/>
        <v>ERR</v>
      </c>
      <c r="Z93" s="90">
        <f>IF(H93=0,0,CAPITAL!$H$5*Y93)
</f>
        <v>0</v>
      </c>
      <c r="AA93" s="90">
        <f>IF(I93=0,0,CAPITAL!$H$6*Y93)
</f>
        <v>0</v>
      </c>
      <c r="AB93" s="90">
        <f>IF(J93=0,0,CAPITAL!$H$7*Y93)
</f>
        <v>0</v>
      </c>
      <c r="AC93" s="90"/>
    </row>
    <row r="94">
      <c r="A94" s="103"/>
      <c r="B94" s="101">
        <v>89.0</v>
      </c>
      <c r="C94" s="18" t="str">
        <f>ENTRY!B88</f>
        <v>SILVERBEES</v>
      </c>
      <c r="D94" s="93">
        <f>CAPITAL!$C$2</f>
        <v>3350000</v>
      </c>
      <c r="E94" s="94" t="str">
        <f>ENTRY!C88</f>
        <v/>
      </c>
      <c r="F94" s="95" t="str">
        <f>ENTRY!D88</f>
        <v/>
      </c>
      <c r="G94" s="96" t="str">
        <f>ENTRY!E88</f>
        <v/>
      </c>
      <c r="H94" s="97">
        <f>G94*ENTRY!$O88</f>
        <v>0</v>
      </c>
      <c r="I94" s="97">
        <f>G94*ENTRY!$P88</f>
        <v>0</v>
      </c>
      <c r="J94" s="97">
        <f>G94*ENTRY!$Q88</f>
        <v>0</v>
      </c>
      <c r="K94" s="95">
        <f t="shared" si="2"/>
        <v>0</v>
      </c>
      <c r="L94" s="95" t="str">
        <f>ENTRY!F88</f>
        <v/>
      </c>
      <c r="M94" s="94" t="str">
        <f>ENTRY!G88</f>
        <v/>
      </c>
      <c r="N94" s="98" t="str">
        <f t="shared" si="3"/>
        <v/>
      </c>
      <c r="O94" s="99">
        <f t="shared" si="4"/>
        <v>0</v>
      </c>
      <c r="P94" s="99">
        <f t="shared" si="5"/>
        <v>0</v>
      </c>
      <c r="Q94" s="99">
        <f t="shared" si="6"/>
        <v>0</v>
      </c>
      <c r="R94" s="99">
        <f t="shared" si="7"/>
        <v>0</v>
      </c>
      <c r="S94" s="100" t="str">
        <f t="shared" ref="S94:V94" si="94">IFERROR(O94-Y94,"")
</f>
        <v/>
      </c>
      <c r="T94" s="100">
        <f t="shared" si="94"/>
        <v>0</v>
      </c>
      <c r="U94" s="100">
        <f t="shared" si="94"/>
        <v>0</v>
      </c>
      <c r="V94" s="100">
        <f t="shared" si="94"/>
        <v>0</v>
      </c>
      <c r="W94" s="88" t="str">
        <f t="shared" si="9"/>
        <v/>
      </c>
      <c r="X94" s="89">
        <f>S94/D94</f>
        <v>0</v>
      </c>
      <c r="Y94" s="90" t="str">
        <f t="shared" si="10"/>
        <v>ERR</v>
      </c>
      <c r="Z94" s="90">
        <f>IF(H94=0,0,CAPITAL!$H$5*Y94)
</f>
        <v>0</v>
      </c>
      <c r="AA94" s="90">
        <f>IF(I94=0,0,CAPITAL!$H$6*Y94)
</f>
        <v>0</v>
      </c>
      <c r="AB94" s="90">
        <f>IF(J94=0,0,CAPITAL!$H$7*Y94)
</f>
        <v>0</v>
      </c>
      <c r="AC94" s="90"/>
    </row>
    <row r="95">
      <c r="A95" s="103"/>
      <c r="B95" s="101">
        <v>90.0</v>
      </c>
      <c r="C95" s="79" t="str">
        <f>ENTRY!B89</f>
        <v>SILVERBEES</v>
      </c>
      <c r="D95" s="80">
        <f>CAPITAL!$C$2</f>
        <v>3350000</v>
      </c>
      <c r="E95" s="81" t="str">
        <f>ENTRY!C89</f>
        <v/>
      </c>
      <c r="F95" s="82" t="str">
        <f>ENTRY!D89</f>
        <v/>
      </c>
      <c r="G95" s="83" t="str">
        <f>ENTRY!E89</f>
        <v/>
      </c>
      <c r="H95" s="84">
        <f>G95*ENTRY!$O89</f>
        <v>0</v>
      </c>
      <c r="I95" s="84">
        <f>G95*ENTRY!$P89</f>
        <v>0</v>
      </c>
      <c r="J95" s="84">
        <f>G95*ENTRY!$Q89</f>
        <v>0</v>
      </c>
      <c r="K95" s="82">
        <f t="shared" si="2"/>
        <v>0</v>
      </c>
      <c r="L95" s="82" t="str">
        <f>ENTRY!F89</f>
        <v/>
      </c>
      <c r="M95" s="81" t="str">
        <f>ENTRY!G89</f>
        <v/>
      </c>
      <c r="N95" s="85" t="str">
        <f t="shared" si="3"/>
        <v/>
      </c>
      <c r="O95" s="86">
        <f t="shared" si="4"/>
        <v>0</v>
      </c>
      <c r="P95" s="86">
        <f t="shared" si="5"/>
        <v>0</v>
      </c>
      <c r="Q95" s="86">
        <f t="shared" si="6"/>
        <v>0</v>
      </c>
      <c r="R95" s="86">
        <f t="shared" si="7"/>
        <v>0</v>
      </c>
      <c r="S95" s="87" t="str">
        <f t="shared" ref="S95:V95" si="95">IFERROR(O95-Y95,"")
</f>
        <v/>
      </c>
      <c r="T95" s="87">
        <f t="shared" si="95"/>
        <v>0</v>
      </c>
      <c r="U95" s="87">
        <f t="shared" si="95"/>
        <v>0</v>
      </c>
      <c r="V95" s="87">
        <f t="shared" si="95"/>
        <v>0</v>
      </c>
      <c r="W95" s="88" t="str">
        <f t="shared" si="9"/>
        <v/>
      </c>
      <c r="X95" s="89">
        <f>IFERROR(S95/D95,"")</f>
        <v>0</v>
      </c>
      <c r="Y95" s="90" t="str">
        <f t="shared" si="10"/>
        <v>ERR</v>
      </c>
      <c r="Z95" s="90">
        <f>IF(H95=0,0,CAPITAL!$H$5*Y95)
</f>
        <v>0</v>
      </c>
      <c r="AA95" s="90">
        <f>IF(I95=0,0,CAPITAL!$H$6*Y95)
</f>
        <v>0</v>
      </c>
      <c r="AB95" s="90">
        <f>IF(J95=0,0,CAPITAL!$H$7*Y95)
</f>
        <v>0</v>
      </c>
      <c r="AC95" s="90"/>
    </row>
    <row r="96">
      <c r="A96" s="103"/>
      <c r="B96" s="101">
        <v>91.0</v>
      </c>
      <c r="C96" s="18" t="str">
        <f>ENTRY!B90</f>
        <v>SILVERBEES</v>
      </c>
      <c r="D96" s="93">
        <f>CAPITAL!$C$2</f>
        <v>3350000</v>
      </c>
      <c r="E96" s="94" t="str">
        <f>ENTRY!C90</f>
        <v/>
      </c>
      <c r="F96" s="95" t="str">
        <f>ENTRY!D90</f>
        <v/>
      </c>
      <c r="G96" s="96" t="str">
        <f>ENTRY!E90</f>
        <v/>
      </c>
      <c r="H96" s="97">
        <f>G96*ENTRY!$O90</f>
        <v>0</v>
      </c>
      <c r="I96" s="97">
        <f>G96*ENTRY!$P90</f>
        <v>0</v>
      </c>
      <c r="J96" s="97">
        <f>G96*ENTRY!$Q90</f>
        <v>0</v>
      </c>
      <c r="K96" s="95">
        <f t="shared" si="2"/>
        <v>0</v>
      </c>
      <c r="L96" s="95" t="str">
        <f>ENTRY!F90</f>
        <v/>
      </c>
      <c r="M96" s="94" t="str">
        <f>ENTRY!G90</f>
        <v/>
      </c>
      <c r="N96" s="98" t="str">
        <f t="shared" si="3"/>
        <v/>
      </c>
      <c r="O96" s="99">
        <f t="shared" si="4"/>
        <v>0</v>
      </c>
      <c r="P96" s="99">
        <f t="shared" si="5"/>
        <v>0</v>
      </c>
      <c r="Q96" s="99">
        <f t="shared" si="6"/>
        <v>0</v>
      </c>
      <c r="R96" s="99">
        <f t="shared" si="7"/>
        <v>0</v>
      </c>
      <c r="S96" s="100" t="str">
        <f t="shared" ref="S96:V96" si="96">IFERROR(O96-Y96,"")
</f>
        <v/>
      </c>
      <c r="T96" s="100">
        <f t="shared" si="96"/>
        <v>0</v>
      </c>
      <c r="U96" s="100">
        <f t="shared" si="96"/>
        <v>0</v>
      </c>
      <c r="V96" s="100">
        <f t="shared" si="96"/>
        <v>0</v>
      </c>
      <c r="W96" s="88" t="str">
        <f t="shared" si="9"/>
        <v/>
      </c>
      <c r="X96" s="89">
        <f>S96/D96</f>
        <v>0</v>
      </c>
      <c r="Y96" s="90" t="str">
        <f t="shared" si="10"/>
        <v>ERR</v>
      </c>
      <c r="Z96" s="90">
        <f>IF(H96=0,0,CAPITAL!$H$5*Y96)
</f>
        <v>0</v>
      </c>
      <c r="AA96" s="90">
        <f>IF(I96=0,0,CAPITAL!$H$6*Y96)
</f>
        <v>0</v>
      </c>
      <c r="AB96" s="90">
        <f>IF(J96=0,0,CAPITAL!$H$7*Y96)
</f>
        <v>0</v>
      </c>
      <c r="AC96" s="90"/>
    </row>
    <row r="97">
      <c r="A97" s="103"/>
      <c r="B97" s="101">
        <v>92.0</v>
      </c>
      <c r="C97" s="79" t="str">
        <f>ENTRY!B91</f>
        <v>SILVERBEES</v>
      </c>
      <c r="D97" s="80">
        <f>CAPITAL!$C$2</f>
        <v>3350000</v>
      </c>
      <c r="E97" s="81" t="str">
        <f>ENTRY!C91</f>
        <v/>
      </c>
      <c r="F97" s="82" t="str">
        <f>ENTRY!D91</f>
        <v/>
      </c>
      <c r="G97" s="83" t="str">
        <f>ENTRY!E91</f>
        <v/>
      </c>
      <c r="H97" s="84">
        <f>G97*ENTRY!$O91</f>
        <v>0</v>
      </c>
      <c r="I97" s="84">
        <f>G97*ENTRY!$P91</f>
        <v>0</v>
      </c>
      <c r="J97" s="84">
        <f>G97*ENTRY!$Q91</f>
        <v>0</v>
      </c>
      <c r="K97" s="82">
        <f t="shared" si="2"/>
        <v>0</v>
      </c>
      <c r="L97" s="82" t="str">
        <f>ENTRY!F91</f>
        <v/>
      </c>
      <c r="M97" s="81" t="str">
        <f>ENTRY!G91</f>
        <v/>
      </c>
      <c r="N97" s="85" t="str">
        <f t="shared" si="3"/>
        <v/>
      </c>
      <c r="O97" s="86">
        <f t="shared" si="4"/>
        <v>0</v>
      </c>
      <c r="P97" s="86">
        <f t="shared" si="5"/>
        <v>0</v>
      </c>
      <c r="Q97" s="86">
        <f t="shared" si="6"/>
        <v>0</v>
      </c>
      <c r="R97" s="86">
        <f t="shared" si="7"/>
        <v>0</v>
      </c>
      <c r="S97" s="87" t="str">
        <f t="shared" ref="S97:V97" si="97">IFERROR(O97-Y97,"")
</f>
        <v/>
      </c>
      <c r="T97" s="87">
        <f t="shared" si="97"/>
        <v>0</v>
      </c>
      <c r="U97" s="87">
        <f t="shared" si="97"/>
        <v>0</v>
      </c>
      <c r="V97" s="87">
        <f t="shared" si="97"/>
        <v>0</v>
      </c>
      <c r="W97" s="88" t="str">
        <f t="shared" si="9"/>
        <v/>
      </c>
      <c r="X97" s="89">
        <f>IFERROR(S97/D97,"")</f>
        <v>0</v>
      </c>
      <c r="Y97" s="90" t="str">
        <f t="shared" si="10"/>
        <v>ERR</v>
      </c>
      <c r="Z97" s="90">
        <f>IF(H97=0,0,CAPITAL!$H$5*Y97)
</f>
        <v>0</v>
      </c>
      <c r="AA97" s="90">
        <f>IF(I97=0,0,CAPITAL!$H$6*Y97)
</f>
        <v>0</v>
      </c>
      <c r="AB97" s="90">
        <f>IF(J97=0,0,CAPITAL!$H$7*Y97)
</f>
        <v>0</v>
      </c>
      <c r="AC97" s="90"/>
    </row>
    <row r="98">
      <c r="A98" s="103"/>
      <c r="B98" s="101">
        <v>93.0</v>
      </c>
      <c r="C98" s="18" t="str">
        <f>ENTRY!B92</f>
        <v>SILVERBEES</v>
      </c>
      <c r="D98" s="93">
        <f>CAPITAL!$C$2</f>
        <v>3350000</v>
      </c>
      <c r="E98" s="94" t="str">
        <f>ENTRY!C92</f>
        <v/>
      </c>
      <c r="F98" s="95" t="str">
        <f>ENTRY!D92</f>
        <v/>
      </c>
      <c r="G98" s="96" t="str">
        <f>ENTRY!E92</f>
        <v/>
      </c>
      <c r="H98" s="97">
        <f>G98*ENTRY!$O92</f>
        <v>0</v>
      </c>
      <c r="I98" s="97">
        <f>G98*ENTRY!$P92</f>
        <v>0</v>
      </c>
      <c r="J98" s="97">
        <f>G98*ENTRY!$Q92</f>
        <v>0</v>
      </c>
      <c r="K98" s="95">
        <f t="shared" si="2"/>
        <v>0</v>
      </c>
      <c r="L98" s="95" t="str">
        <f>ENTRY!F92</f>
        <v/>
      </c>
      <c r="M98" s="94" t="str">
        <f>ENTRY!G92</f>
        <v/>
      </c>
      <c r="N98" s="98" t="str">
        <f t="shared" si="3"/>
        <v/>
      </c>
      <c r="O98" s="99">
        <f t="shared" si="4"/>
        <v>0</v>
      </c>
      <c r="P98" s="99">
        <f t="shared" si="5"/>
        <v>0</v>
      </c>
      <c r="Q98" s="99">
        <f t="shared" si="6"/>
        <v>0</v>
      </c>
      <c r="R98" s="99">
        <f t="shared" si="7"/>
        <v>0</v>
      </c>
      <c r="S98" s="100" t="str">
        <f t="shared" ref="S98:V98" si="98">IFERROR(O98-Y98,"")
</f>
        <v/>
      </c>
      <c r="T98" s="100">
        <f t="shared" si="98"/>
        <v>0</v>
      </c>
      <c r="U98" s="100">
        <f t="shared" si="98"/>
        <v>0</v>
      </c>
      <c r="V98" s="100">
        <f t="shared" si="98"/>
        <v>0</v>
      </c>
      <c r="W98" s="88" t="str">
        <f t="shared" si="9"/>
        <v/>
      </c>
      <c r="X98" s="89">
        <f>S98/D98</f>
        <v>0</v>
      </c>
      <c r="Y98" s="90" t="str">
        <f t="shared" si="10"/>
        <v>ERR</v>
      </c>
      <c r="Z98" s="90">
        <f>IF(H98=0,0,CAPITAL!$H$5*Y98)
</f>
        <v>0</v>
      </c>
      <c r="AA98" s="90">
        <f>IF(I98=0,0,CAPITAL!$H$6*Y98)
</f>
        <v>0</v>
      </c>
      <c r="AB98" s="90">
        <f>IF(J98=0,0,CAPITAL!$H$7*Y98)
</f>
        <v>0</v>
      </c>
      <c r="AC98" s="90"/>
    </row>
    <row r="99">
      <c r="A99" s="103"/>
      <c r="B99" s="101">
        <v>94.0</v>
      </c>
      <c r="C99" s="79" t="str">
        <f>ENTRY!B93</f>
        <v>SILVERBEES</v>
      </c>
      <c r="D99" s="80">
        <f>CAPITAL!$C$2</f>
        <v>3350000</v>
      </c>
      <c r="E99" s="81" t="str">
        <f>ENTRY!C93</f>
        <v/>
      </c>
      <c r="F99" s="82" t="str">
        <f>ENTRY!D93</f>
        <v/>
      </c>
      <c r="G99" s="83" t="str">
        <f>ENTRY!E93</f>
        <v/>
      </c>
      <c r="H99" s="84">
        <f>G99*ENTRY!$O93</f>
        <v>0</v>
      </c>
      <c r="I99" s="84">
        <f>G99*ENTRY!$P93</f>
        <v>0</v>
      </c>
      <c r="J99" s="84">
        <f>G99*ENTRY!$Q93</f>
        <v>0</v>
      </c>
      <c r="K99" s="82">
        <f t="shared" si="2"/>
        <v>0</v>
      </c>
      <c r="L99" s="82" t="str">
        <f>ENTRY!F93</f>
        <v/>
      </c>
      <c r="M99" s="81" t="str">
        <f>ENTRY!G93</f>
        <v/>
      </c>
      <c r="N99" s="85" t="str">
        <f t="shared" si="3"/>
        <v/>
      </c>
      <c r="O99" s="86">
        <f t="shared" si="4"/>
        <v>0</v>
      </c>
      <c r="P99" s="86">
        <f t="shared" si="5"/>
        <v>0</v>
      </c>
      <c r="Q99" s="86">
        <f t="shared" si="6"/>
        <v>0</v>
      </c>
      <c r="R99" s="86">
        <f t="shared" si="7"/>
        <v>0</v>
      </c>
      <c r="S99" s="87" t="str">
        <f t="shared" ref="S99:V99" si="99">IFERROR(O99-Y99,"")
</f>
        <v/>
      </c>
      <c r="T99" s="87">
        <f t="shared" si="99"/>
        <v>0</v>
      </c>
      <c r="U99" s="87">
        <f t="shared" si="99"/>
        <v>0</v>
      </c>
      <c r="V99" s="87">
        <f t="shared" si="99"/>
        <v>0</v>
      </c>
      <c r="W99" s="88" t="str">
        <f t="shared" si="9"/>
        <v/>
      </c>
      <c r="X99" s="89">
        <f>IFERROR(S99/D99,"")</f>
        <v>0</v>
      </c>
      <c r="Y99" s="90" t="str">
        <f t="shared" si="10"/>
        <v>ERR</v>
      </c>
      <c r="Z99" s="90">
        <f>IF(H99=0,0,CAPITAL!$H$5*Y99)
</f>
        <v>0</v>
      </c>
      <c r="AA99" s="90">
        <f>IF(I99=0,0,CAPITAL!$H$6*Y99)
</f>
        <v>0</v>
      </c>
      <c r="AB99" s="90">
        <f>IF(J99=0,0,CAPITAL!$H$7*Y99)
</f>
        <v>0</v>
      </c>
      <c r="AC99" s="90"/>
    </row>
    <row r="100">
      <c r="A100" s="103"/>
      <c r="B100" s="101">
        <v>95.0</v>
      </c>
      <c r="C100" s="18" t="str">
        <f>ENTRY!B94</f>
        <v>SILVERBEES</v>
      </c>
      <c r="D100" s="93">
        <f>CAPITAL!$C$2</f>
        <v>3350000</v>
      </c>
      <c r="E100" s="94" t="str">
        <f>ENTRY!C94</f>
        <v/>
      </c>
      <c r="F100" s="95" t="str">
        <f>ENTRY!D94</f>
        <v/>
      </c>
      <c r="G100" s="96" t="str">
        <f>ENTRY!E94</f>
        <v/>
      </c>
      <c r="H100" s="97">
        <f>G100*ENTRY!$O94</f>
        <v>0</v>
      </c>
      <c r="I100" s="97">
        <f>G100*ENTRY!$P94</f>
        <v>0</v>
      </c>
      <c r="J100" s="97">
        <f>G100*ENTRY!$Q94</f>
        <v>0</v>
      </c>
      <c r="K100" s="95">
        <f t="shared" si="2"/>
        <v>0</v>
      </c>
      <c r="L100" s="95" t="str">
        <f>ENTRY!F94</f>
        <v/>
      </c>
      <c r="M100" s="94" t="str">
        <f>ENTRY!G94</f>
        <v/>
      </c>
      <c r="N100" s="98" t="str">
        <f t="shared" si="3"/>
        <v/>
      </c>
      <c r="O100" s="99">
        <f t="shared" si="4"/>
        <v>0</v>
      </c>
      <c r="P100" s="99">
        <f t="shared" si="5"/>
        <v>0</v>
      </c>
      <c r="Q100" s="99">
        <f t="shared" si="6"/>
        <v>0</v>
      </c>
      <c r="R100" s="99">
        <f t="shared" si="7"/>
        <v>0</v>
      </c>
      <c r="S100" s="100" t="str">
        <f t="shared" ref="S100:V100" si="100">IFERROR(O100-Y100,"")
</f>
        <v/>
      </c>
      <c r="T100" s="100">
        <f t="shared" si="100"/>
        <v>0</v>
      </c>
      <c r="U100" s="100">
        <f t="shared" si="100"/>
        <v>0</v>
      </c>
      <c r="V100" s="100">
        <f t="shared" si="100"/>
        <v>0</v>
      </c>
      <c r="W100" s="88" t="str">
        <f t="shared" si="9"/>
        <v/>
      </c>
      <c r="X100" s="89">
        <f>S100/D100</f>
        <v>0</v>
      </c>
      <c r="Y100" s="90" t="str">
        <f t="shared" si="10"/>
        <v>ERR</v>
      </c>
      <c r="Z100" s="90">
        <f>IF(H100=0,0,CAPITAL!$H$5*Y100)
</f>
        <v>0</v>
      </c>
      <c r="AA100" s="90">
        <f>IF(I100=0,0,CAPITAL!$H$6*Y100)
</f>
        <v>0</v>
      </c>
      <c r="AB100" s="90">
        <f>IF(J100=0,0,CAPITAL!$H$7*Y100)
</f>
        <v>0</v>
      </c>
      <c r="AC100" s="90"/>
    </row>
    <row r="101">
      <c r="A101" s="103"/>
      <c r="B101" s="101">
        <v>96.0</v>
      </c>
      <c r="C101" s="79" t="str">
        <f>ENTRY!B95</f>
        <v>SILVERBEES</v>
      </c>
      <c r="D101" s="80">
        <f>CAPITAL!$C$2</f>
        <v>3350000</v>
      </c>
      <c r="E101" s="81" t="str">
        <f>ENTRY!C95</f>
        <v/>
      </c>
      <c r="F101" s="82" t="str">
        <f>ENTRY!D95</f>
        <v/>
      </c>
      <c r="G101" s="83" t="str">
        <f>ENTRY!E95</f>
        <v/>
      </c>
      <c r="H101" s="84">
        <f>G101*ENTRY!$O95</f>
        <v>0</v>
      </c>
      <c r="I101" s="84">
        <f>G101*ENTRY!$P95</f>
        <v>0</v>
      </c>
      <c r="J101" s="84">
        <f>G101*ENTRY!$Q95</f>
        <v>0</v>
      </c>
      <c r="K101" s="82">
        <f t="shared" si="2"/>
        <v>0</v>
      </c>
      <c r="L101" s="82" t="str">
        <f>ENTRY!F95</f>
        <v/>
      </c>
      <c r="M101" s="81" t="str">
        <f>ENTRY!G95</f>
        <v/>
      </c>
      <c r="N101" s="85" t="str">
        <f t="shared" si="3"/>
        <v/>
      </c>
      <c r="O101" s="86">
        <f t="shared" si="4"/>
        <v>0</v>
      </c>
      <c r="P101" s="86">
        <f t="shared" si="5"/>
        <v>0</v>
      </c>
      <c r="Q101" s="86">
        <f t="shared" si="6"/>
        <v>0</v>
      </c>
      <c r="R101" s="86">
        <f t="shared" si="7"/>
        <v>0</v>
      </c>
      <c r="S101" s="87" t="str">
        <f t="shared" ref="S101:V101" si="101">IFERROR(O101-Y101,"")
</f>
        <v/>
      </c>
      <c r="T101" s="87">
        <f t="shared" si="101"/>
        <v>0</v>
      </c>
      <c r="U101" s="87">
        <f t="shared" si="101"/>
        <v>0</v>
      </c>
      <c r="V101" s="87">
        <f t="shared" si="101"/>
        <v>0</v>
      </c>
      <c r="W101" s="88" t="str">
        <f t="shared" si="9"/>
        <v/>
      </c>
      <c r="X101" s="89">
        <f>IFERROR(S101/D101,"")</f>
        <v>0</v>
      </c>
      <c r="Y101" s="90" t="str">
        <f t="shared" si="10"/>
        <v>ERR</v>
      </c>
      <c r="Z101" s="90">
        <f>IF(H101=0,0,CAPITAL!$H$5*Y101)
</f>
        <v>0</v>
      </c>
      <c r="AA101" s="90">
        <f>IF(I101=0,0,CAPITAL!$H$6*Y101)
</f>
        <v>0</v>
      </c>
      <c r="AB101" s="90">
        <f>IF(J101=0,0,CAPITAL!$H$7*Y101)
</f>
        <v>0</v>
      </c>
      <c r="AC101" s="90"/>
    </row>
    <row r="102">
      <c r="A102" s="103"/>
      <c r="B102" s="101">
        <v>97.0</v>
      </c>
      <c r="C102" s="18" t="str">
        <f>ENTRY!B96</f>
        <v>SILVERBEES</v>
      </c>
      <c r="D102" s="93">
        <f>CAPITAL!$C$2</f>
        <v>3350000</v>
      </c>
      <c r="E102" s="94" t="str">
        <f>ENTRY!C96</f>
        <v/>
      </c>
      <c r="F102" s="95" t="str">
        <f>ENTRY!D96</f>
        <v/>
      </c>
      <c r="G102" s="96" t="str">
        <f>ENTRY!E96</f>
        <v/>
      </c>
      <c r="H102" s="97">
        <f>G102*ENTRY!$O96</f>
        <v>0</v>
      </c>
      <c r="I102" s="97">
        <f>G102*ENTRY!$P96</f>
        <v>0</v>
      </c>
      <c r="J102" s="97">
        <f>G102*ENTRY!$Q96</f>
        <v>0</v>
      </c>
      <c r="K102" s="95">
        <f t="shared" si="2"/>
        <v>0</v>
      </c>
      <c r="L102" s="95" t="str">
        <f>ENTRY!F96</f>
        <v/>
      </c>
      <c r="M102" s="94" t="str">
        <f>ENTRY!G96</f>
        <v/>
      </c>
      <c r="N102" s="98" t="str">
        <f t="shared" si="3"/>
        <v/>
      </c>
      <c r="O102" s="99">
        <f t="shared" si="4"/>
        <v>0</v>
      </c>
      <c r="P102" s="99">
        <f t="shared" si="5"/>
        <v>0</v>
      </c>
      <c r="Q102" s="99">
        <f t="shared" si="6"/>
        <v>0</v>
      </c>
      <c r="R102" s="99">
        <f t="shared" si="7"/>
        <v>0</v>
      </c>
      <c r="S102" s="100" t="str">
        <f t="shared" ref="S102:V102" si="102">IFERROR(O102-Y102,"")
</f>
        <v/>
      </c>
      <c r="T102" s="100">
        <f t="shared" si="102"/>
        <v>0</v>
      </c>
      <c r="U102" s="100">
        <f t="shared" si="102"/>
        <v>0</v>
      </c>
      <c r="V102" s="100">
        <f t="shared" si="102"/>
        <v>0</v>
      </c>
      <c r="W102" s="88" t="str">
        <f t="shared" si="9"/>
        <v/>
      </c>
      <c r="X102" s="89">
        <f>S102/D102</f>
        <v>0</v>
      </c>
      <c r="Y102" s="90" t="str">
        <f t="shared" si="10"/>
        <v>ERR</v>
      </c>
      <c r="Z102" s="90">
        <f>IF(H102=0,0,CAPITAL!$H$5*Y102)
</f>
        <v>0</v>
      </c>
      <c r="AA102" s="90">
        <f>IF(I102=0,0,CAPITAL!$H$6*Y102)
</f>
        <v>0</v>
      </c>
      <c r="AB102" s="90">
        <f>IF(J102=0,0,CAPITAL!$H$7*Y102)
</f>
        <v>0</v>
      </c>
      <c r="AC102" s="90"/>
    </row>
    <row r="103">
      <c r="A103" s="103"/>
      <c r="B103" s="101">
        <v>98.0</v>
      </c>
      <c r="C103" s="79" t="str">
        <f>ENTRY!B97</f>
        <v>SILVERBEES</v>
      </c>
      <c r="D103" s="80">
        <f>CAPITAL!$C$2</f>
        <v>3350000</v>
      </c>
      <c r="E103" s="81" t="str">
        <f>ENTRY!C97</f>
        <v/>
      </c>
      <c r="F103" s="82" t="str">
        <f>ENTRY!D97</f>
        <v/>
      </c>
      <c r="G103" s="83" t="str">
        <f>ENTRY!E97</f>
        <v/>
      </c>
      <c r="H103" s="84">
        <f>G103*ENTRY!$O97</f>
        <v>0</v>
      </c>
      <c r="I103" s="84">
        <f>G103*ENTRY!$P97</f>
        <v>0</v>
      </c>
      <c r="J103" s="84">
        <f>G103*ENTRY!$Q97</f>
        <v>0</v>
      </c>
      <c r="K103" s="82">
        <f t="shared" si="2"/>
        <v>0</v>
      </c>
      <c r="L103" s="82" t="str">
        <f>ENTRY!F97</f>
        <v/>
      </c>
      <c r="M103" s="81" t="str">
        <f>ENTRY!G97</f>
        <v/>
      </c>
      <c r="N103" s="85" t="str">
        <f t="shared" si="3"/>
        <v/>
      </c>
      <c r="O103" s="86">
        <f t="shared" si="4"/>
        <v>0</v>
      </c>
      <c r="P103" s="86">
        <f t="shared" si="5"/>
        <v>0</v>
      </c>
      <c r="Q103" s="86">
        <f t="shared" si="6"/>
        <v>0</v>
      </c>
      <c r="R103" s="86">
        <f t="shared" si="7"/>
        <v>0</v>
      </c>
      <c r="S103" s="87" t="str">
        <f t="shared" ref="S103:V103" si="103">IFERROR(O103-Y103,"")
</f>
        <v/>
      </c>
      <c r="T103" s="87">
        <f t="shared" si="103"/>
        <v>0</v>
      </c>
      <c r="U103" s="87">
        <f t="shared" si="103"/>
        <v>0</v>
      </c>
      <c r="V103" s="87">
        <f t="shared" si="103"/>
        <v>0</v>
      </c>
      <c r="W103" s="88" t="str">
        <f t="shared" si="9"/>
        <v/>
      </c>
      <c r="X103" s="89">
        <f>IFERROR(S103/D103,"")</f>
        <v>0</v>
      </c>
      <c r="Y103" s="90" t="str">
        <f t="shared" si="10"/>
        <v>ERR</v>
      </c>
      <c r="Z103" s="90">
        <f>IF(H103=0,0,CAPITAL!$H$5*Y103)
</f>
        <v>0</v>
      </c>
      <c r="AA103" s="90">
        <f>IF(I103=0,0,CAPITAL!$H$6*Y103)
</f>
        <v>0</v>
      </c>
      <c r="AB103" s="90">
        <f>IF(J103=0,0,CAPITAL!$H$7*Y103)
</f>
        <v>0</v>
      </c>
      <c r="AC103" s="90"/>
    </row>
    <row r="104">
      <c r="A104" s="103"/>
      <c r="B104" s="101">
        <v>99.0</v>
      </c>
      <c r="C104" s="18" t="str">
        <f>ENTRY!B98</f>
        <v>SILVERBEES</v>
      </c>
      <c r="D104" s="93">
        <f>CAPITAL!$C$2</f>
        <v>3350000</v>
      </c>
      <c r="E104" s="94" t="str">
        <f>ENTRY!C98</f>
        <v/>
      </c>
      <c r="F104" s="95" t="str">
        <f>ENTRY!D98</f>
        <v/>
      </c>
      <c r="G104" s="96" t="str">
        <f>ENTRY!E98</f>
        <v/>
      </c>
      <c r="H104" s="97">
        <f>G104*ENTRY!$O98</f>
        <v>0</v>
      </c>
      <c r="I104" s="97">
        <f>G104*ENTRY!$P98</f>
        <v>0</v>
      </c>
      <c r="J104" s="97">
        <f>G104*ENTRY!$Q98</f>
        <v>0</v>
      </c>
      <c r="K104" s="95">
        <f t="shared" si="2"/>
        <v>0</v>
      </c>
      <c r="L104" s="95" t="str">
        <f>ENTRY!F98</f>
        <v/>
      </c>
      <c r="M104" s="94" t="str">
        <f>ENTRY!G98</f>
        <v/>
      </c>
      <c r="N104" s="98" t="str">
        <f t="shared" si="3"/>
        <v/>
      </c>
      <c r="O104" s="99">
        <f t="shared" si="4"/>
        <v>0</v>
      </c>
      <c r="P104" s="99">
        <f t="shared" si="5"/>
        <v>0</v>
      </c>
      <c r="Q104" s="99">
        <f t="shared" si="6"/>
        <v>0</v>
      </c>
      <c r="R104" s="99">
        <f t="shared" si="7"/>
        <v>0</v>
      </c>
      <c r="S104" s="100" t="str">
        <f t="shared" ref="S104:V104" si="104">IFERROR(O104-Y104,"")
</f>
        <v/>
      </c>
      <c r="T104" s="100">
        <f t="shared" si="104"/>
        <v>0</v>
      </c>
      <c r="U104" s="100">
        <f t="shared" si="104"/>
        <v>0</v>
      </c>
      <c r="V104" s="100">
        <f t="shared" si="104"/>
        <v>0</v>
      </c>
      <c r="W104" s="88" t="str">
        <f t="shared" si="9"/>
        <v/>
      </c>
      <c r="X104" s="89">
        <f>S104/D104</f>
        <v>0</v>
      </c>
      <c r="Y104" s="90" t="str">
        <f t="shared" si="10"/>
        <v>ERR</v>
      </c>
      <c r="Z104" s="90">
        <f>IF(H104=0,0,CAPITAL!$H$5*Y104)
</f>
        <v>0</v>
      </c>
      <c r="AA104" s="90">
        <f>IF(I104=0,0,CAPITAL!$H$6*Y104)
</f>
        <v>0</v>
      </c>
      <c r="AB104" s="90">
        <f>IF(J104=0,0,CAPITAL!$H$7*Y104)
</f>
        <v>0</v>
      </c>
      <c r="AC104" s="90"/>
    </row>
    <row r="105">
      <c r="A105" s="103"/>
      <c r="B105" s="101">
        <v>100.0</v>
      </c>
      <c r="C105" s="79" t="str">
        <f>ENTRY!B99</f>
        <v>SILVERBEES</v>
      </c>
      <c r="D105" s="80">
        <f>CAPITAL!$C$2</f>
        <v>3350000</v>
      </c>
      <c r="E105" s="81" t="str">
        <f>ENTRY!C99</f>
        <v/>
      </c>
      <c r="F105" s="82" t="str">
        <f>ENTRY!D99</f>
        <v/>
      </c>
      <c r="G105" s="83" t="str">
        <f>ENTRY!E99</f>
        <v/>
      </c>
      <c r="H105" s="84">
        <f>G105*ENTRY!$O99</f>
        <v>0</v>
      </c>
      <c r="I105" s="84">
        <f>G105*ENTRY!$P99</f>
        <v>0</v>
      </c>
      <c r="J105" s="84">
        <f>G105*ENTRY!$Q99</f>
        <v>0</v>
      </c>
      <c r="K105" s="82">
        <f t="shared" si="2"/>
        <v>0</v>
      </c>
      <c r="L105" s="82" t="str">
        <f>ENTRY!F99</f>
        <v/>
      </c>
      <c r="M105" s="81" t="str">
        <f>ENTRY!G99</f>
        <v/>
      </c>
      <c r="N105" s="85" t="str">
        <f t="shared" si="3"/>
        <v/>
      </c>
      <c r="O105" s="86">
        <f t="shared" si="4"/>
        <v>0</v>
      </c>
      <c r="P105" s="86">
        <f t="shared" si="5"/>
        <v>0</v>
      </c>
      <c r="Q105" s="86">
        <f t="shared" si="6"/>
        <v>0</v>
      </c>
      <c r="R105" s="86">
        <f t="shared" si="7"/>
        <v>0</v>
      </c>
      <c r="S105" s="87" t="str">
        <f t="shared" ref="S105:V105" si="105">IFERROR(O105-Y105,"")
</f>
        <v/>
      </c>
      <c r="T105" s="87">
        <f t="shared" si="105"/>
        <v>0</v>
      </c>
      <c r="U105" s="87">
        <f t="shared" si="105"/>
        <v>0</v>
      </c>
      <c r="V105" s="87">
        <f t="shared" si="105"/>
        <v>0</v>
      </c>
      <c r="W105" s="88" t="str">
        <f t="shared" si="9"/>
        <v/>
      </c>
      <c r="X105" s="89">
        <f>IFERROR(S105/D105,"")</f>
        <v>0</v>
      </c>
      <c r="Y105" s="90" t="str">
        <f t="shared" si="10"/>
        <v>ERR</v>
      </c>
      <c r="Z105" s="90">
        <f>IF(H105=0,0,CAPITAL!$H$5*Y105)
</f>
        <v>0</v>
      </c>
      <c r="AA105" s="90">
        <f>IF(I105=0,0,CAPITAL!$H$6*Y105)
</f>
        <v>0</v>
      </c>
      <c r="AB105" s="90">
        <f>IF(J105=0,0,CAPITAL!$H$7*Y105)
</f>
        <v>0</v>
      </c>
      <c r="AC105" s="90"/>
    </row>
    <row r="106">
      <c r="A106" s="103"/>
      <c r="B106" s="101">
        <v>101.0</v>
      </c>
      <c r="C106" s="18" t="str">
        <f>ENTRY!B100</f>
        <v>SILVERBEES</v>
      </c>
      <c r="D106" s="93">
        <f>CAPITAL!$C$2</f>
        <v>3350000</v>
      </c>
      <c r="E106" s="94" t="str">
        <f>ENTRY!C100</f>
        <v/>
      </c>
      <c r="F106" s="95" t="str">
        <f>ENTRY!D100</f>
        <v/>
      </c>
      <c r="G106" s="96" t="str">
        <f>ENTRY!E100</f>
        <v/>
      </c>
      <c r="H106" s="97">
        <f>G106*ENTRY!$O100</f>
        <v>0</v>
      </c>
      <c r="I106" s="97">
        <f>G106*ENTRY!$P100</f>
        <v>0</v>
      </c>
      <c r="J106" s="97">
        <f>G106*ENTRY!$Q100</f>
        <v>0</v>
      </c>
      <c r="K106" s="95">
        <f t="shared" si="2"/>
        <v>0</v>
      </c>
      <c r="L106" s="95" t="str">
        <f>ENTRY!F100</f>
        <v/>
      </c>
      <c r="M106" s="94" t="str">
        <f>ENTRY!G100</f>
        <v/>
      </c>
      <c r="N106" s="98" t="str">
        <f t="shared" si="3"/>
        <v/>
      </c>
      <c r="O106" s="99">
        <f t="shared" si="4"/>
        <v>0</v>
      </c>
      <c r="P106" s="99">
        <f t="shared" si="5"/>
        <v>0</v>
      </c>
      <c r="Q106" s="99">
        <f t="shared" si="6"/>
        <v>0</v>
      </c>
      <c r="R106" s="99">
        <f t="shared" si="7"/>
        <v>0</v>
      </c>
      <c r="S106" s="100" t="str">
        <f t="shared" ref="S106:V106" si="106">IFERROR(O106-Y106,"")
</f>
        <v/>
      </c>
      <c r="T106" s="100">
        <f t="shared" si="106"/>
        <v>0</v>
      </c>
      <c r="U106" s="100">
        <f t="shared" si="106"/>
        <v>0</v>
      </c>
      <c r="V106" s="100">
        <f t="shared" si="106"/>
        <v>0</v>
      </c>
      <c r="W106" s="88" t="str">
        <f t="shared" si="9"/>
        <v/>
      </c>
      <c r="X106" s="89">
        <f>S106/D106</f>
        <v>0</v>
      </c>
      <c r="Y106" s="90" t="str">
        <f t="shared" si="10"/>
        <v>ERR</v>
      </c>
      <c r="Z106" s="90">
        <f>IF(H106=0,0,CAPITAL!$H$5*Y106)
</f>
        <v>0</v>
      </c>
      <c r="AA106" s="90">
        <f>IF(I106=0,0,CAPITAL!$H$6*Y106)
</f>
        <v>0</v>
      </c>
      <c r="AB106" s="90">
        <f>IF(J106=0,0,CAPITAL!$H$7*Y106)
</f>
        <v>0</v>
      </c>
      <c r="AC106" s="90"/>
    </row>
    <row r="107">
      <c r="A107" s="103"/>
      <c r="B107" s="101">
        <v>102.0</v>
      </c>
      <c r="C107" s="79" t="str">
        <f>ENTRY!B101</f>
        <v>SILVERBEES</v>
      </c>
      <c r="D107" s="80">
        <f>CAPITAL!$C$2</f>
        <v>3350000</v>
      </c>
      <c r="E107" s="81" t="str">
        <f>ENTRY!C101</f>
        <v/>
      </c>
      <c r="F107" s="82" t="str">
        <f>ENTRY!D101</f>
        <v/>
      </c>
      <c r="G107" s="83" t="str">
        <f>ENTRY!E101</f>
        <v/>
      </c>
      <c r="H107" s="84">
        <f>G107*ENTRY!$O101</f>
        <v>0</v>
      </c>
      <c r="I107" s="84">
        <f>G107*ENTRY!$P101</f>
        <v>0</v>
      </c>
      <c r="J107" s="84">
        <f>G107*ENTRY!$Q101</f>
        <v>0</v>
      </c>
      <c r="K107" s="82">
        <f t="shared" si="2"/>
        <v>0</v>
      </c>
      <c r="L107" s="82" t="str">
        <f>ENTRY!F101</f>
        <v/>
      </c>
      <c r="M107" s="81" t="str">
        <f>ENTRY!G101</f>
        <v/>
      </c>
      <c r="N107" s="85" t="str">
        <f t="shared" si="3"/>
        <v/>
      </c>
      <c r="O107" s="86">
        <f t="shared" si="4"/>
        <v>0</v>
      </c>
      <c r="P107" s="86">
        <f t="shared" si="5"/>
        <v>0</v>
      </c>
      <c r="Q107" s="86">
        <f t="shared" si="6"/>
        <v>0</v>
      </c>
      <c r="R107" s="86">
        <f t="shared" si="7"/>
        <v>0</v>
      </c>
      <c r="S107" s="87" t="str">
        <f t="shared" ref="S107:V107" si="107">IFERROR(O107-Y107,"")
</f>
        <v/>
      </c>
      <c r="T107" s="87">
        <f t="shared" si="107"/>
        <v>0</v>
      </c>
      <c r="U107" s="87">
        <f t="shared" si="107"/>
        <v>0</v>
      </c>
      <c r="V107" s="87">
        <f t="shared" si="107"/>
        <v>0</v>
      </c>
      <c r="W107" s="88" t="str">
        <f t="shared" si="9"/>
        <v/>
      </c>
      <c r="X107" s="89">
        <f>IFERROR(S107/D107,"")</f>
        <v>0</v>
      </c>
      <c r="Y107" s="90" t="str">
        <f t="shared" si="10"/>
        <v>ERR</v>
      </c>
      <c r="Z107" s="90">
        <f>IF(H107=0,0,CAPITAL!$H$5*Y107)
</f>
        <v>0</v>
      </c>
      <c r="AA107" s="90">
        <f>IF(I107=0,0,CAPITAL!$H$6*Y107)
</f>
        <v>0</v>
      </c>
      <c r="AB107" s="90">
        <f>IF(J107=0,0,CAPITAL!$H$7*Y107)
</f>
        <v>0</v>
      </c>
      <c r="AC107" s="90"/>
    </row>
    <row r="108">
      <c r="A108" s="103"/>
      <c r="B108" s="101">
        <v>103.0</v>
      </c>
      <c r="C108" s="18" t="str">
        <f>ENTRY!B102</f>
        <v>SILVERBEES</v>
      </c>
      <c r="D108" s="93">
        <f>CAPITAL!$C$2</f>
        <v>3350000</v>
      </c>
      <c r="E108" s="94" t="str">
        <f>ENTRY!C102</f>
        <v/>
      </c>
      <c r="F108" s="95" t="str">
        <f>ENTRY!D102</f>
        <v/>
      </c>
      <c r="G108" s="96" t="str">
        <f>ENTRY!E102</f>
        <v/>
      </c>
      <c r="H108" s="97">
        <f>G108*ENTRY!$O102</f>
        <v>0</v>
      </c>
      <c r="I108" s="97">
        <f>G108*ENTRY!$P102</f>
        <v>0</v>
      </c>
      <c r="J108" s="97">
        <f>G108*ENTRY!$Q102</f>
        <v>0</v>
      </c>
      <c r="K108" s="95">
        <f t="shared" si="2"/>
        <v>0</v>
      </c>
      <c r="L108" s="95" t="str">
        <f>ENTRY!F102</f>
        <v/>
      </c>
      <c r="M108" s="94" t="str">
        <f>ENTRY!G102</f>
        <v/>
      </c>
      <c r="N108" s="98" t="str">
        <f t="shared" si="3"/>
        <v/>
      </c>
      <c r="O108" s="99">
        <f t="shared" si="4"/>
        <v>0</v>
      </c>
      <c r="P108" s="99">
        <f t="shared" si="5"/>
        <v>0</v>
      </c>
      <c r="Q108" s="99">
        <f t="shared" si="6"/>
        <v>0</v>
      </c>
      <c r="R108" s="99">
        <f t="shared" si="7"/>
        <v>0</v>
      </c>
      <c r="S108" s="100" t="str">
        <f t="shared" ref="S108:V108" si="108">IFERROR(O108-Y108,"")
</f>
        <v/>
      </c>
      <c r="T108" s="100">
        <f t="shared" si="108"/>
        <v>0</v>
      </c>
      <c r="U108" s="100">
        <f t="shared" si="108"/>
        <v>0</v>
      </c>
      <c r="V108" s="100">
        <f t="shared" si="108"/>
        <v>0</v>
      </c>
      <c r="W108" s="88" t="str">
        <f t="shared" si="9"/>
        <v/>
      </c>
      <c r="X108" s="89">
        <f>S108/D108</f>
        <v>0</v>
      </c>
      <c r="Y108" s="90" t="str">
        <f t="shared" si="10"/>
        <v>ERR</v>
      </c>
      <c r="Z108" s="90">
        <f>IF(H108=0,0,CAPITAL!$H$5*Y108)
</f>
        <v>0</v>
      </c>
      <c r="AA108" s="90">
        <f>IF(I108=0,0,CAPITAL!$H$6*Y108)
</f>
        <v>0</v>
      </c>
      <c r="AB108" s="90">
        <f>IF(J108=0,0,CAPITAL!$H$7*Y108)
</f>
        <v>0</v>
      </c>
      <c r="AC108" s="90"/>
    </row>
    <row r="109">
      <c r="A109" s="103"/>
      <c r="B109" s="101">
        <v>104.0</v>
      </c>
      <c r="C109" s="79" t="str">
        <f>ENTRY!B103</f>
        <v>SILVERBEES</v>
      </c>
      <c r="D109" s="80">
        <f>CAPITAL!$C$2</f>
        <v>3350000</v>
      </c>
      <c r="E109" s="81" t="str">
        <f>ENTRY!C103</f>
        <v/>
      </c>
      <c r="F109" s="82" t="str">
        <f>ENTRY!D103</f>
        <v/>
      </c>
      <c r="G109" s="83" t="str">
        <f>ENTRY!E103</f>
        <v/>
      </c>
      <c r="H109" s="84">
        <f>G109*ENTRY!$O103</f>
        <v>0</v>
      </c>
      <c r="I109" s="84">
        <f>G109*ENTRY!$P103</f>
        <v>0</v>
      </c>
      <c r="J109" s="84">
        <f>G109*ENTRY!$Q103</f>
        <v>0</v>
      </c>
      <c r="K109" s="82">
        <f t="shared" si="2"/>
        <v>0</v>
      </c>
      <c r="L109" s="82" t="str">
        <f>ENTRY!F103</f>
        <v/>
      </c>
      <c r="M109" s="81" t="str">
        <f>ENTRY!G103</f>
        <v/>
      </c>
      <c r="N109" s="85" t="str">
        <f t="shared" si="3"/>
        <v/>
      </c>
      <c r="O109" s="86">
        <f t="shared" si="4"/>
        <v>0</v>
      </c>
      <c r="P109" s="86">
        <f t="shared" si="5"/>
        <v>0</v>
      </c>
      <c r="Q109" s="86">
        <f t="shared" si="6"/>
        <v>0</v>
      </c>
      <c r="R109" s="86">
        <f t="shared" si="7"/>
        <v>0</v>
      </c>
      <c r="S109" s="87" t="str">
        <f t="shared" ref="S109:V109" si="109">IFERROR(O109-Y109,"")
</f>
        <v/>
      </c>
      <c r="T109" s="87">
        <f t="shared" si="109"/>
        <v>0</v>
      </c>
      <c r="U109" s="87">
        <f t="shared" si="109"/>
        <v>0</v>
      </c>
      <c r="V109" s="87">
        <f t="shared" si="109"/>
        <v>0</v>
      </c>
      <c r="W109" s="88" t="str">
        <f t="shared" si="9"/>
        <v/>
      </c>
      <c r="X109" s="89">
        <f>IFERROR(S109/D109,"")</f>
        <v>0</v>
      </c>
      <c r="Y109" s="90" t="str">
        <f t="shared" si="10"/>
        <v>ERR</v>
      </c>
      <c r="Z109" s="90">
        <f>IF(H109=0,0,CAPITAL!$H$5*Y109)
</f>
        <v>0</v>
      </c>
      <c r="AA109" s="90">
        <f>IF(I109=0,0,CAPITAL!$H$6*Y109)
</f>
        <v>0</v>
      </c>
      <c r="AB109" s="90">
        <f>IF(J109=0,0,CAPITAL!$H$7*Y109)
</f>
        <v>0</v>
      </c>
      <c r="AC109" s="90"/>
    </row>
    <row r="110">
      <c r="A110" s="103"/>
      <c r="B110" s="101">
        <v>105.0</v>
      </c>
      <c r="C110" s="18" t="str">
        <f>ENTRY!B104</f>
        <v>SILVERBEES</v>
      </c>
      <c r="D110" s="93">
        <f>CAPITAL!$C$2</f>
        <v>3350000</v>
      </c>
      <c r="E110" s="94" t="str">
        <f>ENTRY!C104</f>
        <v/>
      </c>
      <c r="F110" s="95" t="str">
        <f>ENTRY!D104</f>
        <v/>
      </c>
      <c r="G110" s="96" t="str">
        <f>ENTRY!E104</f>
        <v/>
      </c>
      <c r="H110" s="97">
        <f>G110*ENTRY!$O104</f>
        <v>0</v>
      </c>
      <c r="I110" s="97">
        <f>G110*ENTRY!$P104</f>
        <v>0</v>
      </c>
      <c r="J110" s="97">
        <f>G110*ENTRY!$Q104</f>
        <v>0</v>
      </c>
      <c r="K110" s="95">
        <f t="shared" si="2"/>
        <v>0</v>
      </c>
      <c r="L110" s="95" t="str">
        <f>ENTRY!F104</f>
        <v/>
      </c>
      <c r="M110" s="94" t="str">
        <f>ENTRY!G104</f>
        <v/>
      </c>
      <c r="N110" s="98" t="str">
        <f t="shared" si="3"/>
        <v/>
      </c>
      <c r="O110" s="99">
        <f t="shared" si="4"/>
        <v>0</v>
      </c>
      <c r="P110" s="99">
        <f t="shared" si="5"/>
        <v>0</v>
      </c>
      <c r="Q110" s="99">
        <f t="shared" si="6"/>
        <v>0</v>
      </c>
      <c r="R110" s="99">
        <f t="shared" si="7"/>
        <v>0</v>
      </c>
      <c r="S110" s="100" t="str">
        <f t="shared" ref="S110:V110" si="110">IFERROR(O110-Y110,"")
</f>
        <v/>
      </c>
      <c r="T110" s="100">
        <f t="shared" si="110"/>
        <v>0</v>
      </c>
      <c r="U110" s="100">
        <f t="shared" si="110"/>
        <v>0</v>
      </c>
      <c r="V110" s="100">
        <f t="shared" si="110"/>
        <v>0</v>
      </c>
      <c r="W110" s="88" t="str">
        <f t="shared" si="9"/>
        <v/>
      </c>
      <c r="X110" s="89">
        <f>S110/D110</f>
        <v>0</v>
      </c>
      <c r="Y110" s="90" t="str">
        <f t="shared" si="10"/>
        <v>ERR</v>
      </c>
      <c r="Z110" s="90">
        <f>IF(H110=0,0,CAPITAL!$H$5*Y110)
</f>
        <v>0</v>
      </c>
      <c r="AA110" s="90">
        <f>IF(I110=0,0,CAPITAL!$H$6*Y110)
</f>
        <v>0</v>
      </c>
      <c r="AB110" s="90">
        <f>IF(J110=0,0,CAPITAL!$H$7*Y110)
</f>
        <v>0</v>
      </c>
      <c r="AC110" s="90"/>
    </row>
    <row r="111">
      <c r="A111" s="103"/>
      <c r="B111" s="101">
        <v>106.0</v>
      </c>
      <c r="C111" s="79" t="str">
        <f>ENTRY!B105</f>
        <v>SILVERBEES</v>
      </c>
      <c r="D111" s="80">
        <f>CAPITAL!$C$2</f>
        <v>3350000</v>
      </c>
      <c r="E111" s="81" t="str">
        <f>ENTRY!C105</f>
        <v/>
      </c>
      <c r="F111" s="82" t="str">
        <f>ENTRY!D105</f>
        <v/>
      </c>
      <c r="G111" s="83" t="str">
        <f>ENTRY!E105</f>
        <v/>
      </c>
      <c r="H111" s="84">
        <f>G111*ENTRY!$O105</f>
        <v>0</v>
      </c>
      <c r="I111" s="84">
        <f>G111*ENTRY!$P105</f>
        <v>0</v>
      </c>
      <c r="J111" s="84">
        <f>G111*ENTRY!$Q105</f>
        <v>0</v>
      </c>
      <c r="K111" s="82">
        <f t="shared" si="2"/>
        <v>0</v>
      </c>
      <c r="L111" s="82" t="str">
        <f>ENTRY!F105</f>
        <v/>
      </c>
      <c r="M111" s="81" t="str">
        <f>ENTRY!G105</f>
        <v/>
      </c>
      <c r="N111" s="85" t="str">
        <f t="shared" si="3"/>
        <v/>
      </c>
      <c r="O111" s="86">
        <f t="shared" si="4"/>
        <v>0</v>
      </c>
      <c r="P111" s="86">
        <f t="shared" si="5"/>
        <v>0</v>
      </c>
      <c r="Q111" s="86">
        <f t="shared" si="6"/>
        <v>0</v>
      </c>
      <c r="R111" s="86">
        <f t="shared" si="7"/>
        <v>0</v>
      </c>
      <c r="S111" s="87" t="str">
        <f t="shared" ref="S111:V111" si="111">IFERROR(O111-Y111,"")
</f>
        <v/>
      </c>
      <c r="T111" s="87">
        <f t="shared" si="111"/>
        <v>0</v>
      </c>
      <c r="U111" s="87">
        <f t="shared" si="111"/>
        <v>0</v>
      </c>
      <c r="V111" s="87">
        <f t="shared" si="111"/>
        <v>0</v>
      </c>
      <c r="W111" s="88" t="str">
        <f t="shared" si="9"/>
        <v/>
      </c>
      <c r="X111" s="89">
        <f>IFERROR(S111/D111,"")</f>
        <v>0</v>
      </c>
      <c r="Y111" s="90" t="str">
        <f t="shared" si="10"/>
        <v>ERR</v>
      </c>
      <c r="Z111" s="90">
        <f>IF(H111=0,0,CAPITAL!$H$5*Y111)
</f>
        <v>0</v>
      </c>
      <c r="AA111" s="90">
        <f>IF(I111=0,0,CAPITAL!$H$6*Y111)
</f>
        <v>0</v>
      </c>
      <c r="AB111" s="90">
        <f>IF(J111=0,0,CAPITAL!$H$7*Y111)
</f>
        <v>0</v>
      </c>
      <c r="AC111" s="90"/>
    </row>
    <row r="112">
      <c r="A112" s="103"/>
      <c r="B112" s="101">
        <v>107.0</v>
      </c>
      <c r="C112" s="18" t="str">
        <f>ENTRY!B106</f>
        <v>SILVERBEES</v>
      </c>
      <c r="D112" s="93">
        <f>CAPITAL!$C$2</f>
        <v>3350000</v>
      </c>
      <c r="E112" s="94" t="str">
        <f>ENTRY!C106</f>
        <v/>
      </c>
      <c r="F112" s="95" t="str">
        <f>ENTRY!D106</f>
        <v/>
      </c>
      <c r="G112" s="96" t="str">
        <f>ENTRY!E106</f>
        <v/>
      </c>
      <c r="H112" s="97">
        <f>G112*ENTRY!$O106</f>
        <v>0</v>
      </c>
      <c r="I112" s="97">
        <f>G112*ENTRY!$P106</f>
        <v>0</v>
      </c>
      <c r="J112" s="97">
        <f>G112*ENTRY!$Q106</f>
        <v>0</v>
      </c>
      <c r="K112" s="95">
        <f t="shared" si="2"/>
        <v>0</v>
      </c>
      <c r="L112" s="95" t="str">
        <f>ENTRY!F106</f>
        <v/>
      </c>
      <c r="M112" s="94" t="str">
        <f>ENTRY!G106</f>
        <v/>
      </c>
      <c r="N112" s="98" t="str">
        <f t="shared" si="3"/>
        <v/>
      </c>
      <c r="O112" s="99">
        <f t="shared" si="4"/>
        <v>0</v>
      </c>
      <c r="P112" s="99">
        <f t="shared" si="5"/>
        <v>0</v>
      </c>
      <c r="Q112" s="99">
        <f t="shared" si="6"/>
        <v>0</v>
      </c>
      <c r="R112" s="99">
        <f t="shared" si="7"/>
        <v>0</v>
      </c>
      <c r="S112" s="100" t="str">
        <f t="shared" ref="S112:V112" si="112">IFERROR(O112-Y112,"")
</f>
        <v/>
      </c>
      <c r="T112" s="100">
        <f t="shared" si="112"/>
        <v>0</v>
      </c>
      <c r="U112" s="100">
        <f t="shared" si="112"/>
        <v>0</v>
      </c>
      <c r="V112" s="100">
        <f t="shared" si="112"/>
        <v>0</v>
      </c>
      <c r="W112" s="88" t="str">
        <f t="shared" si="9"/>
        <v/>
      </c>
      <c r="X112" s="89">
        <f>S112/D112</f>
        <v>0</v>
      </c>
      <c r="Y112" s="90" t="str">
        <f t="shared" si="10"/>
        <v>ERR</v>
      </c>
      <c r="Z112" s="90">
        <f>IF(H112=0,0,CAPITAL!$H$5*Y112)
</f>
        <v>0</v>
      </c>
      <c r="AA112" s="90">
        <f>IF(I112=0,0,CAPITAL!$H$6*Y112)
</f>
        <v>0</v>
      </c>
      <c r="AB112" s="90">
        <f>IF(J112=0,0,CAPITAL!$H$7*Y112)
</f>
        <v>0</v>
      </c>
      <c r="AC112" s="90"/>
    </row>
    <row r="113">
      <c r="A113" s="103"/>
      <c r="B113" s="101">
        <v>108.0</v>
      </c>
      <c r="C113" s="79" t="str">
        <f>ENTRY!B107</f>
        <v>SILVERBEES</v>
      </c>
      <c r="D113" s="80">
        <f>CAPITAL!$C$2</f>
        <v>3350000</v>
      </c>
      <c r="E113" s="81" t="str">
        <f>ENTRY!C107</f>
        <v/>
      </c>
      <c r="F113" s="82" t="str">
        <f>ENTRY!D107</f>
        <v/>
      </c>
      <c r="G113" s="83" t="str">
        <f>ENTRY!E107</f>
        <v/>
      </c>
      <c r="H113" s="84">
        <f>G113*ENTRY!$O107</f>
        <v>0</v>
      </c>
      <c r="I113" s="84">
        <f>G113*ENTRY!$P107</f>
        <v>0</v>
      </c>
      <c r="J113" s="84">
        <f>G113*ENTRY!$Q107</f>
        <v>0</v>
      </c>
      <c r="K113" s="82">
        <f t="shared" si="2"/>
        <v>0</v>
      </c>
      <c r="L113" s="82" t="str">
        <f>ENTRY!F107</f>
        <v/>
      </c>
      <c r="M113" s="81" t="str">
        <f>ENTRY!G107</f>
        <v/>
      </c>
      <c r="N113" s="85" t="str">
        <f t="shared" si="3"/>
        <v/>
      </c>
      <c r="O113" s="86">
        <f t="shared" si="4"/>
        <v>0</v>
      </c>
      <c r="P113" s="86">
        <f t="shared" si="5"/>
        <v>0</v>
      </c>
      <c r="Q113" s="86">
        <f t="shared" si="6"/>
        <v>0</v>
      </c>
      <c r="R113" s="86">
        <f t="shared" si="7"/>
        <v>0</v>
      </c>
      <c r="S113" s="87" t="str">
        <f t="shared" ref="S113:V113" si="113">IFERROR(O113-Y113,"")
</f>
        <v/>
      </c>
      <c r="T113" s="87">
        <f t="shared" si="113"/>
        <v>0</v>
      </c>
      <c r="U113" s="87">
        <f t="shared" si="113"/>
        <v>0</v>
      </c>
      <c r="V113" s="87">
        <f t="shared" si="113"/>
        <v>0</v>
      </c>
      <c r="W113" s="88" t="str">
        <f t="shared" si="9"/>
        <v/>
      </c>
      <c r="X113" s="89">
        <f>IFERROR(S113/D113,"")</f>
        <v>0</v>
      </c>
      <c r="Y113" s="90" t="str">
        <f t="shared" si="10"/>
        <v>ERR</v>
      </c>
      <c r="Z113" s="90">
        <f>IF(H113=0,0,CAPITAL!$H$5*Y113)
</f>
        <v>0</v>
      </c>
      <c r="AA113" s="90">
        <f>IF(I113=0,0,CAPITAL!$H$6*Y113)
</f>
        <v>0</v>
      </c>
      <c r="AB113" s="90">
        <f>IF(J113=0,0,CAPITAL!$H$7*Y113)
</f>
        <v>0</v>
      </c>
      <c r="AC113" s="90"/>
    </row>
    <row r="114">
      <c r="A114" s="103"/>
      <c r="B114" s="101">
        <v>109.0</v>
      </c>
      <c r="C114" s="18" t="str">
        <f>ENTRY!B108</f>
        <v>SILVERBEES</v>
      </c>
      <c r="D114" s="93">
        <f>CAPITAL!$C$2</f>
        <v>3350000</v>
      </c>
      <c r="E114" s="94" t="str">
        <f>ENTRY!C108</f>
        <v/>
      </c>
      <c r="F114" s="95" t="str">
        <f>ENTRY!D108</f>
        <v/>
      </c>
      <c r="G114" s="96" t="str">
        <f>ENTRY!E108</f>
        <v/>
      </c>
      <c r="H114" s="97">
        <f>G114*ENTRY!$O108</f>
        <v>0</v>
      </c>
      <c r="I114" s="97">
        <f>G114*ENTRY!$P108</f>
        <v>0</v>
      </c>
      <c r="J114" s="97">
        <f>G114*ENTRY!$Q108</f>
        <v>0</v>
      </c>
      <c r="K114" s="95">
        <f t="shared" si="2"/>
        <v>0</v>
      </c>
      <c r="L114" s="95" t="str">
        <f>ENTRY!F108</f>
        <v/>
      </c>
      <c r="M114" s="94" t="str">
        <f>ENTRY!G108</f>
        <v/>
      </c>
      <c r="N114" s="98" t="str">
        <f t="shared" si="3"/>
        <v/>
      </c>
      <c r="O114" s="99">
        <f t="shared" si="4"/>
        <v>0</v>
      </c>
      <c r="P114" s="99">
        <f t="shared" si="5"/>
        <v>0</v>
      </c>
      <c r="Q114" s="99">
        <f t="shared" si="6"/>
        <v>0</v>
      </c>
      <c r="R114" s="99">
        <f t="shared" si="7"/>
        <v>0</v>
      </c>
      <c r="S114" s="100" t="str">
        <f t="shared" ref="S114:V114" si="114">IFERROR(O114-Y114,"")
</f>
        <v/>
      </c>
      <c r="T114" s="100">
        <f t="shared" si="114"/>
        <v>0</v>
      </c>
      <c r="U114" s="100">
        <f t="shared" si="114"/>
        <v>0</v>
      </c>
      <c r="V114" s="100">
        <f t="shared" si="114"/>
        <v>0</v>
      </c>
      <c r="W114" s="88" t="str">
        <f t="shared" si="9"/>
        <v/>
      </c>
      <c r="X114" s="89">
        <f>S114/D114</f>
        <v>0</v>
      </c>
      <c r="Y114" s="90" t="str">
        <f t="shared" si="10"/>
        <v>ERR</v>
      </c>
      <c r="Z114" s="90">
        <f>IF(H114=0,0,CAPITAL!$H$5*Y114)
</f>
        <v>0</v>
      </c>
      <c r="AA114" s="90">
        <f>IF(I114=0,0,CAPITAL!$H$6*Y114)
</f>
        <v>0</v>
      </c>
      <c r="AB114" s="90">
        <f>IF(J114=0,0,CAPITAL!$H$7*Y114)
</f>
        <v>0</v>
      </c>
      <c r="AC114" s="90"/>
    </row>
    <row r="115">
      <c r="A115" s="103"/>
      <c r="B115" s="101">
        <v>110.0</v>
      </c>
      <c r="C115" s="79" t="str">
        <f>ENTRY!B109</f>
        <v>SILVERBEES</v>
      </c>
      <c r="D115" s="80">
        <f>CAPITAL!$C$2</f>
        <v>3350000</v>
      </c>
      <c r="E115" s="81" t="str">
        <f>ENTRY!C109</f>
        <v/>
      </c>
      <c r="F115" s="82" t="str">
        <f>ENTRY!D109</f>
        <v/>
      </c>
      <c r="G115" s="83" t="str">
        <f>ENTRY!E109</f>
        <v/>
      </c>
      <c r="H115" s="84">
        <f>G115*ENTRY!$O109</f>
        <v>0</v>
      </c>
      <c r="I115" s="84">
        <f>G115*ENTRY!$P109</f>
        <v>0</v>
      </c>
      <c r="J115" s="84">
        <f>G115*ENTRY!$Q109</f>
        <v>0</v>
      </c>
      <c r="K115" s="82">
        <f t="shared" si="2"/>
        <v>0</v>
      </c>
      <c r="L115" s="82" t="str">
        <f>ENTRY!F109</f>
        <v/>
      </c>
      <c r="M115" s="81" t="str">
        <f>ENTRY!G109</f>
        <v/>
      </c>
      <c r="N115" s="85" t="str">
        <f t="shared" si="3"/>
        <v/>
      </c>
      <c r="O115" s="86">
        <f t="shared" si="4"/>
        <v>0</v>
      </c>
      <c r="P115" s="86">
        <f t="shared" si="5"/>
        <v>0</v>
      </c>
      <c r="Q115" s="86">
        <f t="shared" si="6"/>
        <v>0</v>
      </c>
      <c r="R115" s="86">
        <f t="shared" si="7"/>
        <v>0</v>
      </c>
      <c r="S115" s="87" t="str">
        <f t="shared" ref="S115:V115" si="115">IFERROR(O115-Y115,"")
</f>
        <v/>
      </c>
      <c r="T115" s="87">
        <f t="shared" si="115"/>
        <v>0</v>
      </c>
      <c r="U115" s="87">
        <f t="shared" si="115"/>
        <v>0</v>
      </c>
      <c r="V115" s="87">
        <f t="shared" si="115"/>
        <v>0</v>
      </c>
      <c r="W115" s="88" t="str">
        <f t="shared" si="9"/>
        <v/>
      </c>
      <c r="X115" s="89">
        <f>IFERROR(S115/D115,"")</f>
        <v>0</v>
      </c>
      <c r="Y115" s="90" t="str">
        <f t="shared" si="10"/>
        <v>ERR</v>
      </c>
      <c r="Z115" s="90">
        <f>IF(H115=0,0,CAPITAL!$H$5*Y115)
</f>
        <v>0</v>
      </c>
      <c r="AA115" s="90">
        <f>IF(I115=0,0,CAPITAL!$H$6*Y115)
</f>
        <v>0</v>
      </c>
      <c r="AB115" s="90">
        <f>IF(J115=0,0,CAPITAL!$H$7*Y115)
</f>
        <v>0</v>
      </c>
      <c r="AC115" s="90"/>
    </row>
    <row r="116">
      <c r="A116" s="103"/>
      <c r="B116" s="101">
        <v>111.0</v>
      </c>
      <c r="C116" s="18" t="str">
        <f>ENTRY!B110</f>
        <v>SILVERBEES</v>
      </c>
      <c r="D116" s="93">
        <f>CAPITAL!$C$2</f>
        <v>3350000</v>
      </c>
      <c r="E116" s="94" t="str">
        <f>ENTRY!C110</f>
        <v/>
      </c>
      <c r="F116" s="95" t="str">
        <f>ENTRY!D110</f>
        <v/>
      </c>
      <c r="G116" s="96" t="str">
        <f>ENTRY!E110</f>
        <v/>
      </c>
      <c r="H116" s="97">
        <f>G116*ENTRY!$O110</f>
        <v>0</v>
      </c>
      <c r="I116" s="97">
        <f>G116*ENTRY!$P110</f>
        <v>0</v>
      </c>
      <c r="J116" s="97">
        <f>G116*ENTRY!$Q110</f>
        <v>0</v>
      </c>
      <c r="K116" s="95">
        <f t="shared" si="2"/>
        <v>0</v>
      </c>
      <c r="L116" s="95" t="str">
        <f>ENTRY!F110</f>
        <v/>
      </c>
      <c r="M116" s="94" t="str">
        <f>ENTRY!G110</f>
        <v/>
      </c>
      <c r="N116" s="98" t="str">
        <f t="shared" si="3"/>
        <v/>
      </c>
      <c r="O116" s="99">
        <f t="shared" si="4"/>
        <v>0</v>
      </c>
      <c r="P116" s="99">
        <f t="shared" si="5"/>
        <v>0</v>
      </c>
      <c r="Q116" s="99">
        <f t="shared" si="6"/>
        <v>0</v>
      </c>
      <c r="R116" s="99">
        <f t="shared" si="7"/>
        <v>0</v>
      </c>
      <c r="S116" s="100" t="str">
        <f t="shared" ref="S116:V116" si="116">IFERROR(O116-Y116,"")
</f>
        <v/>
      </c>
      <c r="T116" s="100">
        <f t="shared" si="116"/>
        <v>0</v>
      </c>
      <c r="U116" s="100">
        <f t="shared" si="116"/>
        <v>0</v>
      </c>
      <c r="V116" s="100">
        <f t="shared" si="116"/>
        <v>0</v>
      </c>
      <c r="W116" s="88" t="str">
        <f t="shared" si="9"/>
        <v/>
      </c>
      <c r="X116" s="89">
        <f>S116/D116</f>
        <v>0</v>
      </c>
      <c r="Y116" s="90" t="str">
        <f t="shared" si="10"/>
        <v>ERR</v>
      </c>
      <c r="Z116" s="90">
        <f>IF(H116=0,0,CAPITAL!$H$5*Y116)
</f>
        <v>0</v>
      </c>
      <c r="AA116" s="90">
        <f>IF(I116=0,0,CAPITAL!$H$6*Y116)
</f>
        <v>0</v>
      </c>
      <c r="AB116" s="90">
        <f>IF(J116=0,0,CAPITAL!$H$7*Y116)
</f>
        <v>0</v>
      </c>
      <c r="AC116" s="90"/>
    </row>
    <row r="117">
      <c r="A117" s="103"/>
      <c r="B117" s="101">
        <v>112.0</v>
      </c>
      <c r="C117" s="79" t="str">
        <f>ENTRY!B111</f>
        <v>SILVERBEES</v>
      </c>
      <c r="D117" s="80">
        <f>CAPITAL!$C$2</f>
        <v>3350000</v>
      </c>
      <c r="E117" s="81" t="str">
        <f>ENTRY!C111</f>
        <v/>
      </c>
      <c r="F117" s="82" t="str">
        <f>ENTRY!D111</f>
        <v/>
      </c>
      <c r="G117" s="83" t="str">
        <f>ENTRY!E111</f>
        <v/>
      </c>
      <c r="H117" s="84">
        <f>G117*ENTRY!$O111</f>
        <v>0</v>
      </c>
      <c r="I117" s="84">
        <f>G117*ENTRY!$P111</f>
        <v>0</v>
      </c>
      <c r="J117" s="84">
        <f>G117*ENTRY!$Q111</f>
        <v>0</v>
      </c>
      <c r="K117" s="82">
        <f t="shared" si="2"/>
        <v>0</v>
      </c>
      <c r="L117" s="82" t="str">
        <f>ENTRY!F111</f>
        <v/>
      </c>
      <c r="M117" s="81" t="str">
        <f>ENTRY!G111</f>
        <v/>
      </c>
      <c r="N117" s="85" t="str">
        <f t="shared" si="3"/>
        <v/>
      </c>
      <c r="O117" s="86">
        <f t="shared" si="4"/>
        <v>0</v>
      </c>
      <c r="P117" s="86">
        <f t="shared" si="5"/>
        <v>0</v>
      </c>
      <c r="Q117" s="86">
        <f t="shared" si="6"/>
        <v>0</v>
      </c>
      <c r="R117" s="86">
        <f t="shared" si="7"/>
        <v>0</v>
      </c>
      <c r="S117" s="87" t="str">
        <f t="shared" ref="S117:V117" si="117">IFERROR(O117-Y117,"")
</f>
        <v/>
      </c>
      <c r="T117" s="87">
        <f t="shared" si="117"/>
        <v>0</v>
      </c>
      <c r="U117" s="87">
        <f t="shared" si="117"/>
        <v>0</v>
      </c>
      <c r="V117" s="87">
        <f t="shared" si="117"/>
        <v>0</v>
      </c>
      <c r="W117" s="88" t="str">
        <f t="shared" si="9"/>
        <v/>
      </c>
      <c r="X117" s="89">
        <f>IFERROR(S117/D117,"")</f>
        <v>0</v>
      </c>
      <c r="Y117" s="90" t="str">
        <f t="shared" si="10"/>
        <v>ERR</v>
      </c>
      <c r="Z117" s="90">
        <f>IF(H117=0,0,CAPITAL!$H$5*Y117)
</f>
        <v>0</v>
      </c>
      <c r="AA117" s="90">
        <f>IF(I117=0,0,CAPITAL!$H$6*Y117)
</f>
        <v>0</v>
      </c>
      <c r="AB117" s="90">
        <f>IF(J117=0,0,CAPITAL!$H$7*Y117)
</f>
        <v>0</v>
      </c>
      <c r="AC117" s="90"/>
    </row>
    <row r="118">
      <c r="A118" s="103"/>
      <c r="B118" s="101">
        <v>113.0</v>
      </c>
      <c r="C118" s="18" t="str">
        <f>ENTRY!B112</f>
        <v>SILVERBEES</v>
      </c>
      <c r="D118" s="93">
        <f>CAPITAL!$C$2</f>
        <v>3350000</v>
      </c>
      <c r="E118" s="94" t="str">
        <f>ENTRY!C112</f>
        <v/>
      </c>
      <c r="F118" s="95" t="str">
        <f>ENTRY!D112</f>
        <v/>
      </c>
      <c r="G118" s="96" t="str">
        <f>ENTRY!E112</f>
        <v/>
      </c>
      <c r="H118" s="97">
        <f>G118*ENTRY!$O112</f>
        <v>0</v>
      </c>
      <c r="I118" s="97">
        <f>G118*ENTRY!$P112</f>
        <v>0</v>
      </c>
      <c r="J118" s="97">
        <f>G118*ENTRY!$Q112</f>
        <v>0</v>
      </c>
      <c r="K118" s="95">
        <f t="shared" si="2"/>
        <v>0</v>
      </c>
      <c r="L118" s="95" t="str">
        <f>ENTRY!F112</f>
        <v/>
      </c>
      <c r="M118" s="94" t="str">
        <f>ENTRY!G112</f>
        <v/>
      </c>
      <c r="N118" s="98" t="str">
        <f t="shared" si="3"/>
        <v/>
      </c>
      <c r="O118" s="99">
        <f t="shared" si="4"/>
        <v>0</v>
      </c>
      <c r="P118" s="99">
        <f t="shared" si="5"/>
        <v>0</v>
      </c>
      <c r="Q118" s="99">
        <f t="shared" si="6"/>
        <v>0</v>
      </c>
      <c r="R118" s="99">
        <f t="shared" si="7"/>
        <v>0</v>
      </c>
      <c r="S118" s="100" t="str">
        <f t="shared" ref="S118:V118" si="118">IFERROR(O118-Y118,"")
</f>
        <v/>
      </c>
      <c r="T118" s="100">
        <f t="shared" si="118"/>
        <v>0</v>
      </c>
      <c r="U118" s="100">
        <f t="shared" si="118"/>
        <v>0</v>
      </c>
      <c r="V118" s="100">
        <f t="shared" si="118"/>
        <v>0</v>
      </c>
      <c r="W118" s="88" t="str">
        <f t="shared" si="9"/>
        <v/>
      </c>
      <c r="X118" s="89">
        <f>S118/D118</f>
        <v>0</v>
      </c>
      <c r="Y118" s="90" t="str">
        <f t="shared" si="10"/>
        <v>ERR</v>
      </c>
      <c r="Z118" s="90">
        <f>IF(H118=0,0,CAPITAL!$H$5*Y118)
</f>
        <v>0</v>
      </c>
      <c r="AA118" s="90">
        <f>IF(I118=0,0,CAPITAL!$H$6*Y118)
</f>
        <v>0</v>
      </c>
      <c r="AB118" s="90">
        <f>IF(J118=0,0,CAPITAL!$H$7*Y118)
</f>
        <v>0</v>
      </c>
      <c r="AC118" s="90"/>
    </row>
    <row r="119">
      <c r="A119" s="103"/>
      <c r="B119" s="101">
        <v>114.0</v>
      </c>
      <c r="C119" s="79" t="str">
        <f>ENTRY!B113</f>
        <v>SILVERBEES</v>
      </c>
      <c r="D119" s="80">
        <f>CAPITAL!$C$2</f>
        <v>3350000</v>
      </c>
      <c r="E119" s="81" t="str">
        <f>ENTRY!C113</f>
        <v/>
      </c>
      <c r="F119" s="82" t="str">
        <f>ENTRY!D113</f>
        <v/>
      </c>
      <c r="G119" s="83" t="str">
        <f>ENTRY!E113</f>
        <v/>
      </c>
      <c r="H119" s="84">
        <f>G119*ENTRY!$O113</f>
        <v>0</v>
      </c>
      <c r="I119" s="84">
        <f>G119*ENTRY!$P113</f>
        <v>0</v>
      </c>
      <c r="J119" s="84">
        <f>G119*ENTRY!$Q113</f>
        <v>0</v>
      </c>
      <c r="K119" s="82">
        <f t="shared" si="2"/>
        <v>0</v>
      </c>
      <c r="L119" s="82" t="str">
        <f>ENTRY!F113</f>
        <v/>
      </c>
      <c r="M119" s="81" t="str">
        <f>ENTRY!G113</f>
        <v/>
      </c>
      <c r="N119" s="85" t="str">
        <f t="shared" si="3"/>
        <v/>
      </c>
      <c r="O119" s="86">
        <f t="shared" si="4"/>
        <v>0</v>
      </c>
      <c r="P119" s="86">
        <f t="shared" si="5"/>
        <v>0</v>
      </c>
      <c r="Q119" s="86">
        <f t="shared" si="6"/>
        <v>0</v>
      </c>
      <c r="R119" s="86">
        <f t="shared" si="7"/>
        <v>0</v>
      </c>
      <c r="S119" s="87" t="str">
        <f t="shared" ref="S119:V119" si="119">IFERROR(O119-Y119,"")
</f>
        <v/>
      </c>
      <c r="T119" s="87">
        <f t="shared" si="119"/>
        <v>0</v>
      </c>
      <c r="U119" s="87">
        <f t="shared" si="119"/>
        <v>0</v>
      </c>
      <c r="V119" s="87">
        <f t="shared" si="119"/>
        <v>0</v>
      </c>
      <c r="W119" s="88" t="str">
        <f t="shared" si="9"/>
        <v/>
      </c>
      <c r="X119" s="89">
        <f>IFERROR(S119/D119,"")</f>
        <v>0</v>
      </c>
      <c r="Y119" s="90" t="str">
        <f t="shared" si="10"/>
        <v>ERR</v>
      </c>
      <c r="Z119" s="90">
        <f>IF(H119=0,0,CAPITAL!$H$5*Y119)
</f>
        <v>0</v>
      </c>
      <c r="AA119" s="90">
        <f>IF(I119=0,0,CAPITAL!$H$6*Y119)
</f>
        <v>0</v>
      </c>
      <c r="AB119" s="90">
        <f>IF(J119=0,0,CAPITAL!$H$7*Y119)
</f>
        <v>0</v>
      </c>
      <c r="AC119" s="90"/>
    </row>
    <row r="120">
      <c r="A120" s="103"/>
      <c r="B120" s="101">
        <v>115.0</v>
      </c>
      <c r="C120" s="18" t="str">
        <f>ENTRY!B114</f>
        <v>SILVERBEES</v>
      </c>
      <c r="D120" s="93">
        <f>CAPITAL!$C$2</f>
        <v>3350000</v>
      </c>
      <c r="E120" s="94" t="str">
        <f>ENTRY!C114</f>
        <v/>
      </c>
      <c r="F120" s="95" t="str">
        <f>ENTRY!D114</f>
        <v/>
      </c>
      <c r="G120" s="96" t="str">
        <f>ENTRY!E114</f>
        <v/>
      </c>
      <c r="H120" s="97">
        <f>G120*ENTRY!$O114</f>
        <v>0</v>
      </c>
      <c r="I120" s="97">
        <f>G120*ENTRY!$P114</f>
        <v>0</v>
      </c>
      <c r="J120" s="97">
        <f>G120*ENTRY!$Q114</f>
        <v>0</v>
      </c>
      <c r="K120" s="95">
        <f t="shared" si="2"/>
        <v>0</v>
      </c>
      <c r="L120" s="95" t="str">
        <f>ENTRY!F114</f>
        <v/>
      </c>
      <c r="M120" s="94" t="str">
        <f>ENTRY!G114</f>
        <v/>
      </c>
      <c r="N120" s="98" t="str">
        <f t="shared" si="3"/>
        <v/>
      </c>
      <c r="O120" s="99">
        <f t="shared" si="4"/>
        <v>0</v>
      </c>
      <c r="P120" s="99">
        <f t="shared" si="5"/>
        <v>0</v>
      </c>
      <c r="Q120" s="99">
        <f t="shared" si="6"/>
        <v>0</v>
      </c>
      <c r="R120" s="99">
        <f t="shared" si="7"/>
        <v>0</v>
      </c>
      <c r="S120" s="100" t="str">
        <f t="shared" ref="S120:V120" si="120">IFERROR(O120-Y120,"")
</f>
        <v/>
      </c>
      <c r="T120" s="100">
        <f t="shared" si="120"/>
        <v>0</v>
      </c>
      <c r="U120" s="100">
        <f t="shared" si="120"/>
        <v>0</v>
      </c>
      <c r="V120" s="100">
        <f t="shared" si="120"/>
        <v>0</v>
      </c>
      <c r="W120" s="88" t="str">
        <f t="shared" si="9"/>
        <v/>
      </c>
      <c r="X120" s="89">
        <f>S120/D120</f>
        <v>0</v>
      </c>
      <c r="Y120" s="90" t="str">
        <f t="shared" si="10"/>
        <v>ERR</v>
      </c>
      <c r="Z120" s="90">
        <f>IF(H120=0,0,CAPITAL!$H$5*Y120)
</f>
        <v>0</v>
      </c>
      <c r="AA120" s="90">
        <f>IF(I120=0,0,CAPITAL!$H$6*Y120)
</f>
        <v>0</v>
      </c>
      <c r="AB120" s="90">
        <f>IF(J120=0,0,CAPITAL!$H$7*Y120)
</f>
        <v>0</v>
      </c>
      <c r="AC120" s="90"/>
    </row>
    <row r="121">
      <c r="A121" s="103"/>
      <c r="B121" s="101">
        <v>116.0</v>
      </c>
      <c r="C121" s="79" t="str">
        <f>ENTRY!B115</f>
        <v>SILVERBEES</v>
      </c>
      <c r="D121" s="80">
        <f>CAPITAL!$C$2</f>
        <v>3350000</v>
      </c>
      <c r="E121" s="81" t="str">
        <f>ENTRY!C115</f>
        <v/>
      </c>
      <c r="F121" s="82" t="str">
        <f>ENTRY!D115</f>
        <v/>
      </c>
      <c r="G121" s="83" t="str">
        <f>ENTRY!E115</f>
        <v/>
      </c>
      <c r="H121" s="84">
        <f>G121*ENTRY!$O115</f>
        <v>0</v>
      </c>
      <c r="I121" s="84">
        <f>G121*ENTRY!$P115</f>
        <v>0</v>
      </c>
      <c r="J121" s="84">
        <f>G121*ENTRY!$Q115</f>
        <v>0</v>
      </c>
      <c r="K121" s="82">
        <f t="shared" si="2"/>
        <v>0</v>
      </c>
      <c r="L121" s="82" t="str">
        <f>ENTRY!F115</f>
        <v/>
      </c>
      <c r="M121" s="81" t="str">
        <f>ENTRY!G115</f>
        <v/>
      </c>
      <c r="N121" s="85" t="str">
        <f t="shared" si="3"/>
        <v/>
      </c>
      <c r="O121" s="86">
        <f t="shared" si="4"/>
        <v>0</v>
      </c>
      <c r="P121" s="86">
        <f t="shared" si="5"/>
        <v>0</v>
      </c>
      <c r="Q121" s="86">
        <f t="shared" si="6"/>
        <v>0</v>
      </c>
      <c r="R121" s="86">
        <f t="shared" si="7"/>
        <v>0</v>
      </c>
      <c r="S121" s="87" t="str">
        <f t="shared" ref="S121:V121" si="121">IFERROR(O121-Y121,"")
</f>
        <v/>
      </c>
      <c r="T121" s="87">
        <f t="shared" si="121"/>
        <v>0</v>
      </c>
      <c r="U121" s="87">
        <f t="shared" si="121"/>
        <v>0</v>
      </c>
      <c r="V121" s="87">
        <f t="shared" si="121"/>
        <v>0</v>
      </c>
      <c r="W121" s="88" t="str">
        <f t="shared" si="9"/>
        <v/>
      </c>
      <c r="X121" s="89">
        <f>IFERROR(S121/D121,"")</f>
        <v>0</v>
      </c>
      <c r="Y121" s="90" t="str">
        <f t="shared" si="10"/>
        <v>ERR</v>
      </c>
      <c r="Z121" s="90">
        <f>IF(H121=0,0,CAPITAL!$H$5*Y121)
</f>
        <v>0</v>
      </c>
      <c r="AA121" s="90">
        <f>IF(I121=0,0,CAPITAL!$H$6*Y121)
</f>
        <v>0</v>
      </c>
      <c r="AB121" s="90">
        <f>IF(J121=0,0,CAPITAL!$H$7*Y121)
</f>
        <v>0</v>
      </c>
      <c r="AC121" s="90"/>
    </row>
    <row r="122">
      <c r="A122" s="103"/>
      <c r="B122" s="101">
        <v>117.0</v>
      </c>
      <c r="C122" s="18" t="str">
        <f>ENTRY!B116</f>
        <v>SILVERBEES</v>
      </c>
      <c r="D122" s="93">
        <f>CAPITAL!$C$2</f>
        <v>3350000</v>
      </c>
      <c r="E122" s="94" t="str">
        <f>ENTRY!C116</f>
        <v/>
      </c>
      <c r="F122" s="95" t="str">
        <f>ENTRY!D116</f>
        <v/>
      </c>
      <c r="G122" s="96" t="str">
        <f>ENTRY!E116</f>
        <v/>
      </c>
      <c r="H122" s="97">
        <f>G122*ENTRY!$O116</f>
        <v>0</v>
      </c>
      <c r="I122" s="97">
        <f>G122*ENTRY!$P116</f>
        <v>0</v>
      </c>
      <c r="J122" s="97">
        <f>G122*ENTRY!$Q116</f>
        <v>0</v>
      </c>
      <c r="K122" s="95">
        <f t="shared" si="2"/>
        <v>0</v>
      </c>
      <c r="L122" s="95" t="str">
        <f>ENTRY!F116</f>
        <v/>
      </c>
      <c r="M122" s="94" t="str">
        <f>ENTRY!G116</f>
        <v/>
      </c>
      <c r="N122" s="98" t="str">
        <f t="shared" si="3"/>
        <v/>
      </c>
      <c r="O122" s="99">
        <f t="shared" si="4"/>
        <v>0</v>
      </c>
      <c r="P122" s="99">
        <f t="shared" si="5"/>
        <v>0</v>
      </c>
      <c r="Q122" s="99">
        <f t="shared" si="6"/>
        <v>0</v>
      </c>
      <c r="R122" s="99">
        <f t="shared" si="7"/>
        <v>0</v>
      </c>
      <c r="S122" s="100" t="str">
        <f t="shared" ref="S122:V122" si="122">IFERROR(O122-Y122,"")
</f>
        <v/>
      </c>
      <c r="T122" s="100">
        <f t="shared" si="122"/>
        <v>0</v>
      </c>
      <c r="U122" s="100">
        <f t="shared" si="122"/>
        <v>0</v>
      </c>
      <c r="V122" s="100">
        <f t="shared" si="122"/>
        <v>0</v>
      </c>
      <c r="W122" s="88" t="str">
        <f t="shared" si="9"/>
        <v/>
      </c>
      <c r="X122" s="89">
        <f>S122/D122</f>
        <v>0</v>
      </c>
      <c r="Y122" s="90" t="str">
        <f t="shared" si="10"/>
        <v>ERR</v>
      </c>
      <c r="Z122" s="90">
        <f>IF(H122=0,0,CAPITAL!$H$5*Y122)
</f>
        <v>0</v>
      </c>
      <c r="AA122" s="90">
        <f>IF(I122=0,0,CAPITAL!$H$6*Y122)
</f>
        <v>0</v>
      </c>
      <c r="AB122" s="90">
        <f>IF(J122=0,0,CAPITAL!$H$7*Y122)
</f>
        <v>0</v>
      </c>
      <c r="AC122" s="90"/>
    </row>
    <row r="123">
      <c r="A123" s="103"/>
      <c r="B123" s="101">
        <v>118.0</v>
      </c>
      <c r="C123" s="79" t="str">
        <f>ENTRY!B117</f>
        <v>SILVERBEES</v>
      </c>
      <c r="D123" s="80">
        <f>CAPITAL!$C$2</f>
        <v>3350000</v>
      </c>
      <c r="E123" s="81" t="str">
        <f>ENTRY!C117</f>
        <v/>
      </c>
      <c r="F123" s="82" t="str">
        <f>ENTRY!D117</f>
        <v/>
      </c>
      <c r="G123" s="83" t="str">
        <f>ENTRY!E117</f>
        <v/>
      </c>
      <c r="H123" s="84">
        <f>G123*ENTRY!$O117</f>
        <v>0</v>
      </c>
      <c r="I123" s="84">
        <f>G123*ENTRY!$P117</f>
        <v>0</v>
      </c>
      <c r="J123" s="84">
        <f>G123*ENTRY!$Q117</f>
        <v>0</v>
      </c>
      <c r="K123" s="82">
        <f t="shared" si="2"/>
        <v>0</v>
      </c>
      <c r="L123" s="82" t="str">
        <f>ENTRY!F117</f>
        <v/>
      </c>
      <c r="M123" s="81" t="str">
        <f>ENTRY!G117</f>
        <v/>
      </c>
      <c r="N123" s="85" t="str">
        <f t="shared" si="3"/>
        <v/>
      </c>
      <c r="O123" s="86">
        <f t="shared" si="4"/>
        <v>0</v>
      </c>
      <c r="P123" s="86">
        <f t="shared" si="5"/>
        <v>0</v>
      </c>
      <c r="Q123" s="86">
        <f t="shared" si="6"/>
        <v>0</v>
      </c>
      <c r="R123" s="86">
        <f t="shared" si="7"/>
        <v>0</v>
      </c>
      <c r="S123" s="87" t="str">
        <f t="shared" ref="S123:V123" si="123">IFERROR(O123-Y123,"")
</f>
        <v/>
      </c>
      <c r="T123" s="87">
        <f t="shared" si="123"/>
        <v>0</v>
      </c>
      <c r="U123" s="87">
        <f t="shared" si="123"/>
        <v>0</v>
      </c>
      <c r="V123" s="87">
        <f t="shared" si="123"/>
        <v>0</v>
      </c>
      <c r="W123" s="88" t="str">
        <f t="shared" si="9"/>
        <v/>
      </c>
      <c r="X123" s="89">
        <f>IFERROR(S123/D123,"")</f>
        <v>0</v>
      </c>
      <c r="Y123" s="90" t="str">
        <f t="shared" si="10"/>
        <v>ERR</v>
      </c>
      <c r="Z123" s="90">
        <f>IF(H123=0,0,CAPITAL!$H$5*Y123)
</f>
        <v>0</v>
      </c>
      <c r="AA123" s="90">
        <f>IF(I123=0,0,CAPITAL!$H$6*Y123)
</f>
        <v>0</v>
      </c>
      <c r="AB123" s="90">
        <f>IF(J123=0,0,CAPITAL!$H$7*Y123)
</f>
        <v>0</v>
      </c>
      <c r="AC123" s="90"/>
    </row>
    <row r="124">
      <c r="A124" s="103"/>
      <c r="B124" s="101">
        <v>119.0</v>
      </c>
      <c r="C124" s="18" t="str">
        <f>ENTRY!B118</f>
        <v>SILVERBEES</v>
      </c>
      <c r="D124" s="93">
        <f>CAPITAL!$C$2</f>
        <v>3350000</v>
      </c>
      <c r="E124" s="94" t="str">
        <f>ENTRY!C118</f>
        <v/>
      </c>
      <c r="F124" s="95" t="str">
        <f>ENTRY!D118</f>
        <v/>
      </c>
      <c r="G124" s="96" t="str">
        <f>ENTRY!E118</f>
        <v/>
      </c>
      <c r="H124" s="97">
        <f>G124*ENTRY!$O118</f>
        <v>0</v>
      </c>
      <c r="I124" s="97">
        <f>G124*ENTRY!$P118</f>
        <v>0</v>
      </c>
      <c r="J124" s="97">
        <f>G124*ENTRY!$Q118</f>
        <v>0</v>
      </c>
      <c r="K124" s="95">
        <f t="shared" si="2"/>
        <v>0</v>
      </c>
      <c r="L124" s="95" t="str">
        <f>ENTRY!F118</f>
        <v/>
      </c>
      <c r="M124" s="94" t="str">
        <f>ENTRY!G118</f>
        <v/>
      </c>
      <c r="N124" s="98" t="str">
        <f t="shared" si="3"/>
        <v/>
      </c>
      <c r="O124" s="99">
        <f t="shared" si="4"/>
        <v>0</v>
      </c>
      <c r="P124" s="99">
        <f t="shared" si="5"/>
        <v>0</v>
      </c>
      <c r="Q124" s="99">
        <f t="shared" si="6"/>
        <v>0</v>
      </c>
      <c r="R124" s="99">
        <f t="shared" si="7"/>
        <v>0</v>
      </c>
      <c r="S124" s="100" t="str">
        <f t="shared" ref="S124:V124" si="124">IFERROR(O124-Y124,"")
</f>
        <v/>
      </c>
      <c r="T124" s="100">
        <f t="shared" si="124"/>
        <v>0</v>
      </c>
      <c r="U124" s="100">
        <f t="shared" si="124"/>
        <v>0</v>
      </c>
      <c r="V124" s="100">
        <f t="shared" si="124"/>
        <v>0</v>
      </c>
      <c r="W124" s="88" t="str">
        <f t="shared" si="9"/>
        <v/>
      </c>
      <c r="X124" s="89">
        <f>S124/D124</f>
        <v>0</v>
      </c>
      <c r="Y124" s="90" t="str">
        <f t="shared" si="10"/>
        <v>ERR</v>
      </c>
      <c r="Z124" s="90">
        <f>IF(H124=0,0,CAPITAL!$H$5*Y124)
</f>
        <v>0</v>
      </c>
      <c r="AA124" s="90">
        <f>IF(I124=0,0,CAPITAL!$H$6*Y124)
</f>
        <v>0</v>
      </c>
      <c r="AB124" s="90">
        <f>IF(J124=0,0,CAPITAL!$H$7*Y124)
</f>
        <v>0</v>
      </c>
      <c r="AC124" s="90"/>
    </row>
    <row r="125">
      <c r="A125" s="104"/>
      <c r="B125" s="101">
        <v>120.0</v>
      </c>
      <c r="C125" s="79" t="str">
        <f>ENTRY!B119</f>
        <v>SILVERBEES</v>
      </c>
      <c r="D125" s="80">
        <f>CAPITAL!$C$2</f>
        <v>3350000</v>
      </c>
      <c r="E125" s="81" t="str">
        <f>ENTRY!C119</f>
        <v/>
      </c>
      <c r="F125" s="82" t="str">
        <f>ENTRY!D119</f>
        <v/>
      </c>
      <c r="G125" s="83" t="str">
        <f>ENTRY!E119</f>
        <v/>
      </c>
      <c r="H125" s="84">
        <f>G125*ENTRY!$O119</f>
        <v>0</v>
      </c>
      <c r="I125" s="84">
        <f>G125*ENTRY!$P119</f>
        <v>0</v>
      </c>
      <c r="J125" s="84">
        <f>G125*ENTRY!$Q119</f>
        <v>0</v>
      </c>
      <c r="K125" s="82">
        <f t="shared" si="2"/>
        <v>0</v>
      </c>
      <c r="L125" s="82" t="str">
        <f>ENTRY!F119</f>
        <v/>
      </c>
      <c r="M125" s="81" t="str">
        <f>ENTRY!G119</f>
        <v/>
      </c>
      <c r="N125" s="85" t="str">
        <f t="shared" si="3"/>
        <v/>
      </c>
      <c r="O125" s="86">
        <f t="shared" si="4"/>
        <v>0</v>
      </c>
      <c r="P125" s="86">
        <f t="shared" si="5"/>
        <v>0</v>
      </c>
      <c r="Q125" s="86">
        <f t="shared" si="6"/>
        <v>0</v>
      </c>
      <c r="R125" s="86">
        <f t="shared" si="7"/>
        <v>0</v>
      </c>
      <c r="S125" s="87" t="str">
        <f t="shared" ref="S125:V125" si="125">IFERROR(O125-Y125,"")
</f>
        <v/>
      </c>
      <c r="T125" s="87">
        <f t="shared" si="125"/>
        <v>0</v>
      </c>
      <c r="U125" s="87">
        <f t="shared" si="125"/>
        <v>0</v>
      </c>
      <c r="V125" s="87">
        <f t="shared" si="125"/>
        <v>0</v>
      </c>
      <c r="W125" s="88" t="str">
        <f t="shared" si="9"/>
        <v/>
      </c>
      <c r="X125" s="89">
        <f>IFERROR(S125/D125,"")</f>
        <v>0</v>
      </c>
      <c r="Y125" s="90" t="str">
        <f t="shared" si="10"/>
        <v>ERR</v>
      </c>
      <c r="Z125" s="90">
        <f>IF(H125=0,0,CAPITAL!$H$5*Y125)
</f>
        <v>0</v>
      </c>
      <c r="AA125" s="90">
        <f>IF(I125=0,0,CAPITAL!$H$6*Y125)
</f>
        <v>0</v>
      </c>
      <c r="AB125" s="90">
        <f>IF(J125=0,0,CAPITAL!$H$7*Y125)
</f>
        <v>0</v>
      </c>
      <c r="AC125" s="90"/>
    </row>
    <row r="126">
      <c r="A126" s="104"/>
      <c r="B126" s="101">
        <v>121.0</v>
      </c>
      <c r="C126" s="18" t="str">
        <f>ENTRY!B120</f>
        <v>SILVERBEES</v>
      </c>
      <c r="D126" s="93">
        <f>CAPITAL!$C$2</f>
        <v>3350000</v>
      </c>
      <c r="E126" s="94" t="str">
        <f>ENTRY!C120</f>
        <v/>
      </c>
      <c r="F126" s="95" t="str">
        <f>ENTRY!D120</f>
        <v/>
      </c>
      <c r="G126" s="96" t="str">
        <f>ENTRY!E120</f>
        <v/>
      </c>
      <c r="H126" s="97">
        <f>G126*ENTRY!$O120</f>
        <v>0</v>
      </c>
      <c r="I126" s="97">
        <f>G126*ENTRY!$P120</f>
        <v>0</v>
      </c>
      <c r="J126" s="97">
        <f>G126*ENTRY!$Q120</f>
        <v>0</v>
      </c>
      <c r="K126" s="95">
        <f t="shared" si="2"/>
        <v>0</v>
      </c>
      <c r="L126" s="95" t="str">
        <f>ENTRY!F120</f>
        <v/>
      </c>
      <c r="M126" s="94" t="str">
        <f>ENTRY!G120</f>
        <v/>
      </c>
      <c r="N126" s="98" t="str">
        <f t="shared" si="3"/>
        <v/>
      </c>
      <c r="O126" s="99">
        <f t="shared" si="4"/>
        <v>0</v>
      </c>
      <c r="P126" s="99">
        <f t="shared" si="5"/>
        <v>0</v>
      </c>
      <c r="Q126" s="99">
        <f t="shared" si="6"/>
        <v>0</v>
      </c>
      <c r="R126" s="99">
        <f t="shared" si="7"/>
        <v>0</v>
      </c>
      <c r="S126" s="100" t="str">
        <f t="shared" ref="S126:V126" si="126">IFERROR(O126-Y126,"")
</f>
        <v/>
      </c>
      <c r="T126" s="100">
        <f t="shared" si="126"/>
        <v>0</v>
      </c>
      <c r="U126" s="100">
        <f t="shared" si="126"/>
        <v>0</v>
      </c>
      <c r="V126" s="100">
        <f t="shared" si="126"/>
        <v>0</v>
      </c>
      <c r="W126" s="88" t="str">
        <f t="shared" si="9"/>
        <v/>
      </c>
      <c r="X126" s="89">
        <f>S126/D126</f>
        <v>0</v>
      </c>
      <c r="Y126" s="90" t="str">
        <f t="shared" si="10"/>
        <v>ERR</v>
      </c>
      <c r="Z126" s="90">
        <f>IF(H126=0,0,CAPITAL!$H$5*Y126)
</f>
        <v>0</v>
      </c>
      <c r="AA126" s="90">
        <f>IF(I126=0,0,CAPITAL!$H$6*Y126)
</f>
        <v>0</v>
      </c>
      <c r="AB126" s="90">
        <f>IF(J126=0,0,CAPITAL!$H$7*Y126)
</f>
        <v>0</v>
      </c>
      <c r="AC126" s="90"/>
    </row>
    <row r="127">
      <c r="A127" s="104"/>
      <c r="B127" s="101">
        <v>122.0</v>
      </c>
      <c r="C127" s="79" t="str">
        <f>ENTRY!B121</f>
        <v>SILVERBEES</v>
      </c>
      <c r="D127" s="80">
        <f>CAPITAL!$C$2</f>
        <v>3350000</v>
      </c>
      <c r="E127" s="81" t="str">
        <f>ENTRY!C121</f>
        <v/>
      </c>
      <c r="F127" s="82" t="str">
        <f>ENTRY!D121</f>
        <v/>
      </c>
      <c r="G127" s="83" t="str">
        <f>ENTRY!E121</f>
        <v/>
      </c>
      <c r="H127" s="84">
        <f>G127*ENTRY!$O121</f>
        <v>0</v>
      </c>
      <c r="I127" s="84">
        <f>G127*ENTRY!$P121</f>
        <v>0</v>
      </c>
      <c r="J127" s="84">
        <f>G127*ENTRY!$Q121</f>
        <v>0</v>
      </c>
      <c r="K127" s="82">
        <f t="shared" si="2"/>
        <v>0</v>
      </c>
      <c r="L127" s="82" t="str">
        <f>ENTRY!F121</f>
        <v/>
      </c>
      <c r="M127" s="81" t="str">
        <f>ENTRY!G121</f>
        <v/>
      </c>
      <c r="N127" s="85" t="str">
        <f t="shared" si="3"/>
        <v/>
      </c>
      <c r="O127" s="86">
        <f t="shared" si="4"/>
        <v>0</v>
      </c>
      <c r="P127" s="86">
        <f t="shared" si="5"/>
        <v>0</v>
      </c>
      <c r="Q127" s="86">
        <f t="shared" si="6"/>
        <v>0</v>
      </c>
      <c r="R127" s="86">
        <f t="shared" si="7"/>
        <v>0</v>
      </c>
      <c r="S127" s="87" t="str">
        <f t="shared" ref="S127:V127" si="127">IFERROR(O127-Y127,"")
</f>
        <v/>
      </c>
      <c r="T127" s="87">
        <f t="shared" si="127"/>
        <v>0</v>
      </c>
      <c r="U127" s="87">
        <f t="shared" si="127"/>
        <v>0</v>
      </c>
      <c r="V127" s="87">
        <f t="shared" si="127"/>
        <v>0</v>
      </c>
      <c r="W127" s="88" t="str">
        <f t="shared" si="9"/>
        <v/>
      </c>
      <c r="X127" s="89">
        <f>IFERROR(S127/D127,"")</f>
        <v>0</v>
      </c>
      <c r="Y127" s="90" t="str">
        <f t="shared" si="10"/>
        <v>ERR</v>
      </c>
      <c r="Z127" s="90">
        <f>IF(H127=0,0,CAPITAL!$H$5*Y127)
</f>
        <v>0</v>
      </c>
      <c r="AA127" s="90">
        <f>IF(I127=0,0,CAPITAL!$H$6*Y127)
</f>
        <v>0</v>
      </c>
      <c r="AB127" s="90">
        <f>IF(J127=0,0,CAPITAL!$H$7*Y127)
</f>
        <v>0</v>
      </c>
      <c r="AC127" s="90"/>
    </row>
    <row r="128">
      <c r="A128" s="104"/>
      <c r="B128" s="101">
        <v>123.0</v>
      </c>
      <c r="C128" s="18" t="str">
        <f>ENTRY!B122</f>
        <v>SILVERBEES</v>
      </c>
      <c r="D128" s="93">
        <f>CAPITAL!$C$2</f>
        <v>3350000</v>
      </c>
      <c r="E128" s="94" t="str">
        <f>ENTRY!C122</f>
        <v/>
      </c>
      <c r="F128" s="95" t="str">
        <f>ENTRY!D122</f>
        <v/>
      </c>
      <c r="G128" s="96" t="str">
        <f>ENTRY!E122</f>
        <v/>
      </c>
      <c r="H128" s="97">
        <f>G128*ENTRY!$O122</f>
        <v>0</v>
      </c>
      <c r="I128" s="97">
        <f>G128*ENTRY!$P122</f>
        <v>0</v>
      </c>
      <c r="J128" s="97">
        <f>G128*ENTRY!$Q122</f>
        <v>0</v>
      </c>
      <c r="K128" s="95">
        <f t="shared" si="2"/>
        <v>0</v>
      </c>
      <c r="L128" s="95" t="str">
        <f>ENTRY!F122</f>
        <v/>
      </c>
      <c r="M128" s="94" t="str">
        <f>ENTRY!G122</f>
        <v/>
      </c>
      <c r="N128" s="98" t="str">
        <f t="shared" si="3"/>
        <v/>
      </c>
      <c r="O128" s="99">
        <f t="shared" si="4"/>
        <v>0</v>
      </c>
      <c r="P128" s="99">
        <f t="shared" si="5"/>
        <v>0</v>
      </c>
      <c r="Q128" s="99">
        <f t="shared" si="6"/>
        <v>0</v>
      </c>
      <c r="R128" s="99">
        <f t="shared" si="7"/>
        <v>0</v>
      </c>
      <c r="S128" s="100" t="str">
        <f t="shared" ref="S128:V128" si="128">IFERROR(O128-Y128,"")
</f>
        <v/>
      </c>
      <c r="T128" s="100">
        <f t="shared" si="128"/>
        <v>0</v>
      </c>
      <c r="U128" s="100">
        <f t="shared" si="128"/>
        <v>0</v>
      </c>
      <c r="V128" s="100">
        <f t="shared" si="128"/>
        <v>0</v>
      </c>
      <c r="W128" s="88" t="str">
        <f t="shared" si="9"/>
        <v/>
      </c>
      <c r="X128" s="89">
        <f>S128/D128</f>
        <v>0</v>
      </c>
      <c r="Y128" s="90" t="str">
        <f t="shared" si="10"/>
        <v>ERR</v>
      </c>
      <c r="Z128" s="90">
        <f>IF(H128=0,0,CAPITAL!$H$5*Y128)
</f>
        <v>0</v>
      </c>
      <c r="AA128" s="90">
        <f>IF(I128=0,0,CAPITAL!$H$6*Y128)
</f>
        <v>0</v>
      </c>
      <c r="AB128" s="90">
        <f>IF(J128=0,0,CAPITAL!$H$7*Y128)
</f>
        <v>0</v>
      </c>
      <c r="AC128" s="90"/>
    </row>
    <row r="129">
      <c r="A129" s="104"/>
      <c r="B129" s="101">
        <v>124.0</v>
      </c>
      <c r="C129" s="79" t="str">
        <f>ENTRY!B123</f>
        <v>SILVERBEES</v>
      </c>
      <c r="D129" s="80">
        <f>CAPITAL!$C$2</f>
        <v>3350000</v>
      </c>
      <c r="E129" s="81" t="str">
        <f>ENTRY!C123</f>
        <v/>
      </c>
      <c r="F129" s="82" t="str">
        <f>ENTRY!D123</f>
        <v/>
      </c>
      <c r="G129" s="83" t="str">
        <f>ENTRY!E123</f>
        <v/>
      </c>
      <c r="H129" s="84">
        <f>G129*ENTRY!$O123</f>
        <v>0</v>
      </c>
      <c r="I129" s="84">
        <f>G129*ENTRY!$P123</f>
        <v>0</v>
      </c>
      <c r="J129" s="84">
        <f>G129*ENTRY!$Q123</f>
        <v>0</v>
      </c>
      <c r="K129" s="82">
        <f t="shared" si="2"/>
        <v>0</v>
      </c>
      <c r="L129" s="82" t="str">
        <f>ENTRY!F123</f>
        <v/>
      </c>
      <c r="M129" s="81" t="str">
        <f>ENTRY!G123</f>
        <v/>
      </c>
      <c r="N129" s="85" t="str">
        <f t="shared" si="3"/>
        <v/>
      </c>
      <c r="O129" s="86">
        <f t="shared" si="4"/>
        <v>0</v>
      </c>
      <c r="P129" s="86">
        <f t="shared" si="5"/>
        <v>0</v>
      </c>
      <c r="Q129" s="86">
        <f t="shared" si="6"/>
        <v>0</v>
      </c>
      <c r="R129" s="86">
        <f t="shared" si="7"/>
        <v>0</v>
      </c>
      <c r="S129" s="87" t="str">
        <f t="shared" ref="S129:V129" si="129">IFERROR(O129-Y129,"")
</f>
        <v/>
      </c>
      <c r="T129" s="87">
        <f t="shared" si="129"/>
        <v>0</v>
      </c>
      <c r="U129" s="87">
        <f t="shared" si="129"/>
        <v>0</v>
      </c>
      <c r="V129" s="87">
        <f t="shared" si="129"/>
        <v>0</v>
      </c>
      <c r="W129" s="88" t="str">
        <f t="shared" si="9"/>
        <v/>
      </c>
      <c r="X129" s="89">
        <f>IFERROR(S129/D129,"")</f>
        <v>0</v>
      </c>
      <c r="Y129" s="90" t="str">
        <f t="shared" si="10"/>
        <v>ERR</v>
      </c>
      <c r="Z129" s="90">
        <f>IF(H129=0,0,CAPITAL!$H$5*Y129)
</f>
        <v>0</v>
      </c>
      <c r="AA129" s="90">
        <f>IF(I129=0,0,CAPITAL!$H$6*Y129)
</f>
        <v>0</v>
      </c>
      <c r="AB129" s="90">
        <f>IF(J129=0,0,CAPITAL!$H$7*Y129)
</f>
        <v>0</v>
      </c>
      <c r="AC129" s="90"/>
    </row>
    <row r="130">
      <c r="A130" s="104"/>
      <c r="B130" s="101">
        <v>125.0</v>
      </c>
      <c r="C130" s="18" t="str">
        <f>ENTRY!B124</f>
        <v>SILVERBEES</v>
      </c>
      <c r="D130" s="93">
        <f>CAPITAL!$C$2</f>
        <v>3350000</v>
      </c>
      <c r="E130" s="94" t="str">
        <f>ENTRY!C124</f>
        <v/>
      </c>
      <c r="F130" s="95" t="str">
        <f>ENTRY!D124</f>
        <v/>
      </c>
      <c r="G130" s="96" t="str">
        <f>ENTRY!E124</f>
        <v/>
      </c>
      <c r="H130" s="97">
        <f>G130*ENTRY!$O124</f>
        <v>0</v>
      </c>
      <c r="I130" s="97">
        <f>G130*ENTRY!$P124</f>
        <v>0</v>
      </c>
      <c r="J130" s="97">
        <f>G130*ENTRY!$Q124</f>
        <v>0</v>
      </c>
      <c r="K130" s="95">
        <f t="shared" si="2"/>
        <v>0</v>
      </c>
      <c r="L130" s="95" t="str">
        <f>ENTRY!F124</f>
        <v/>
      </c>
      <c r="M130" s="94" t="str">
        <f>ENTRY!G124</f>
        <v/>
      </c>
      <c r="N130" s="98" t="str">
        <f t="shared" si="3"/>
        <v/>
      </c>
      <c r="O130" s="99">
        <f t="shared" si="4"/>
        <v>0</v>
      </c>
      <c r="P130" s="99">
        <f t="shared" si="5"/>
        <v>0</v>
      </c>
      <c r="Q130" s="99">
        <f t="shared" si="6"/>
        <v>0</v>
      </c>
      <c r="R130" s="99">
        <f t="shared" si="7"/>
        <v>0</v>
      </c>
      <c r="S130" s="100" t="str">
        <f t="shared" ref="S130:V130" si="130">IFERROR(O130-Y130,"")
</f>
        <v/>
      </c>
      <c r="T130" s="100">
        <f t="shared" si="130"/>
        <v>0</v>
      </c>
      <c r="U130" s="100">
        <f t="shared" si="130"/>
        <v>0</v>
      </c>
      <c r="V130" s="100">
        <f t="shared" si="130"/>
        <v>0</v>
      </c>
      <c r="W130" s="88" t="str">
        <f t="shared" si="9"/>
        <v/>
      </c>
      <c r="X130" s="89">
        <f>S130/D130</f>
        <v>0</v>
      </c>
      <c r="Y130" s="90" t="str">
        <f t="shared" si="10"/>
        <v>ERR</v>
      </c>
      <c r="Z130" s="90">
        <f>IF(H130=0,0,CAPITAL!$H$5*Y130)
</f>
        <v>0</v>
      </c>
      <c r="AA130" s="90">
        <f>IF(I130=0,0,CAPITAL!$H$6*Y130)
</f>
        <v>0</v>
      </c>
      <c r="AB130" s="90">
        <f>IF(J130=0,0,CAPITAL!$H$7*Y130)
</f>
        <v>0</v>
      </c>
      <c r="AC130" s="90"/>
    </row>
    <row r="131">
      <c r="A131" s="104"/>
      <c r="B131" s="101">
        <v>126.0</v>
      </c>
      <c r="C131" s="79" t="str">
        <f>ENTRY!B125</f>
        <v>SILVERBEES</v>
      </c>
      <c r="D131" s="80">
        <f>CAPITAL!$C$2</f>
        <v>3350000</v>
      </c>
      <c r="E131" s="81" t="str">
        <f>ENTRY!C125</f>
        <v/>
      </c>
      <c r="F131" s="82" t="str">
        <f>ENTRY!D125</f>
        <v/>
      </c>
      <c r="G131" s="83" t="str">
        <f>ENTRY!E125</f>
        <v/>
      </c>
      <c r="H131" s="84">
        <f>G131*ENTRY!$O125</f>
        <v>0</v>
      </c>
      <c r="I131" s="84">
        <f>G131*ENTRY!$P125</f>
        <v>0</v>
      </c>
      <c r="J131" s="84">
        <f>G131*ENTRY!$Q125</f>
        <v>0</v>
      </c>
      <c r="K131" s="82">
        <f t="shared" si="2"/>
        <v>0</v>
      </c>
      <c r="L131" s="82" t="str">
        <f>ENTRY!F125</f>
        <v/>
      </c>
      <c r="M131" s="81" t="str">
        <f>ENTRY!G125</f>
        <v/>
      </c>
      <c r="N131" s="85" t="str">
        <f t="shared" si="3"/>
        <v/>
      </c>
      <c r="O131" s="86">
        <f t="shared" si="4"/>
        <v>0</v>
      </c>
      <c r="P131" s="86">
        <f t="shared" si="5"/>
        <v>0</v>
      </c>
      <c r="Q131" s="86">
        <f t="shared" si="6"/>
        <v>0</v>
      </c>
      <c r="R131" s="86">
        <f t="shared" si="7"/>
        <v>0</v>
      </c>
      <c r="S131" s="87" t="str">
        <f t="shared" ref="S131:V131" si="131">IFERROR(O131-Y131,"")
</f>
        <v/>
      </c>
      <c r="T131" s="87">
        <f t="shared" si="131"/>
        <v>0</v>
      </c>
      <c r="U131" s="87">
        <f t="shared" si="131"/>
        <v>0</v>
      </c>
      <c r="V131" s="87">
        <f t="shared" si="131"/>
        <v>0</v>
      </c>
      <c r="W131" s="88" t="str">
        <f t="shared" si="9"/>
        <v/>
      </c>
      <c r="X131" s="89">
        <f>IFERROR(S131/D131,"")</f>
        <v>0</v>
      </c>
      <c r="Y131" s="90" t="str">
        <f t="shared" si="10"/>
        <v>ERR</v>
      </c>
      <c r="Z131" s="90">
        <f>IF(H131=0,0,CAPITAL!$H$5*Y131)
</f>
        <v>0</v>
      </c>
      <c r="AA131" s="90">
        <f>IF(I131=0,0,CAPITAL!$H$6*Y131)
</f>
        <v>0</v>
      </c>
      <c r="AB131" s="90">
        <f>IF(J131=0,0,CAPITAL!$H$7*Y131)
</f>
        <v>0</v>
      </c>
      <c r="AC131" s="90"/>
    </row>
    <row r="132">
      <c r="A132" s="104"/>
      <c r="B132" s="101">
        <v>127.0</v>
      </c>
      <c r="C132" s="18" t="str">
        <f>ENTRY!B126</f>
        <v>SILVERBEES</v>
      </c>
      <c r="D132" s="93">
        <f>CAPITAL!$C$2</f>
        <v>3350000</v>
      </c>
      <c r="E132" s="94" t="str">
        <f>ENTRY!C126</f>
        <v/>
      </c>
      <c r="F132" s="95" t="str">
        <f>ENTRY!D126</f>
        <v/>
      </c>
      <c r="G132" s="96" t="str">
        <f>ENTRY!E126</f>
        <v/>
      </c>
      <c r="H132" s="97">
        <f>G132*ENTRY!$O126</f>
        <v>0</v>
      </c>
      <c r="I132" s="97">
        <f>G132*ENTRY!$P126</f>
        <v>0</v>
      </c>
      <c r="J132" s="97">
        <f>G132*ENTRY!$Q126</f>
        <v>0</v>
      </c>
      <c r="K132" s="95">
        <f t="shared" si="2"/>
        <v>0</v>
      </c>
      <c r="L132" s="95" t="str">
        <f>ENTRY!F126</f>
        <v/>
      </c>
      <c r="M132" s="94" t="str">
        <f>ENTRY!G126</f>
        <v/>
      </c>
      <c r="N132" s="98" t="str">
        <f t="shared" si="3"/>
        <v/>
      </c>
      <c r="O132" s="99">
        <f t="shared" si="4"/>
        <v>0</v>
      </c>
      <c r="P132" s="99">
        <f t="shared" si="5"/>
        <v>0</v>
      </c>
      <c r="Q132" s="99">
        <f t="shared" si="6"/>
        <v>0</v>
      </c>
      <c r="R132" s="99">
        <f t="shared" si="7"/>
        <v>0</v>
      </c>
      <c r="S132" s="100" t="str">
        <f t="shared" ref="S132:V132" si="132">IFERROR(O132-Y132,"")
</f>
        <v/>
      </c>
      <c r="T132" s="100">
        <f t="shared" si="132"/>
        <v>0</v>
      </c>
      <c r="U132" s="100">
        <f t="shared" si="132"/>
        <v>0</v>
      </c>
      <c r="V132" s="100">
        <f t="shared" si="132"/>
        <v>0</v>
      </c>
      <c r="W132" s="88" t="str">
        <f t="shared" si="9"/>
        <v/>
      </c>
      <c r="X132" s="89">
        <f>S132/D132</f>
        <v>0</v>
      </c>
      <c r="Y132" s="90" t="str">
        <f t="shared" si="10"/>
        <v>ERR</v>
      </c>
      <c r="Z132" s="90">
        <f>IF(H132=0,0,CAPITAL!$H$5*Y132)
</f>
        <v>0</v>
      </c>
      <c r="AA132" s="90">
        <f>IF(I132=0,0,CAPITAL!$H$6*Y132)
</f>
        <v>0</v>
      </c>
      <c r="AB132" s="90">
        <f>IF(J132=0,0,CAPITAL!$H$7*Y132)
</f>
        <v>0</v>
      </c>
      <c r="AC132" s="90"/>
    </row>
    <row r="133">
      <c r="A133" s="104"/>
      <c r="B133" s="101">
        <v>128.0</v>
      </c>
      <c r="C133" s="79" t="str">
        <f>ENTRY!B127</f>
        <v>SILVERBEES</v>
      </c>
      <c r="D133" s="80">
        <f>CAPITAL!$C$2</f>
        <v>3350000</v>
      </c>
      <c r="E133" s="81" t="str">
        <f>ENTRY!C127</f>
        <v/>
      </c>
      <c r="F133" s="82" t="str">
        <f>ENTRY!D127</f>
        <v/>
      </c>
      <c r="G133" s="83" t="str">
        <f>ENTRY!E127</f>
        <v/>
      </c>
      <c r="H133" s="84">
        <f>G133*ENTRY!$O127</f>
        <v>0</v>
      </c>
      <c r="I133" s="84">
        <f>G133*ENTRY!$P127</f>
        <v>0</v>
      </c>
      <c r="J133" s="84">
        <f>G133*ENTRY!$Q127</f>
        <v>0</v>
      </c>
      <c r="K133" s="82">
        <f t="shared" si="2"/>
        <v>0</v>
      </c>
      <c r="L133" s="82" t="str">
        <f>ENTRY!F127</f>
        <v/>
      </c>
      <c r="M133" s="81" t="str">
        <f>ENTRY!G127</f>
        <v/>
      </c>
      <c r="N133" s="85" t="str">
        <f t="shared" si="3"/>
        <v/>
      </c>
      <c r="O133" s="86">
        <f t="shared" si="4"/>
        <v>0</v>
      </c>
      <c r="P133" s="86">
        <f t="shared" si="5"/>
        <v>0</v>
      </c>
      <c r="Q133" s="86">
        <f t="shared" si="6"/>
        <v>0</v>
      </c>
      <c r="R133" s="86">
        <f t="shared" si="7"/>
        <v>0</v>
      </c>
      <c r="S133" s="87" t="str">
        <f t="shared" ref="S133:V133" si="133">IFERROR(O133-Y133,"")
</f>
        <v/>
      </c>
      <c r="T133" s="87">
        <f t="shared" si="133"/>
        <v>0</v>
      </c>
      <c r="U133" s="87">
        <f t="shared" si="133"/>
        <v>0</v>
      </c>
      <c r="V133" s="87">
        <f t="shared" si="133"/>
        <v>0</v>
      </c>
      <c r="W133" s="88" t="str">
        <f t="shared" si="9"/>
        <v/>
      </c>
      <c r="X133" s="89">
        <f>IFERROR(S133/D133,"")</f>
        <v>0</v>
      </c>
      <c r="Y133" s="90" t="str">
        <f t="shared" si="10"/>
        <v>ERR</v>
      </c>
      <c r="Z133" s="90">
        <f>IF(H133=0,0,CAPITAL!$H$5*Y133)
</f>
        <v>0</v>
      </c>
      <c r="AA133" s="90">
        <f>IF(I133=0,0,CAPITAL!$H$6*Y133)
</f>
        <v>0</v>
      </c>
      <c r="AB133" s="90">
        <f>IF(J133=0,0,CAPITAL!$H$7*Y133)
</f>
        <v>0</v>
      </c>
      <c r="AC133" s="90"/>
    </row>
    <row r="134">
      <c r="A134" s="104"/>
      <c r="B134" s="101">
        <v>129.0</v>
      </c>
      <c r="C134" s="18" t="str">
        <f>ENTRY!B128</f>
        <v>SILVERBEES</v>
      </c>
      <c r="D134" s="93">
        <f>CAPITAL!$C$2</f>
        <v>3350000</v>
      </c>
      <c r="E134" s="94" t="str">
        <f>ENTRY!C128</f>
        <v/>
      </c>
      <c r="F134" s="95" t="str">
        <f>ENTRY!D128</f>
        <v/>
      </c>
      <c r="G134" s="96" t="str">
        <f>ENTRY!E128</f>
        <v/>
      </c>
      <c r="H134" s="97">
        <f>G134*ENTRY!$O128</f>
        <v>0</v>
      </c>
      <c r="I134" s="97">
        <f>G134*ENTRY!$P128</f>
        <v>0</v>
      </c>
      <c r="J134" s="97">
        <f>G134*ENTRY!$Q128</f>
        <v>0</v>
      </c>
      <c r="K134" s="95">
        <f t="shared" si="2"/>
        <v>0</v>
      </c>
      <c r="L134" s="95" t="str">
        <f>ENTRY!F128</f>
        <v/>
      </c>
      <c r="M134" s="94" t="str">
        <f>ENTRY!G128</f>
        <v/>
      </c>
      <c r="N134" s="98" t="str">
        <f t="shared" si="3"/>
        <v/>
      </c>
      <c r="O134" s="99">
        <f t="shared" si="4"/>
        <v>0</v>
      </c>
      <c r="P134" s="99">
        <f t="shared" si="5"/>
        <v>0</v>
      </c>
      <c r="Q134" s="99">
        <f t="shared" si="6"/>
        <v>0</v>
      </c>
      <c r="R134" s="99">
        <f t="shared" si="7"/>
        <v>0</v>
      </c>
      <c r="S134" s="100" t="str">
        <f t="shared" ref="S134:V134" si="134">IFERROR(O134-Y134,"")
</f>
        <v/>
      </c>
      <c r="T134" s="100">
        <f t="shared" si="134"/>
        <v>0</v>
      </c>
      <c r="U134" s="100">
        <f t="shared" si="134"/>
        <v>0</v>
      </c>
      <c r="V134" s="100">
        <f t="shared" si="134"/>
        <v>0</v>
      </c>
      <c r="W134" s="88" t="str">
        <f t="shared" si="9"/>
        <v/>
      </c>
      <c r="X134" s="89">
        <f>S134/D134</f>
        <v>0</v>
      </c>
      <c r="Y134" s="90" t="str">
        <f t="shared" si="10"/>
        <v>ERR</v>
      </c>
      <c r="Z134" s="90">
        <f>IF(H134=0,0,CAPITAL!$H$5*Y134)
</f>
        <v>0</v>
      </c>
      <c r="AA134" s="90">
        <f>IF(I134=0,0,CAPITAL!$H$6*Y134)
</f>
        <v>0</v>
      </c>
      <c r="AB134" s="90">
        <f>IF(J134=0,0,CAPITAL!$H$7*Y134)
</f>
        <v>0</v>
      </c>
      <c r="AC134" s="90"/>
    </row>
    <row r="135">
      <c r="A135" s="104"/>
      <c r="B135" s="101">
        <v>130.0</v>
      </c>
      <c r="C135" s="79" t="str">
        <f>ENTRY!B129</f>
        <v>SILVERBEES</v>
      </c>
      <c r="D135" s="80">
        <f>CAPITAL!$C$2</f>
        <v>3350000</v>
      </c>
      <c r="E135" s="81" t="str">
        <f>ENTRY!C129</f>
        <v/>
      </c>
      <c r="F135" s="82" t="str">
        <f>ENTRY!D129</f>
        <v/>
      </c>
      <c r="G135" s="83" t="str">
        <f>ENTRY!E129</f>
        <v/>
      </c>
      <c r="H135" s="84">
        <f>G135*ENTRY!$O129</f>
        <v>0</v>
      </c>
      <c r="I135" s="84">
        <f>G135*ENTRY!$P129</f>
        <v>0</v>
      </c>
      <c r="J135" s="84">
        <f>G135*ENTRY!$Q129</f>
        <v>0</v>
      </c>
      <c r="K135" s="82">
        <f t="shared" si="2"/>
        <v>0</v>
      </c>
      <c r="L135" s="82" t="str">
        <f>ENTRY!F129</f>
        <v/>
      </c>
      <c r="M135" s="81" t="str">
        <f>ENTRY!G129</f>
        <v/>
      </c>
      <c r="N135" s="85" t="str">
        <f t="shared" si="3"/>
        <v/>
      </c>
      <c r="O135" s="86">
        <f t="shared" si="4"/>
        <v>0</v>
      </c>
      <c r="P135" s="86">
        <f t="shared" si="5"/>
        <v>0</v>
      </c>
      <c r="Q135" s="86">
        <f t="shared" si="6"/>
        <v>0</v>
      </c>
      <c r="R135" s="86">
        <f t="shared" si="7"/>
        <v>0</v>
      </c>
      <c r="S135" s="87" t="str">
        <f t="shared" ref="S135:V135" si="135">IFERROR(O135-Y135,"")
</f>
        <v/>
      </c>
      <c r="T135" s="87">
        <f t="shared" si="135"/>
        <v>0</v>
      </c>
      <c r="U135" s="87">
        <f t="shared" si="135"/>
        <v>0</v>
      </c>
      <c r="V135" s="87">
        <f t="shared" si="135"/>
        <v>0</v>
      </c>
      <c r="W135" s="88" t="str">
        <f t="shared" si="9"/>
        <v/>
      </c>
      <c r="X135" s="89">
        <f>IFERROR(S135/D135,"")</f>
        <v>0</v>
      </c>
      <c r="Y135" s="90" t="str">
        <f t="shared" si="10"/>
        <v>ERR</v>
      </c>
      <c r="Z135" s="90">
        <f>IF(H135=0,0,CAPITAL!$H$5*Y135)
</f>
        <v>0</v>
      </c>
      <c r="AA135" s="90">
        <f>IF(I135=0,0,CAPITAL!$H$6*Y135)
</f>
        <v>0</v>
      </c>
      <c r="AB135" s="90">
        <f>IF(J135=0,0,CAPITAL!$H$7*Y135)
</f>
        <v>0</v>
      </c>
      <c r="AC135" s="90"/>
    </row>
    <row r="136">
      <c r="A136" s="104"/>
      <c r="B136" s="101">
        <v>131.0</v>
      </c>
      <c r="C136" s="18" t="str">
        <f>ENTRY!B130</f>
        <v>SILVERBEES</v>
      </c>
      <c r="D136" s="93">
        <f>CAPITAL!$C$2</f>
        <v>3350000</v>
      </c>
      <c r="E136" s="94" t="str">
        <f>ENTRY!C130</f>
        <v/>
      </c>
      <c r="F136" s="95" t="str">
        <f>ENTRY!D130</f>
        <v/>
      </c>
      <c r="G136" s="96" t="str">
        <f>ENTRY!E130</f>
        <v/>
      </c>
      <c r="H136" s="97">
        <f>G136*ENTRY!$O130</f>
        <v>0</v>
      </c>
      <c r="I136" s="97">
        <f>G136*ENTRY!$P130</f>
        <v>0</v>
      </c>
      <c r="J136" s="97">
        <f>G136*ENTRY!$Q130</f>
        <v>0</v>
      </c>
      <c r="K136" s="95">
        <f t="shared" si="2"/>
        <v>0</v>
      </c>
      <c r="L136" s="95" t="str">
        <f>ENTRY!F130</f>
        <v/>
      </c>
      <c r="M136" s="94" t="str">
        <f>ENTRY!G130</f>
        <v/>
      </c>
      <c r="N136" s="98" t="str">
        <f t="shared" si="3"/>
        <v/>
      </c>
      <c r="O136" s="99">
        <f t="shared" si="4"/>
        <v>0</v>
      </c>
      <c r="P136" s="99">
        <f t="shared" si="5"/>
        <v>0</v>
      </c>
      <c r="Q136" s="99">
        <f t="shared" si="6"/>
        <v>0</v>
      </c>
      <c r="R136" s="99">
        <f t="shared" si="7"/>
        <v>0</v>
      </c>
      <c r="S136" s="100" t="str">
        <f t="shared" ref="S136:V136" si="136">IFERROR(O136-Y136,"")
</f>
        <v/>
      </c>
      <c r="T136" s="100">
        <f t="shared" si="136"/>
        <v>0</v>
      </c>
      <c r="U136" s="100">
        <f t="shared" si="136"/>
        <v>0</v>
      </c>
      <c r="V136" s="100">
        <f t="shared" si="136"/>
        <v>0</v>
      </c>
      <c r="W136" s="88" t="str">
        <f t="shared" si="9"/>
        <v/>
      </c>
      <c r="X136" s="89">
        <f>S136/D136</f>
        <v>0</v>
      </c>
      <c r="Y136" s="90" t="str">
        <f t="shared" si="10"/>
        <v>ERR</v>
      </c>
      <c r="Z136" s="90">
        <f>IF(H136=0,0,CAPITAL!$H$5*Y136)
</f>
        <v>0</v>
      </c>
      <c r="AA136" s="90">
        <f>IF(I136=0,0,CAPITAL!$H$6*Y136)
</f>
        <v>0</v>
      </c>
      <c r="AB136" s="90">
        <f>IF(J136=0,0,CAPITAL!$H$7*Y136)
</f>
        <v>0</v>
      </c>
      <c r="AC136" s="90"/>
    </row>
    <row r="137">
      <c r="A137" s="104"/>
      <c r="B137" s="101">
        <v>132.0</v>
      </c>
      <c r="C137" s="79" t="str">
        <f>ENTRY!B131</f>
        <v>SILVERBEES</v>
      </c>
      <c r="D137" s="80">
        <f>CAPITAL!$C$2</f>
        <v>3350000</v>
      </c>
      <c r="E137" s="81" t="str">
        <f>ENTRY!C131</f>
        <v/>
      </c>
      <c r="F137" s="82" t="str">
        <f>ENTRY!D131</f>
        <v/>
      </c>
      <c r="G137" s="83" t="str">
        <f>ENTRY!E131</f>
        <v/>
      </c>
      <c r="H137" s="84">
        <f>G137*ENTRY!$O131</f>
        <v>0</v>
      </c>
      <c r="I137" s="84">
        <f>G137*ENTRY!$P131</f>
        <v>0</v>
      </c>
      <c r="J137" s="84">
        <f>G137*ENTRY!$Q131</f>
        <v>0</v>
      </c>
      <c r="K137" s="82">
        <f t="shared" si="2"/>
        <v>0</v>
      </c>
      <c r="L137" s="82" t="str">
        <f>ENTRY!F131</f>
        <v/>
      </c>
      <c r="M137" s="81" t="str">
        <f>ENTRY!G131</f>
        <v/>
      </c>
      <c r="N137" s="85" t="str">
        <f t="shared" si="3"/>
        <v/>
      </c>
      <c r="O137" s="86">
        <f t="shared" si="4"/>
        <v>0</v>
      </c>
      <c r="P137" s="86">
        <f t="shared" si="5"/>
        <v>0</v>
      </c>
      <c r="Q137" s="86">
        <f t="shared" si="6"/>
        <v>0</v>
      </c>
      <c r="R137" s="86">
        <f t="shared" si="7"/>
        <v>0</v>
      </c>
      <c r="S137" s="87" t="str">
        <f t="shared" ref="S137:V137" si="137">IFERROR(O137-Y137,"")
</f>
        <v/>
      </c>
      <c r="T137" s="87">
        <f t="shared" si="137"/>
        <v>0</v>
      </c>
      <c r="U137" s="87">
        <f t="shared" si="137"/>
        <v>0</v>
      </c>
      <c r="V137" s="87">
        <f t="shared" si="137"/>
        <v>0</v>
      </c>
      <c r="W137" s="88" t="str">
        <f t="shared" si="9"/>
        <v/>
      </c>
      <c r="X137" s="89">
        <f>IFERROR(S137/D137,"")</f>
        <v>0</v>
      </c>
      <c r="Y137" s="90" t="str">
        <f t="shared" si="10"/>
        <v>ERR</v>
      </c>
      <c r="Z137" s="90">
        <f>IF(H137=0,0,CAPITAL!$H$5*Y137)
</f>
        <v>0</v>
      </c>
      <c r="AA137" s="90">
        <f>IF(I137=0,0,CAPITAL!$H$6*Y137)
</f>
        <v>0</v>
      </c>
      <c r="AB137" s="90">
        <f>IF(J137=0,0,CAPITAL!$H$7*Y137)
</f>
        <v>0</v>
      </c>
      <c r="AC137" s="90"/>
    </row>
    <row r="138">
      <c r="A138" s="104"/>
      <c r="B138" s="101">
        <v>133.0</v>
      </c>
      <c r="C138" s="18" t="str">
        <f>ENTRY!B132</f>
        <v>SILVERBEES</v>
      </c>
      <c r="D138" s="93">
        <f>CAPITAL!$C$2</f>
        <v>3350000</v>
      </c>
      <c r="E138" s="94" t="str">
        <f>ENTRY!C132</f>
        <v/>
      </c>
      <c r="F138" s="95" t="str">
        <f>ENTRY!D132</f>
        <v/>
      </c>
      <c r="G138" s="96" t="str">
        <f>ENTRY!E132</f>
        <v/>
      </c>
      <c r="H138" s="97">
        <f>G138*ENTRY!$O132</f>
        <v>0</v>
      </c>
      <c r="I138" s="97">
        <f>G138*ENTRY!$P132</f>
        <v>0</v>
      </c>
      <c r="J138" s="97">
        <f>G138*ENTRY!$Q132</f>
        <v>0</v>
      </c>
      <c r="K138" s="95">
        <f t="shared" si="2"/>
        <v>0</v>
      </c>
      <c r="L138" s="95" t="str">
        <f>ENTRY!F132</f>
        <v/>
      </c>
      <c r="M138" s="94" t="str">
        <f>ENTRY!G132</f>
        <v/>
      </c>
      <c r="N138" s="98" t="str">
        <f t="shared" si="3"/>
        <v/>
      </c>
      <c r="O138" s="99">
        <f t="shared" si="4"/>
        <v>0</v>
      </c>
      <c r="P138" s="99">
        <f t="shared" si="5"/>
        <v>0</v>
      </c>
      <c r="Q138" s="99">
        <f t="shared" si="6"/>
        <v>0</v>
      </c>
      <c r="R138" s="99">
        <f t="shared" si="7"/>
        <v>0</v>
      </c>
      <c r="S138" s="100" t="str">
        <f t="shared" ref="S138:V138" si="138">IFERROR(O138-Y138,"")
</f>
        <v/>
      </c>
      <c r="T138" s="100">
        <f t="shared" si="138"/>
        <v>0</v>
      </c>
      <c r="U138" s="100">
        <f t="shared" si="138"/>
        <v>0</v>
      </c>
      <c r="V138" s="100">
        <f t="shared" si="138"/>
        <v>0</v>
      </c>
      <c r="W138" s="88" t="str">
        <f t="shared" si="9"/>
        <v/>
      </c>
      <c r="X138" s="89">
        <f>S138/D138</f>
        <v>0</v>
      </c>
      <c r="Y138" s="90" t="str">
        <f t="shared" si="10"/>
        <v>ERR</v>
      </c>
      <c r="Z138" s="90">
        <f>IF(H138=0,0,CAPITAL!$H$5*Y138)
</f>
        <v>0</v>
      </c>
      <c r="AA138" s="90">
        <f>IF(I138=0,0,CAPITAL!$H$6*Y138)
</f>
        <v>0</v>
      </c>
      <c r="AB138" s="90">
        <f>IF(J138=0,0,CAPITAL!$H$7*Y138)
</f>
        <v>0</v>
      </c>
      <c r="AC138" s="90"/>
    </row>
    <row r="139">
      <c r="A139" s="104"/>
      <c r="B139" s="101">
        <v>134.0</v>
      </c>
      <c r="C139" s="79" t="str">
        <f>ENTRY!B133</f>
        <v>SILVERBEES</v>
      </c>
      <c r="D139" s="80">
        <f>CAPITAL!$C$2</f>
        <v>3350000</v>
      </c>
      <c r="E139" s="81" t="str">
        <f>ENTRY!C133</f>
        <v/>
      </c>
      <c r="F139" s="82" t="str">
        <f>ENTRY!D133</f>
        <v/>
      </c>
      <c r="G139" s="83" t="str">
        <f>ENTRY!E133</f>
        <v/>
      </c>
      <c r="H139" s="84">
        <f>G139*ENTRY!$O133</f>
        <v>0</v>
      </c>
      <c r="I139" s="84">
        <f>G139*ENTRY!$P133</f>
        <v>0</v>
      </c>
      <c r="J139" s="84">
        <f>G139*ENTRY!$Q133</f>
        <v>0</v>
      </c>
      <c r="K139" s="82">
        <f t="shared" si="2"/>
        <v>0</v>
      </c>
      <c r="L139" s="82" t="str">
        <f>ENTRY!F133</f>
        <v/>
      </c>
      <c r="M139" s="81" t="str">
        <f>ENTRY!G133</f>
        <v/>
      </c>
      <c r="N139" s="85" t="str">
        <f t="shared" si="3"/>
        <v/>
      </c>
      <c r="O139" s="86">
        <f t="shared" si="4"/>
        <v>0</v>
      </c>
      <c r="P139" s="86">
        <f t="shared" si="5"/>
        <v>0</v>
      </c>
      <c r="Q139" s="86">
        <f t="shared" si="6"/>
        <v>0</v>
      </c>
      <c r="R139" s="86">
        <f t="shared" si="7"/>
        <v>0</v>
      </c>
      <c r="S139" s="87" t="str">
        <f t="shared" ref="S139:V139" si="139">IFERROR(O139-Y139,"")
</f>
        <v/>
      </c>
      <c r="T139" s="87">
        <f t="shared" si="139"/>
        <v>0</v>
      </c>
      <c r="U139" s="87">
        <f t="shared" si="139"/>
        <v>0</v>
      </c>
      <c r="V139" s="87">
        <f t="shared" si="139"/>
        <v>0</v>
      </c>
      <c r="W139" s="88" t="str">
        <f t="shared" si="9"/>
        <v/>
      </c>
      <c r="X139" s="89">
        <f>IFERROR(S139/D139,"")</f>
        <v>0</v>
      </c>
      <c r="Y139" s="90" t="str">
        <f t="shared" si="10"/>
        <v>ERR</v>
      </c>
      <c r="Z139" s="90">
        <f>IF(H139=0,0,CAPITAL!$H$5*Y139)
</f>
        <v>0</v>
      </c>
      <c r="AA139" s="90">
        <f>IF(I139=0,0,CAPITAL!$H$6*Y139)
</f>
        <v>0</v>
      </c>
      <c r="AB139" s="90">
        <f>IF(J139=0,0,CAPITAL!$H$7*Y139)
</f>
        <v>0</v>
      </c>
      <c r="AC139" s="90"/>
    </row>
    <row r="140">
      <c r="A140" s="104"/>
      <c r="B140" s="101">
        <v>135.0</v>
      </c>
      <c r="C140" s="18" t="str">
        <f>ENTRY!B134</f>
        <v>SILVERBEES</v>
      </c>
      <c r="D140" s="93">
        <f>CAPITAL!$C$2</f>
        <v>3350000</v>
      </c>
      <c r="E140" s="94" t="str">
        <f>ENTRY!C134</f>
        <v/>
      </c>
      <c r="F140" s="95" t="str">
        <f>ENTRY!D134</f>
        <v/>
      </c>
      <c r="G140" s="96" t="str">
        <f>ENTRY!E134</f>
        <v/>
      </c>
      <c r="H140" s="97">
        <f>G140*ENTRY!$O134</f>
        <v>0</v>
      </c>
      <c r="I140" s="97">
        <f>G140*ENTRY!$P134</f>
        <v>0</v>
      </c>
      <c r="J140" s="97">
        <f>G140*ENTRY!$Q134</f>
        <v>0</v>
      </c>
      <c r="K140" s="95">
        <f t="shared" si="2"/>
        <v>0</v>
      </c>
      <c r="L140" s="95" t="str">
        <f>ENTRY!F134</f>
        <v/>
      </c>
      <c r="M140" s="94" t="str">
        <f>ENTRY!G134</f>
        <v/>
      </c>
      <c r="N140" s="98" t="str">
        <f t="shared" si="3"/>
        <v/>
      </c>
      <c r="O140" s="99">
        <f t="shared" si="4"/>
        <v>0</v>
      </c>
      <c r="P140" s="99">
        <f t="shared" si="5"/>
        <v>0</v>
      </c>
      <c r="Q140" s="99">
        <f t="shared" si="6"/>
        <v>0</v>
      </c>
      <c r="R140" s="99">
        <f t="shared" si="7"/>
        <v>0</v>
      </c>
      <c r="S140" s="100" t="str">
        <f t="shared" ref="S140:V140" si="140">IFERROR(O140-Y140,"")
</f>
        <v/>
      </c>
      <c r="T140" s="100">
        <f t="shared" si="140"/>
        <v>0</v>
      </c>
      <c r="U140" s="100">
        <f t="shared" si="140"/>
        <v>0</v>
      </c>
      <c r="V140" s="100">
        <f t="shared" si="140"/>
        <v>0</v>
      </c>
      <c r="W140" s="88" t="str">
        <f t="shared" si="9"/>
        <v/>
      </c>
      <c r="X140" s="89">
        <f>S140/D140</f>
        <v>0</v>
      </c>
      <c r="Y140" s="90" t="str">
        <f t="shared" si="10"/>
        <v>ERR</v>
      </c>
      <c r="Z140" s="90">
        <f>IF(H140=0,0,CAPITAL!$H$5*Y140)
</f>
        <v>0</v>
      </c>
      <c r="AA140" s="90">
        <f>IF(I140=0,0,CAPITAL!$H$6*Y140)
</f>
        <v>0</v>
      </c>
      <c r="AB140" s="90">
        <f>IF(J140=0,0,CAPITAL!$H$7*Y140)
</f>
        <v>0</v>
      </c>
      <c r="AC140" s="90"/>
    </row>
    <row r="141">
      <c r="A141" s="104"/>
      <c r="B141" s="101">
        <v>136.0</v>
      </c>
      <c r="C141" s="79" t="str">
        <f>ENTRY!B135</f>
        <v>SILVERBEES</v>
      </c>
      <c r="D141" s="80">
        <f>CAPITAL!$C$2</f>
        <v>3350000</v>
      </c>
      <c r="E141" s="81" t="str">
        <f>ENTRY!C135</f>
        <v/>
      </c>
      <c r="F141" s="82" t="str">
        <f>ENTRY!D135</f>
        <v/>
      </c>
      <c r="G141" s="83" t="str">
        <f>ENTRY!E135</f>
        <v/>
      </c>
      <c r="H141" s="84">
        <f>G141*ENTRY!$O135</f>
        <v>0</v>
      </c>
      <c r="I141" s="84">
        <f>G141*ENTRY!$P135</f>
        <v>0</v>
      </c>
      <c r="J141" s="84">
        <f>G141*ENTRY!$Q135</f>
        <v>0</v>
      </c>
      <c r="K141" s="82">
        <f t="shared" si="2"/>
        <v>0</v>
      </c>
      <c r="L141" s="82" t="str">
        <f>ENTRY!F135</f>
        <v/>
      </c>
      <c r="M141" s="81" t="str">
        <f>ENTRY!G135</f>
        <v/>
      </c>
      <c r="N141" s="85" t="str">
        <f t="shared" si="3"/>
        <v/>
      </c>
      <c r="O141" s="86">
        <f t="shared" si="4"/>
        <v>0</v>
      </c>
      <c r="P141" s="86">
        <f t="shared" si="5"/>
        <v>0</v>
      </c>
      <c r="Q141" s="86">
        <f t="shared" si="6"/>
        <v>0</v>
      </c>
      <c r="R141" s="86">
        <f t="shared" si="7"/>
        <v>0</v>
      </c>
      <c r="S141" s="87" t="str">
        <f t="shared" ref="S141:V141" si="141">IFERROR(O141-Y141,"")
</f>
        <v/>
      </c>
      <c r="T141" s="87">
        <f t="shared" si="141"/>
        <v>0</v>
      </c>
      <c r="U141" s="87">
        <f t="shared" si="141"/>
        <v>0</v>
      </c>
      <c r="V141" s="87">
        <f t="shared" si="141"/>
        <v>0</v>
      </c>
      <c r="W141" s="88" t="str">
        <f t="shared" si="9"/>
        <v/>
      </c>
      <c r="X141" s="89">
        <f>IFERROR(S141/D141,"")</f>
        <v>0</v>
      </c>
      <c r="Y141" s="90" t="str">
        <f t="shared" si="10"/>
        <v>ERR</v>
      </c>
      <c r="Z141" s="90">
        <f>IF(H141=0,0,CAPITAL!$H$5*Y141)
</f>
        <v>0</v>
      </c>
      <c r="AA141" s="90">
        <f>IF(I141=0,0,CAPITAL!$H$6*Y141)
</f>
        <v>0</v>
      </c>
      <c r="AB141" s="90">
        <f>IF(J141=0,0,CAPITAL!$H$7*Y141)
</f>
        <v>0</v>
      </c>
      <c r="AC141" s="90"/>
    </row>
    <row r="142">
      <c r="A142" s="104"/>
      <c r="B142" s="101">
        <v>137.0</v>
      </c>
      <c r="C142" s="18" t="str">
        <f>ENTRY!B136</f>
        <v>SILVERBEES</v>
      </c>
      <c r="D142" s="93">
        <f>CAPITAL!$C$2</f>
        <v>3350000</v>
      </c>
      <c r="E142" s="94" t="str">
        <f>ENTRY!C136</f>
        <v/>
      </c>
      <c r="F142" s="95" t="str">
        <f>ENTRY!D136</f>
        <v/>
      </c>
      <c r="G142" s="96" t="str">
        <f>ENTRY!E136</f>
        <v/>
      </c>
      <c r="H142" s="97">
        <f>G142*ENTRY!$O136</f>
        <v>0</v>
      </c>
      <c r="I142" s="97">
        <f>G142*ENTRY!$P136</f>
        <v>0</v>
      </c>
      <c r="J142" s="97">
        <f>G142*ENTRY!$Q136</f>
        <v>0</v>
      </c>
      <c r="K142" s="95">
        <f t="shared" si="2"/>
        <v>0</v>
      </c>
      <c r="L142" s="95" t="str">
        <f>ENTRY!F136</f>
        <v/>
      </c>
      <c r="M142" s="94" t="str">
        <f>ENTRY!G136</f>
        <v/>
      </c>
      <c r="N142" s="98" t="str">
        <f t="shared" si="3"/>
        <v/>
      </c>
      <c r="O142" s="99">
        <f t="shared" si="4"/>
        <v>0</v>
      </c>
      <c r="P142" s="99">
        <f t="shared" si="5"/>
        <v>0</v>
      </c>
      <c r="Q142" s="99">
        <f t="shared" si="6"/>
        <v>0</v>
      </c>
      <c r="R142" s="99">
        <f t="shared" si="7"/>
        <v>0</v>
      </c>
      <c r="S142" s="100" t="str">
        <f t="shared" ref="S142:V142" si="142">IFERROR(O142-Y142,"")
</f>
        <v/>
      </c>
      <c r="T142" s="100">
        <f t="shared" si="142"/>
        <v>0</v>
      </c>
      <c r="U142" s="100">
        <f t="shared" si="142"/>
        <v>0</v>
      </c>
      <c r="V142" s="100">
        <f t="shared" si="142"/>
        <v>0</v>
      </c>
      <c r="W142" s="88" t="str">
        <f t="shared" si="9"/>
        <v/>
      </c>
      <c r="X142" s="89">
        <f>S142/D142</f>
        <v>0</v>
      </c>
      <c r="Y142" s="90" t="str">
        <f t="shared" si="10"/>
        <v>ERR</v>
      </c>
      <c r="Z142" s="90">
        <f>IF(H142=0,0,CAPITAL!$H$5*Y142)
</f>
        <v>0</v>
      </c>
      <c r="AA142" s="90">
        <f>IF(I142=0,0,CAPITAL!$H$6*Y142)
</f>
        <v>0</v>
      </c>
      <c r="AB142" s="90">
        <f>IF(J142=0,0,CAPITAL!$H$7*Y142)
</f>
        <v>0</v>
      </c>
      <c r="AC142" s="90"/>
    </row>
    <row r="143">
      <c r="A143" s="104"/>
      <c r="B143" s="101">
        <v>138.0</v>
      </c>
      <c r="C143" s="79" t="str">
        <f>ENTRY!B137</f>
        <v>SILVERBEES</v>
      </c>
      <c r="D143" s="80">
        <f>CAPITAL!$C$2</f>
        <v>3350000</v>
      </c>
      <c r="E143" s="81" t="str">
        <f>ENTRY!C137</f>
        <v/>
      </c>
      <c r="F143" s="82" t="str">
        <f>ENTRY!D137</f>
        <v/>
      </c>
      <c r="G143" s="83" t="str">
        <f>ENTRY!E137</f>
        <v/>
      </c>
      <c r="H143" s="84">
        <f>G143*ENTRY!$O137</f>
        <v>0</v>
      </c>
      <c r="I143" s="84">
        <f>G143*ENTRY!$P137</f>
        <v>0</v>
      </c>
      <c r="J143" s="84">
        <f>G143*ENTRY!$Q137</f>
        <v>0</v>
      </c>
      <c r="K143" s="82">
        <f t="shared" si="2"/>
        <v>0</v>
      </c>
      <c r="L143" s="82" t="str">
        <f>ENTRY!F137</f>
        <v/>
      </c>
      <c r="M143" s="81" t="str">
        <f>ENTRY!G137</f>
        <v/>
      </c>
      <c r="N143" s="85" t="str">
        <f t="shared" si="3"/>
        <v/>
      </c>
      <c r="O143" s="86">
        <f t="shared" si="4"/>
        <v>0</v>
      </c>
      <c r="P143" s="86">
        <f t="shared" si="5"/>
        <v>0</v>
      </c>
      <c r="Q143" s="86">
        <f t="shared" si="6"/>
        <v>0</v>
      </c>
      <c r="R143" s="86">
        <f t="shared" si="7"/>
        <v>0</v>
      </c>
      <c r="S143" s="87" t="str">
        <f t="shared" ref="S143:V143" si="143">IFERROR(O143-Y143,"")
</f>
        <v/>
      </c>
      <c r="T143" s="87">
        <f t="shared" si="143"/>
        <v>0</v>
      </c>
      <c r="U143" s="87">
        <f t="shared" si="143"/>
        <v>0</v>
      </c>
      <c r="V143" s="87">
        <f t="shared" si="143"/>
        <v>0</v>
      </c>
      <c r="W143" s="88" t="str">
        <f t="shared" si="9"/>
        <v/>
      </c>
      <c r="X143" s="89">
        <f>IFERROR(S143/D143,"")</f>
        <v>0</v>
      </c>
      <c r="Y143" s="90" t="str">
        <f t="shared" si="10"/>
        <v>ERR</v>
      </c>
      <c r="Z143" s="90">
        <f>IF(H143=0,0,CAPITAL!$H$5*Y143)
</f>
        <v>0</v>
      </c>
      <c r="AA143" s="90">
        <f>IF(I143=0,0,CAPITAL!$H$6*Y143)
</f>
        <v>0</v>
      </c>
      <c r="AB143" s="90">
        <f>IF(J143=0,0,CAPITAL!$H$7*Y143)
</f>
        <v>0</v>
      </c>
      <c r="AC143" s="90"/>
    </row>
    <row r="144">
      <c r="A144" s="104"/>
      <c r="B144" s="101">
        <v>139.0</v>
      </c>
      <c r="C144" s="18" t="str">
        <f>ENTRY!B138</f>
        <v>SILVERBEES</v>
      </c>
      <c r="D144" s="93">
        <f>CAPITAL!$C$2</f>
        <v>3350000</v>
      </c>
      <c r="E144" s="94" t="str">
        <f>ENTRY!C138</f>
        <v/>
      </c>
      <c r="F144" s="95" t="str">
        <f>ENTRY!D138</f>
        <v/>
      </c>
      <c r="G144" s="96" t="str">
        <f>ENTRY!E138</f>
        <v/>
      </c>
      <c r="H144" s="97">
        <f>G144*ENTRY!$O138</f>
        <v>0</v>
      </c>
      <c r="I144" s="97">
        <f>G144*ENTRY!$P138</f>
        <v>0</v>
      </c>
      <c r="J144" s="97">
        <f>G144*ENTRY!$Q138</f>
        <v>0</v>
      </c>
      <c r="K144" s="95">
        <f t="shared" si="2"/>
        <v>0</v>
      </c>
      <c r="L144" s="95" t="str">
        <f>ENTRY!F138</f>
        <v/>
      </c>
      <c r="M144" s="94" t="str">
        <f>ENTRY!G138</f>
        <v/>
      </c>
      <c r="N144" s="98" t="str">
        <f t="shared" si="3"/>
        <v/>
      </c>
      <c r="O144" s="99">
        <f t="shared" si="4"/>
        <v>0</v>
      </c>
      <c r="P144" s="99">
        <f t="shared" si="5"/>
        <v>0</v>
      </c>
      <c r="Q144" s="99">
        <f t="shared" si="6"/>
        <v>0</v>
      </c>
      <c r="R144" s="99">
        <f t="shared" si="7"/>
        <v>0</v>
      </c>
      <c r="S144" s="100" t="str">
        <f t="shared" ref="S144:V144" si="144">IFERROR(O144-Y144,"")
</f>
        <v/>
      </c>
      <c r="T144" s="100">
        <f t="shared" si="144"/>
        <v>0</v>
      </c>
      <c r="U144" s="100">
        <f t="shared" si="144"/>
        <v>0</v>
      </c>
      <c r="V144" s="100">
        <f t="shared" si="144"/>
        <v>0</v>
      </c>
      <c r="W144" s="88" t="str">
        <f t="shared" si="9"/>
        <v/>
      </c>
      <c r="X144" s="89">
        <f>S144/D144</f>
        <v>0</v>
      </c>
      <c r="Y144" s="90" t="str">
        <f t="shared" si="10"/>
        <v>ERR</v>
      </c>
      <c r="Z144" s="90">
        <f>IF(H144=0,0,CAPITAL!$H$5*Y144)
</f>
        <v>0</v>
      </c>
      <c r="AA144" s="90">
        <f>IF(I144=0,0,CAPITAL!$H$6*Y144)
</f>
        <v>0</v>
      </c>
      <c r="AB144" s="90">
        <f>IF(J144=0,0,CAPITAL!$H$7*Y144)
</f>
        <v>0</v>
      </c>
      <c r="AC144" s="90"/>
    </row>
    <row r="145">
      <c r="A145" s="104"/>
      <c r="B145" s="101">
        <v>140.0</v>
      </c>
      <c r="C145" s="79" t="str">
        <f>ENTRY!B139</f>
        <v>SILVERBEES</v>
      </c>
      <c r="D145" s="80">
        <f>CAPITAL!$C$2</f>
        <v>3350000</v>
      </c>
      <c r="E145" s="81" t="str">
        <f>ENTRY!C139</f>
        <v/>
      </c>
      <c r="F145" s="82" t="str">
        <f>ENTRY!D139</f>
        <v/>
      </c>
      <c r="G145" s="83" t="str">
        <f>ENTRY!E139</f>
        <v/>
      </c>
      <c r="H145" s="84">
        <f>G145*ENTRY!$O139</f>
        <v>0</v>
      </c>
      <c r="I145" s="84">
        <f>G145*ENTRY!$P139</f>
        <v>0</v>
      </c>
      <c r="J145" s="84">
        <f>G145*ENTRY!$Q139</f>
        <v>0</v>
      </c>
      <c r="K145" s="82">
        <f t="shared" si="2"/>
        <v>0</v>
      </c>
      <c r="L145" s="82" t="str">
        <f>ENTRY!F139</f>
        <v/>
      </c>
      <c r="M145" s="81" t="str">
        <f>ENTRY!G139</f>
        <v/>
      </c>
      <c r="N145" s="85" t="str">
        <f t="shared" si="3"/>
        <v/>
      </c>
      <c r="O145" s="86">
        <f t="shared" si="4"/>
        <v>0</v>
      </c>
      <c r="P145" s="86">
        <f t="shared" si="5"/>
        <v>0</v>
      </c>
      <c r="Q145" s="86">
        <f t="shared" si="6"/>
        <v>0</v>
      </c>
      <c r="R145" s="86">
        <f t="shared" si="7"/>
        <v>0</v>
      </c>
      <c r="S145" s="87" t="str">
        <f t="shared" ref="S145:V145" si="145">IFERROR(O145-Y145,"")
</f>
        <v/>
      </c>
      <c r="T145" s="87">
        <f t="shared" si="145"/>
        <v>0</v>
      </c>
      <c r="U145" s="87">
        <f t="shared" si="145"/>
        <v>0</v>
      </c>
      <c r="V145" s="87">
        <f t="shared" si="145"/>
        <v>0</v>
      </c>
      <c r="W145" s="88" t="str">
        <f t="shared" si="9"/>
        <v/>
      </c>
      <c r="X145" s="89">
        <f>IFERROR(S145/D145,"")</f>
        <v>0</v>
      </c>
      <c r="Y145" s="90" t="str">
        <f t="shared" si="10"/>
        <v>ERR</v>
      </c>
      <c r="Z145" s="90">
        <f>IF(H145=0,0,CAPITAL!$H$5*Y145)
</f>
        <v>0</v>
      </c>
      <c r="AA145" s="90">
        <f>IF(I145=0,0,CAPITAL!$H$6*Y145)
</f>
        <v>0</v>
      </c>
      <c r="AB145" s="90">
        <f>IF(J145=0,0,CAPITAL!$H$7*Y145)
</f>
        <v>0</v>
      </c>
      <c r="AC145" s="90"/>
    </row>
    <row r="146">
      <c r="A146" s="104"/>
      <c r="B146" s="101">
        <v>141.0</v>
      </c>
      <c r="C146" s="18" t="str">
        <f>ENTRY!B140</f>
        <v>SILVERBEES</v>
      </c>
      <c r="D146" s="93">
        <f>CAPITAL!$C$2</f>
        <v>3350000</v>
      </c>
      <c r="E146" s="94" t="str">
        <f>ENTRY!C140</f>
        <v/>
      </c>
      <c r="F146" s="95" t="str">
        <f>ENTRY!D140</f>
        <v/>
      </c>
      <c r="G146" s="96" t="str">
        <f>ENTRY!E140</f>
        <v/>
      </c>
      <c r="H146" s="97">
        <f>G146*ENTRY!$O140</f>
        <v>0</v>
      </c>
      <c r="I146" s="97">
        <f>G146*ENTRY!$P140</f>
        <v>0</v>
      </c>
      <c r="J146" s="97">
        <f>G146*ENTRY!$Q140</f>
        <v>0</v>
      </c>
      <c r="K146" s="95">
        <f t="shared" si="2"/>
        <v>0</v>
      </c>
      <c r="L146" s="95" t="str">
        <f>ENTRY!F140</f>
        <v/>
      </c>
      <c r="M146" s="94" t="str">
        <f>ENTRY!G140</f>
        <v/>
      </c>
      <c r="N146" s="98" t="str">
        <f t="shared" si="3"/>
        <v/>
      </c>
      <c r="O146" s="99">
        <f t="shared" si="4"/>
        <v>0</v>
      </c>
      <c r="P146" s="99">
        <f t="shared" si="5"/>
        <v>0</v>
      </c>
      <c r="Q146" s="99">
        <f t="shared" si="6"/>
        <v>0</v>
      </c>
      <c r="R146" s="99">
        <f t="shared" si="7"/>
        <v>0</v>
      </c>
      <c r="S146" s="100" t="str">
        <f t="shared" ref="S146:V146" si="146">IFERROR(O146-Y146,"")
</f>
        <v/>
      </c>
      <c r="T146" s="100">
        <f t="shared" si="146"/>
        <v>0</v>
      </c>
      <c r="U146" s="100">
        <f t="shared" si="146"/>
        <v>0</v>
      </c>
      <c r="V146" s="100">
        <f t="shared" si="146"/>
        <v>0</v>
      </c>
      <c r="W146" s="88" t="str">
        <f t="shared" si="9"/>
        <v/>
      </c>
      <c r="X146" s="89">
        <f>S146/D146</f>
        <v>0</v>
      </c>
      <c r="Y146" s="90" t="str">
        <f t="shared" si="10"/>
        <v>ERR</v>
      </c>
      <c r="Z146" s="90">
        <f>IF(H146=0,0,CAPITAL!$H$5*Y146)
</f>
        <v>0</v>
      </c>
      <c r="AA146" s="90">
        <f>IF(I146=0,0,CAPITAL!$H$6*Y146)
</f>
        <v>0</v>
      </c>
      <c r="AB146" s="90">
        <f>IF(J146=0,0,CAPITAL!$H$7*Y146)
</f>
        <v>0</v>
      </c>
      <c r="AC146" s="90"/>
    </row>
    <row r="147">
      <c r="A147" s="104"/>
      <c r="B147" s="101">
        <v>142.0</v>
      </c>
      <c r="C147" s="79" t="str">
        <f>ENTRY!B141</f>
        <v>SILVERBEES</v>
      </c>
      <c r="D147" s="80">
        <f>CAPITAL!$C$2</f>
        <v>3350000</v>
      </c>
      <c r="E147" s="81" t="str">
        <f>ENTRY!C141</f>
        <v/>
      </c>
      <c r="F147" s="82" t="str">
        <f>ENTRY!D141</f>
        <v/>
      </c>
      <c r="G147" s="83" t="str">
        <f>ENTRY!E141</f>
        <v/>
      </c>
      <c r="H147" s="84">
        <f>G147*ENTRY!$O141</f>
        <v>0</v>
      </c>
      <c r="I147" s="84">
        <f>G147*ENTRY!$P141</f>
        <v>0</v>
      </c>
      <c r="J147" s="84">
        <f>G147*ENTRY!$Q141</f>
        <v>0</v>
      </c>
      <c r="K147" s="82">
        <f t="shared" si="2"/>
        <v>0</v>
      </c>
      <c r="L147" s="82" t="str">
        <f>ENTRY!F141</f>
        <v/>
      </c>
      <c r="M147" s="81" t="str">
        <f>ENTRY!G141</f>
        <v/>
      </c>
      <c r="N147" s="85" t="str">
        <f t="shared" si="3"/>
        <v/>
      </c>
      <c r="O147" s="86">
        <f t="shared" si="4"/>
        <v>0</v>
      </c>
      <c r="P147" s="86">
        <f t="shared" si="5"/>
        <v>0</v>
      </c>
      <c r="Q147" s="86">
        <f t="shared" si="6"/>
        <v>0</v>
      </c>
      <c r="R147" s="86">
        <f t="shared" si="7"/>
        <v>0</v>
      </c>
      <c r="S147" s="87" t="str">
        <f t="shared" ref="S147:V147" si="147">IFERROR(O147-Y147,"")
</f>
        <v/>
      </c>
      <c r="T147" s="87">
        <f t="shared" si="147"/>
        <v>0</v>
      </c>
      <c r="U147" s="87">
        <f t="shared" si="147"/>
        <v>0</v>
      </c>
      <c r="V147" s="87">
        <f t="shared" si="147"/>
        <v>0</v>
      </c>
      <c r="W147" s="88" t="str">
        <f t="shared" si="9"/>
        <v/>
      </c>
      <c r="X147" s="89">
        <f>IFERROR(S147/D147,"")</f>
        <v>0</v>
      </c>
      <c r="Y147" s="90" t="str">
        <f t="shared" si="10"/>
        <v>ERR</v>
      </c>
      <c r="Z147" s="90">
        <f>IF(H147=0,0,CAPITAL!$H$5*Y147)
</f>
        <v>0</v>
      </c>
      <c r="AA147" s="90">
        <f>IF(I147=0,0,CAPITAL!$H$6*Y147)
</f>
        <v>0</v>
      </c>
      <c r="AB147" s="90">
        <f>IF(J147=0,0,CAPITAL!$H$7*Y147)
</f>
        <v>0</v>
      </c>
      <c r="AC147" s="90"/>
    </row>
    <row r="148">
      <c r="A148" s="104"/>
      <c r="B148" s="101">
        <v>143.0</v>
      </c>
      <c r="C148" s="18" t="str">
        <f>ENTRY!B142</f>
        <v>SILVERBEES</v>
      </c>
      <c r="D148" s="93">
        <f>CAPITAL!$C$2</f>
        <v>3350000</v>
      </c>
      <c r="E148" s="94" t="str">
        <f>ENTRY!C142</f>
        <v/>
      </c>
      <c r="F148" s="95" t="str">
        <f>ENTRY!D142</f>
        <v/>
      </c>
      <c r="G148" s="96" t="str">
        <f>ENTRY!E142</f>
        <v/>
      </c>
      <c r="H148" s="97">
        <f>G148*ENTRY!$O142</f>
        <v>0</v>
      </c>
      <c r="I148" s="97">
        <f>G148*ENTRY!$P142</f>
        <v>0</v>
      </c>
      <c r="J148" s="97">
        <f>G148*ENTRY!$Q142</f>
        <v>0</v>
      </c>
      <c r="K148" s="95">
        <f t="shared" si="2"/>
        <v>0</v>
      </c>
      <c r="L148" s="95" t="str">
        <f>ENTRY!F142</f>
        <v/>
      </c>
      <c r="M148" s="94" t="str">
        <f>ENTRY!G142</f>
        <v/>
      </c>
      <c r="N148" s="98" t="str">
        <f t="shared" si="3"/>
        <v/>
      </c>
      <c r="O148" s="99">
        <f t="shared" si="4"/>
        <v>0</v>
      </c>
      <c r="P148" s="99">
        <f t="shared" si="5"/>
        <v>0</v>
      </c>
      <c r="Q148" s="99">
        <f t="shared" si="6"/>
        <v>0</v>
      </c>
      <c r="R148" s="99">
        <f t="shared" si="7"/>
        <v>0</v>
      </c>
      <c r="S148" s="100" t="str">
        <f t="shared" ref="S148:V148" si="148">IFERROR(O148-Y148,"")
</f>
        <v/>
      </c>
      <c r="T148" s="100">
        <f t="shared" si="148"/>
        <v>0</v>
      </c>
      <c r="U148" s="100">
        <f t="shared" si="148"/>
        <v>0</v>
      </c>
      <c r="V148" s="100">
        <f t="shared" si="148"/>
        <v>0</v>
      </c>
      <c r="W148" s="88" t="str">
        <f t="shared" si="9"/>
        <v/>
      </c>
      <c r="X148" s="89">
        <f>S148/D148</f>
        <v>0</v>
      </c>
      <c r="Y148" s="90" t="str">
        <f t="shared" si="10"/>
        <v>ERR</v>
      </c>
      <c r="Z148" s="90">
        <f>IF(H148=0,0,CAPITAL!$H$5*Y148)
</f>
        <v>0</v>
      </c>
      <c r="AA148" s="90">
        <f>IF(I148=0,0,CAPITAL!$H$6*Y148)
</f>
        <v>0</v>
      </c>
      <c r="AB148" s="90">
        <f>IF(J148=0,0,CAPITAL!$H$7*Y148)
</f>
        <v>0</v>
      </c>
      <c r="AC148" s="90"/>
    </row>
    <row r="149">
      <c r="A149" s="104"/>
      <c r="B149" s="101">
        <v>144.0</v>
      </c>
      <c r="C149" s="79" t="str">
        <f>ENTRY!B143</f>
        <v>SILVERBEES</v>
      </c>
      <c r="D149" s="80">
        <f>CAPITAL!$C$2</f>
        <v>3350000</v>
      </c>
      <c r="E149" s="81" t="str">
        <f>ENTRY!C143</f>
        <v/>
      </c>
      <c r="F149" s="82" t="str">
        <f>ENTRY!D143</f>
        <v/>
      </c>
      <c r="G149" s="83" t="str">
        <f>ENTRY!E143</f>
        <v/>
      </c>
      <c r="H149" s="84">
        <f>G149*ENTRY!$O143</f>
        <v>0</v>
      </c>
      <c r="I149" s="84">
        <f>G149*ENTRY!$P143</f>
        <v>0</v>
      </c>
      <c r="J149" s="84">
        <f>G149*ENTRY!$Q143</f>
        <v>0</v>
      </c>
      <c r="K149" s="82">
        <f t="shared" si="2"/>
        <v>0</v>
      </c>
      <c r="L149" s="82" t="str">
        <f>ENTRY!F143</f>
        <v/>
      </c>
      <c r="M149" s="81" t="str">
        <f>ENTRY!G143</f>
        <v/>
      </c>
      <c r="N149" s="85" t="str">
        <f t="shared" si="3"/>
        <v/>
      </c>
      <c r="O149" s="86">
        <f t="shared" si="4"/>
        <v>0</v>
      </c>
      <c r="P149" s="86">
        <f t="shared" si="5"/>
        <v>0</v>
      </c>
      <c r="Q149" s="86">
        <f t="shared" si="6"/>
        <v>0</v>
      </c>
      <c r="R149" s="86">
        <f t="shared" si="7"/>
        <v>0</v>
      </c>
      <c r="S149" s="87" t="str">
        <f t="shared" ref="S149:V149" si="149">IFERROR(O149-Y149,"")
</f>
        <v/>
      </c>
      <c r="T149" s="87">
        <f t="shared" si="149"/>
        <v>0</v>
      </c>
      <c r="U149" s="87">
        <f t="shared" si="149"/>
        <v>0</v>
      </c>
      <c r="V149" s="87">
        <f t="shared" si="149"/>
        <v>0</v>
      </c>
      <c r="W149" s="88" t="str">
        <f t="shared" si="9"/>
        <v/>
      </c>
      <c r="X149" s="89">
        <f>IFERROR(S149/D149,"")</f>
        <v>0</v>
      </c>
      <c r="Y149" s="90" t="str">
        <f t="shared" si="10"/>
        <v>ERR</v>
      </c>
      <c r="Z149" s="90">
        <f>IF(H149=0,0,CAPITAL!$H$5*Y149)
</f>
        <v>0</v>
      </c>
      <c r="AA149" s="90">
        <f>IF(I149=0,0,CAPITAL!$H$6*Y149)
</f>
        <v>0</v>
      </c>
      <c r="AB149" s="90">
        <f>IF(J149=0,0,CAPITAL!$H$7*Y149)
</f>
        <v>0</v>
      </c>
      <c r="AC149" s="90"/>
    </row>
    <row r="150">
      <c r="A150" s="104"/>
      <c r="B150" s="101">
        <v>145.0</v>
      </c>
      <c r="C150" s="18" t="str">
        <f>ENTRY!B144</f>
        <v>SILVERBEES</v>
      </c>
      <c r="D150" s="93">
        <f>CAPITAL!$C$2</f>
        <v>3350000</v>
      </c>
      <c r="E150" s="94" t="str">
        <f>ENTRY!C144</f>
        <v/>
      </c>
      <c r="F150" s="95" t="str">
        <f>ENTRY!D144</f>
        <v/>
      </c>
      <c r="G150" s="96" t="str">
        <f>ENTRY!E144</f>
        <v/>
      </c>
      <c r="H150" s="97">
        <f>G150*ENTRY!$O144</f>
        <v>0</v>
      </c>
      <c r="I150" s="97">
        <f>G150*ENTRY!$P144</f>
        <v>0</v>
      </c>
      <c r="J150" s="97">
        <f>G150*ENTRY!$Q144</f>
        <v>0</v>
      </c>
      <c r="K150" s="95">
        <f t="shared" si="2"/>
        <v>0</v>
      </c>
      <c r="L150" s="95" t="str">
        <f>ENTRY!F144</f>
        <v/>
      </c>
      <c r="M150" s="94" t="str">
        <f>ENTRY!G144</f>
        <v/>
      </c>
      <c r="N150" s="98" t="str">
        <f t="shared" si="3"/>
        <v/>
      </c>
      <c r="O150" s="99">
        <f t="shared" si="4"/>
        <v>0</v>
      </c>
      <c r="P150" s="99">
        <f t="shared" si="5"/>
        <v>0</v>
      </c>
      <c r="Q150" s="99">
        <f t="shared" si="6"/>
        <v>0</v>
      </c>
      <c r="R150" s="99">
        <f t="shared" si="7"/>
        <v>0</v>
      </c>
      <c r="S150" s="100" t="str">
        <f t="shared" ref="S150:V150" si="150">IFERROR(O150-Y150,"")
</f>
        <v/>
      </c>
      <c r="T150" s="100">
        <f t="shared" si="150"/>
        <v>0</v>
      </c>
      <c r="U150" s="100">
        <f t="shared" si="150"/>
        <v>0</v>
      </c>
      <c r="V150" s="100">
        <f t="shared" si="150"/>
        <v>0</v>
      </c>
      <c r="W150" s="88" t="str">
        <f t="shared" si="9"/>
        <v/>
      </c>
      <c r="X150" s="89">
        <f>S150/D150</f>
        <v>0</v>
      </c>
      <c r="Y150" s="90" t="str">
        <f t="shared" si="10"/>
        <v>ERR</v>
      </c>
      <c r="Z150" s="90">
        <f>IF(H150=0,0,CAPITAL!$H$5*Y150)
</f>
        <v>0</v>
      </c>
      <c r="AA150" s="90">
        <f>IF(I150=0,0,CAPITAL!$H$6*Y150)
</f>
        <v>0</v>
      </c>
      <c r="AB150" s="90">
        <f>IF(J150=0,0,CAPITAL!$H$7*Y150)
</f>
        <v>0</v>
      </c>
      <c r="AC150" s="90"/>
    </row>
    <row r="151">
      <c r="A151" s="104"/>
      <c r="B151" s="101">
        <v>146.0</v>
      </c>
      <c r="C151" s="79" t="str">
        <f>ENTRY!B145</f>
        <v>SILVERBEES</v>
      </c>
      <c r="D151" s="80">
        <f>CAPITAL!$C$2</f>
        <v>3350000</v>
      </c>
      <c r="E151" s="81" t="str">
        <f>ENTRY!C145</f>
        <v/>
      </c>
      <c r="F151" s="82" t="str">
        <f>ENTRY!D145</f>
        <v/>
      </c>
      <c r="G151" s="83" t="str">
        <f>ENTRY!E145</f>
        <v/>
      </c>
      <c r="H151" s="84">
        <f>G151*ENTRY!$O145</f>
        <v>0</v>
      </c>
      <c r="I151" s="84">
        <f>G151*ENTRY!$P145</f>
        <v>0</v>
      </c>
      <c r="J151" s="84">
        <f>G151*ENTRY!$Q145</f>
        <v>0</v>
      </c>
      <c r="K151" s="82">
        <f t="shared" si="2"/>
        <v>0</v>
      </c>
      <c r="L151" s="82" t="str">
        <f>ENTRY!F145</f>
        <v/>
      </c>
      <c r="M151" s="81" t="str">
        <f>ENTRY!G145</f>
        <v/>
      </c>
      <c r="N151" s="85" t="str">
        <f t="shared" si="3"/>
        <v/>
      </c>
      <c r="O151" s="86">
        <f t="shared" si="4"/>
        <v>0</v>
      </c>
      <c r="P151" s="86">
        <f t="shared" si="5"/>
        <v>0</v>
      </c>
      <c r="Q151" s="86">
        <f t="shared" si="6"/>
        <v>0</v>
      </c>
      <c r="R151" s="86">
        <f t="shared" si="7"/>
        <v>0</v>
      </c>
      <c r="S151" s="87" t="str">
        <f t="shared" ref="S151:V151" si="151">IFERROR(O151-Y151,"")
</f>
        <v/>
      </c>
      <c r="T151" s="87">
        <f t="shared" si="151"/>
        <v>0</v>
      </c>
      <c r="U151" s="87">
        <f t="shared" si="151"/>
        <v>0</v>
      </c>
      <c r="V151" s="87">
        <f t="shared" si="151"/>
        <v>0</v>
      </c>
      <c r="W151" s="88" t="str">
        <f t="shared" si="9"/>
        <v/>
      </c>
      <c r="X151" s="89">
        <f>IFERROR(S151/D151,"")</f>
        <v>0</v>
      </c>
      <c r="Y151" s="90" t="str">
        <f t="shared" si="10"/>
        <v>ERR</v>
      </c>
      <c r="Z151" s="90">
        <f>IF(H151=0,0,CAPITAL!$H$5*Y151)
</f>
        <v>0</v>
      </c>
      <c r="AA151" s="90">
        <f>IF(I151=0,0,CAPITAL!$H$6*Y151)
</f>
        <v>0</v>
      </c>
      <c r="AB151" s="90">
        <f>IF(J151=0,0,CAPITAL!$H$7*Y151)
</f>
        <v>0</v>
      </c>
      <c r="AC151" s="90"/>
    </row>
    <row r="152">
      <c r="A152" s="104"/>
      <c r="B152" s="101">
        <v>147.0</v>
      </c>
      <c r="C152" s="18" t="str">
        <f>ENTRY!B146</f>
        <v>SILVERBEES</v>
      </c>
      <c r="D152" s="93">
        <f>CAPITAL!$C$2</f>
        <v>3350000</v>
      </c>
      <c r="E152" s="94" t="str">
        <f>ENTRY!C146</f>
        <v/>
      </c>
      <c r="F152" s="95" t="str">
        <f>ENTRY!D146</f>
        <v/>
      </c>
      <c r="G152" s="96" t="str">
        <f>ENTRY!E146</f>
        <v/>
      </c>
      <c r="H152" s="97">
        <f>G152*ENTRY!$O146</f>
        <v>0</v>
      </c>
      <c r="I152" s="97">
        <f>G152*ENTRY!$P146</f>
        <v>0</v>
      </c>
      <c r="J152" s="97">
        <f>G152*ENTRY!$Q146</f>
        <v>0</v>
      </c>
      <c r="K152" s="95">
        <f t="shared" si="2"/>
        <v>0</v>
      </c>
      <c r="L152" s="95" t="str">
        <f>ENTRY!F146</f>
        <v/>
      </c>
      <c r="M152" s="94" t="str">
        <f>ENTRY!G146</f>
        <v/>
      </c>
      <c r="N152" s="98" t="str">
        <f t="shared" si="3"/>
        <v/>
      </c>
      <c r="O152" s="99">
        <f t="shared" si="4"/>
        <v>0</v>
      </c>
      <c r="P152" s="99">
        <f t="shared" si="5"/>
        <v>0</v>
      </c>
      <c r="Q152" s="99">
        <f t="shared" si="6"/>
        <v>0</v>
      </c>
      <c r="R152" s="99">
        <f t="shared" si="7"/>
        <v>0</v>
      </c>
      <c r="S152" s="100" t="str">
        <f t="shared" ref="S152:V152" si="152">IFERROR(O152-Y152,"")
</f>
        <v/>
      </c>
      <c r="T152" s="100">
        <f t="shared" si="152"/>
        <v>0</v>
      </c>
      <c r="U152" s="100">
        <f t="shared" si="152"/>
        <v>0</v>
      </c>
      <c r="V152" s="100">
        <f t="shared" si="152"/>
        <v>0</v>
      </c>
      <c r="W152" s="88" t="str">
        <f t="shared" si="9"/>
        <v/>
      </c>
      <c r="X152" s="89">
        <f>S152/D152</f>
        <v>0</v>
      </c>
      <c r="Y152" s="90" t="str">
        <f t="shared" si="10"/>
        <v>ERR</v>
      </c>
      <c r="Z152" s="90">
        <f>IF(H152=0,0,CAPITAL!$H$5*Y152)
</f>
        <v>0</v>
      </c>
      <c r="AA152" s="90">
        <f>IF(I152=0,0,CAPITAL!$H$6*Y152)
</f>
        <v>0</v>
      </c>
      <c r="AB152" s="90">
        <f>IF(J152=0,0,CAPITAL!$H$7*Y152)
</f>
        <v>0</v>
      </c>
      <c r="AC152" s="90"/>
    </row>
    <row r="153">
      <c r="A153" s="104"/>
      <c r="B153" s="101">
        <v>148.0</v>
      </c>
      <c r="C153" s="79" t="str">
        <f>ENTRY!B147</f>
        <v>SILVERBEES</v>
      </c>
      <c r="D153" s="80">
        <f>CAPITAL!$C$2</f>
        <v>3350000</v>
      </c>
      <c r="E153" s="81" t="str">
        <f>ENTRY!C147</f>
        <v/>
      </c>
      <c r="F153" s="82" t="str">
        <f>ENTRY!D147</f>
        <v/>
      </c>
      <c r="G153" s="83" t="str">
        <f>ENTRY!E147</f>
        <v/>
      </c>
      <c r="H153" s="84">
        <f>G153*ENTRY!$O147</f>
        <v>0</v>
      </c>
      <c r="I153" s="84">
        <f>G153*ENTRY!$P147</f>
        <v>0</v>
      </c>
      <c r="J153" s="84">
        <f>G153*ENTRY!$Q147</f>
        <v>0</v>
      </c>
      <c r="K153" s="82">
        <f t="shared" si="2"/>
        <v>0</v>
      </c>
      <c r="L153" s="82" t="str">
        <f>ENTRY!F147</f>
        <v/>
      </c>
      <c r="M153" s="81" t="str">
        <f>ENTRY!G147</f>
        <v/>
      </c>
      <c r="N153" s="85" t="str">
        <f t="shared" si="3"/>
        <v/>
      </c>
      <c r="O153" s="86">
        <f t="shared" si="4"/>
        <v>0</v>
      </c>
      <c r="P153" s="86">
        <f t="shared" si="5"/>
        <v>0</v>
      </c>
      <c r="Q153" s="86">
        <f t="shared" si="6"/>
        <v>0</v>
      </c>
      <c r="R153" s="86">
        <f t="shared" si="7"/>
        <v>0</v>
      </c>
      <c r="S153" s="87" t="str">
        <f t="shared" ref="S153:V153" si="153">IFERROR(O153-Y153,"")
</f>
        <v/>
      </c>
      <c r="T153" s="87">
        <f t="shared" si="153"/>
        <v>0</v>
      </c>
      <c r="U153" s="87">
        <f t="shared" si="153"/>
        <v>0</v>
      </c>
      <c r="V153" s="87">
        <f t="shared" si="153"/>
        <v>0</v>
      </c>
      <c r="W153" s="88" t="str">
        <f t="shared" si="9"/>
        <v/>
      </c>
      <c r="X153" s="89">
        <f>IFERROR(S153/D153,"")</f>
        <v>0</v>
      </c>
      <c r="Y153" s="90" t="str">
        <f t="shared" si="10"/>
        <v>ERR</v>
      </c>
      <c r="Z153" s="90">
        <f>IF(H153=0,0,CAPITAL!$H$5*Y153)
</f>
        <v>0</v>
      </c>
      <c r="AA153" s="90">
        <f>IF(I153=0,0,CAPITAL!$H$6*Y153)
</f>
        <v>0</v>
      </c>
      <c r="AB153" s="90">
        <f>IF(J153=0,0,CAPITAL!$H$7*Y153)
</f>
        <v>0</v>
      </c>
      <c r="AC153" s="90"/>
    </row>
    <row r="154">
      <c r="A154" s="104"/>
      <c r="B154" s="101">
        <v>149.0</v>
      </c>
      <c r="C154" s="18" t="str">
        <f>ENTRY!B148</f>
        <v>SILVERBEES</v>
      </c>
      <c r="D154" s="93">
        <f>CAPITAL!$C$2</f>
        <v>3350000</v>
      </c>
      <c r="E154" s="94" t="str">
        <f>ENTRY!C148</f>
        <v/>
      </c>
      <c r="F154" s="95" t="str">
        <f>ENTRY!D148</f>
        <v/>
      </c>
      <c r="G154" s="96" t="str">
        <f>ENTRY!E148</f>
        <v/>
      </c>
      <c r="H154" s="97">
        <f>G154*ENTRY!$O148</f>
        <v>0</v>
      </c>
      <c r="I154" s="97">
        <f>G154*ENTRY!$P148</f>
        <v>0</v>
      </c>
      <c r="J154" s="97">
        <f>G154*ENTRY!$Q148</f>
        <v>0</v>
      </c>
      <c r="K154" s="95">
        <f t="shared" si="2"/>
        <v>0</v>
      </c>
      <c r="L154" s="95" t="str">
        <f>ENTRY!F148</f>
        <v/>
      </c>
      <c r="M154" s="94" t="str">
        <f>ENTRY!G148</f>
        <v/>
      </c>
      <c r="N154" s="98" t="str">
        <f t="shared" si="3"/>
        <v/>
      </c>
      <c r="O154" s="99">
        <f t="shared" si="4"/>
        <v>0</v>
      </c>
      <c r="P154" s="99">
        <f t="shared" si="5"/>
        <v>0</v>
      </c>
      <c r="Q154" s="99">
        <f t="shared" si="6"/>
        <v>0</v>
      </c>
      <c r="R154" s="99">
        <f t="shared" si="7"/>
        <v>0</v>
      </c>
      <c r="S154" s="100" t="str">
        <f t="shared" ref="S154:V154" si="154">IFERROR(O154-Y154,"")
</f>
        <v/>
      </c>
      <c r="T154" s="100">
        <f t="shared" si="154"/>
        <v>0</v>
      </c>
      <c r="U154" s="100">
        <f t="shared" si="154"/>
        <v>0</v>
      </c>
      <c r="V154" s="100">
        <f t="shared" si="154"/>
        <v>0</v>
      </c>
      <c r="W154" s="88" t="str">
        <f t="shared" si="9"/>
        <v/>
      </c>
      <c r="X154" s="89">
        <f>S154/D154</f>
        <v>0</v>
      </c>
      <c r="Y154" s="90" t="str">
        <f t="shared" si="10"/>
        <v>ERR</v>
      </c>
      <c r="Z154" s="90">
        <f>IF(H154=0,0,CAPITAL!$H$5*Y154)
</f>
        <v>0</v>
      </c>
      <c r="AA154" s="90">
        <f>IF(I154=0,0,CAPITAL!$H$6*Y154)
</f>
        <v>0</v>
      </c>
      <c r="AB154" s="90">
        <f>IF(J154=0,0,CAPITAL!$H$7*Y154)
</f>
        <v>0</v>
      </c>
      <c r="AC154" s="90"/>
    </row>
    <row r="155">
      <c r="A155" s="104"/>
      <c r="B155" s="101">
        <v>150.0</v>
      </c>
      <c r="C155" s="79" t="str">
        <f>ENTRY!B149</f>
        <v>SILVERBEES</v>
      </c>
      <c r="D155" s="80">
        <f>CAPITAL!$C$2</f>
        <v>3350000</v>
      </c>
      <c r="E155" s="81" t="str">
        <f>ENTRY!C149</f>
        <v/>
      </c>
      <c r="F155" s="82" t="str">
        <f>ENTRY!D149</f>
        <v/>
      </c>
      <c r="G155" s="83" t="str">
        <f>ENTRY!E149</f>
        <v/>
      </c>
      <c r="H155" s="84">
        <f>G155*ENTRY!$O149</f>
        <v>0</v>
      </c>
      <c r="I155" s="84">
        <f>G155*ENTRY!$P149</f>
        <v>0</v>
      </c>
      <c r="J155" s="84">
        <f>G155*ENTRY!$Q149</f>
        <v>0</v>
      </c>
      <c r="K155" s="82">
        <f t="shared" si="2"/>
        <v>0</v>
      </c>
      <c r="L155" s="82" t="str">
        <f>ENTRY!F149</f>
        <v/>
      </c>
      <c r="M155" s="81" t="str">
        <f>ENTRY!G149</f>
        <v/>
      </c>
      <c r="N155" s="85" t="str">
        <f t="shared" si="3"/>
        <v/>
      </c>
      <c r="O155" s="86">
        <f t="shared" si="4"/>
        <v>0</v>
      </c>
      <c r="P155" s="86">
        <f t="shared" si="5"/>
        <v>0</v>
      </c>
      <c r="Q155" s="86">
        <f t="shared" si="6"/>
        <v>0</v>
      </c>
      <c r="R155" s="86">
        <f t="shared" si="7"/>
        <v>0</v>
      </c>
      <c r="S155" s="87" t="str">
        <f t="shared" ref="S155:V155" si="155">IFERROR(O155-Y155,"")
</f>
        <v/>
      </c>
      <c r="T155" s="87">
        <f t="shared" si="155"/>
        <v>0</v>
      </c>
      <c r="U155" s="87">
        <f t="shared" si="155"/>
        <v>0</v>
      </c>
      <c r="V155" s="87">
        <f t="shared" si="155"/>
        <v>0</v>
      </c>
      <c r="W155" s="88" t="str">
        <f t="shared" si="9"/>
        <v/>
      </c>
      <c r="X155" s="89">
        <f>IFERROR(S155/D155,"")</f>
        <v>0</v>
      </c>
      <c r="Y155" s="90" t="str">
        <f t="shared" si="10"/>
        <v>ERR</v>
      </c>
      <c r="Z155" s="90">
        <f>IF(H155=0,0,CAPITAL!$H$5*Y155)
</f>
        <v>0</v>
      </c>
      <c r="AA155" s="90">
        <f>IF(I155=0,0,CAPITAL!$H$6*Y155)
</f>
        <v>0</v>
      </c>
      <c r="AB155" s="90">
        <f>IF(J155=0,0,CAPITAL!$H$7*Y155)
</f>
        <v>0</v>
      </c>
      <c r="AC155" s="90"/>
    </row>
    <row r="156">
      <c r="A156" s="104"/>
      <c r="B156" s="101">
        <v>151.0</v>
      </c>
      <c r="C156" s="18" t="str">
        <f>ENTRY!B150</f>
        <v>SILVERBEES</v>
      </c>
      <c r="D156" s="93">
        <f>CAPITAL!$C$2</f>
        <v>3350000</v>
      </c>
      <c r="E156" s="94" t="str">
        <f>ENTRY!C150</f>
        <v/>
      </c>
      <c r="F156" s="95" t="str">
        <f>ENTRY!D150</f>
        <v/>
      </c>
      <c r="G156" s="96" t="str">
        <f>ENTRY!E150</f>
        <v/>
      </c>
      <c r="H156" s="97">
        <f>G156*ENTRY!$O150</f>
        <v>0</v>
      </c>
      <c r="I156" s="97">
        <f>G156*ENTRY!$P150</f>
        <v>0</v>
      </c>
      <c r="J156" s="97">
        <f>G156*ENTRY!$Q150</f>
        <v>0</v>
      </c>
      <c r="K156" s="95">
        <f t="shared" si="2"/>
        <v>0</v>
      </c>
      <c r="L156" s="95" t="str">
        <f>ENTRY!F150</f>
        <v/>
      </c>
      <c r="M156" s="94" t="str">
        <f>ENTRY!G150</f>
        <v/>
      </c>
      <c r="N156" s="98" t="str">
        <f t="shared" si="3"/>
        <v/>
      </c>
      <c r="O156" s="99">
        <f t="shared" si="4"/>
        <v>0</v>
      </c>
      <c r="P156" s="99">
        <f t="shared" si="5"/>
        <v>0</v>
      </c>
      <c r="Q156" s="99">
        <f t="shared" si="6"/>
        <v>0</v>
      </c>
      <c r="R156" s="99">
        <f t="shared" si="7"/>
        <v>0</v>
      </c>
      <c r="S156" s="100" t="str">
        <f t="shared" ref="S156:V156" si="156">IFERROR(O156-Y156,"")
</f>
        <v/>
      </c>
      <c r="T156" s="100">
        <f t="shared" si="156"/>
        <v>0</v>
      </c>
      <c r="U156" s="100">
        <f t="shared" si="156"/>
        <v>0</v>
      </c>
      <c r="V156" s="100">
        <f t="shared" si="156"/>
        <v>0</v>
      </c>
      <c r="W156" s="88" t="str">
        <f t="shared" si="9"/>
        <v/>
      </c>
      <c r="X156" s="89">
        <f>S156/D156</f>
        <v>0</v>
      </c>
      <c r="Y156" s="90" t="str">
        <f t="shared" si="10"/>
        <v>ERR</v>
      </c>
      <c r="Z156" s="90">
        <f>IF(H156=0,0,CAPITAL!$H$5*Y156)
</f>
        <v>0</v>
      </c>
      <c r="AA156" s="90">
        <f>IF(I156=0,0,CAPITAL!$H$6*Y156)
</f>
        <v>0</v>
      </c>
      <c r="AB156" s="90">
        <f>IF(J156=0,0,CAPITAL!$H$7*Y156)
</f>
        <v>0</v>
      </c>
      <c r="AC156" s="90"/>
    </row>
    <row r="157">
      <c r="A157" s="104"/>
      <c r="B157" s="101">
        <v>152.0</v>
      </c>
      <c r="C157" s="79" t="str">
        <f>ENTRY!B151</f>
        <v>SILVERBEES</v>
      </c>
      <c r="D157" s="80">
        <f>CAPITAL!$C$2</f>
        <v>3350000</v>
      </c>
      <c r="E157" s="81" t="str">
        <f>ENTRY!C151</f>
        <v/>
      </c>
      <c r="F157" s="82" t="str">
        <f>ENTRY!D151</f>
        <v/>
      </c>
      <c r="G157" s="83" t="str">
        <f>ENTRY!E151</f>
        <v/>
      </c>
      <c r="H157" s="84">
        <f>G157*ENTRY!$O151</f>
        <v>0</v>
      </c>
      <c r="I157" s="84">
        <f>G157*ENTRY!$P151</f>
        <v>0</v>
      </c>
      <c r="J157" s="84">
        <f>G157*ENTRY!$Q151</f>
        <v>0</v>
      </c>
      <c r="K157" s="82">
        <f t="shared" si="2"/>
        <v>0</v>
      </c>
      <c r="L157" s="82" t="str">
        <f>ENTRY!F151</f>
        <v/>
      </c>
      <c r="M157" s="81" t="str">
        <f>ENTRY!G151</f>
        <v/>
      </c>
      <c r="N157" s="85" t="str">
        <f t="shared" si="3"/>
        <v/>
      </c>
      <c r="O157" s="86">
        <f t="shared" si="4"/>
        <v>0</v>
      </c>
      <c r="P157" s="86">
        <f t="shared" si="5"/>
        <v>0</v>
      </c>
      <c r="Q157" s="86">
        <f t="shared" si="6"/>
        <v>0</v>
      </c>
      <c r="R157" s="86">
        <f t="shared" si="7"/>
        <v>0</v>
      </c>
      <c r="S157" s="87" t="str">
        <f t="shared" ref="S157:V157" si="157">IFERROR(O157-Y157,"")
</f>
        <v/>
      </c>
      <c r="T157" s="87">
        <f t="shared" si="157"/>
        <v>0</v>
      </c>
      <c r="U157" s="87">
        <f t="shared" si="157"/>
        <v>0</v>
      </c>
      <c r="V157" s="87">
        <f t="shared" si="157"/>
        <v>0</v>
      </c>
      <c r="W157" s="88" t="str">
        <f t="shared" si="9"/>
        <v/>
      </c>
      <c r="X157" s="89">
        <f>IFERROR(S157/D157,"")</f>
        <v>0</v>
      </c>
      <c r="Y157" s="90" t="str">
        <f t="shared" si="10"/>
        <v>ERR</v>
      </c>
      <c r="Z157" s="90">
        <f>IF(H157=0,0,CAPITAL!$H$5*Y157)
</f>
        <v>0</v>
      </c>
      <c r="AA157" s="90">
        <f>IF(I157=0,0,CAPITAL!$H$6*Y157)
</f>
        <v>0</v>
      </c>
      <c r="AB157" s="90">
        <f>IF(J157=0,0,CAPITAL!$H$7*Y157)
</f>
        <v>0</v>
      </c>
      <c r="AC157" s="90"/>
    </row>
    <row r="158">
      <c r="A158" s="104"/>
      <c r="B158" s="101">
        <v>153.0</v>
      </c>
      <c r="C158" s="18" t="str">
        <f>ENTRY!B152</f>
        <v>SILVERBEES</v>
      </c>
      <c r="D158" s="93">
        <f>CAPITAL!$C$2</f>
        <v>3350000</v>
      </c>
      <c r="E158" s="94" t="str">
        <f>ENTRY!C152</f>
        <v/>
      </c>
      <c r="F158" s="95" t="str">
        <f>ENTRY!D152</f>
        <v/>
      </c>
      <c r="G158" s="96" t="str">
        <f>ENTRY!E152</f>
        <v/>
      </c>
      <c r="H158" s="97">
        <f>G158*ENTRY!$O152</f>
        <v>0</v>
      </c>
      <c r="I158" s="97">
        <f>G158*ENTRY!$P152</f>
        <v>0</v>
      </c>
      <c r="J158" s="97">
        <f>G158*ENTRY!$Q152</f>
        <v>0</v>
      </c>
      <c r="K158" s="95">
        <f t="shared" si="2"/>
        <v>0</v>
      </c>
      <c r="L158" s="95" t="str">
        <f>ENTRY!F152</f>
        <v/>
      </c>
      <c r="M158" s="94" t="str">
        <f>ENTRY!G152</f>
        <v/>
      </c>
      <c r="N158" s="98" t="str">
        <f t="shared" si="3"/>
        <v/>
      </c>
      <c r="O158" s="99">
        <f t="shared" si="4"/>
        <v>0</v>
      </c>
      <c r="P158" s="99">
        <f t="shared" si="5"/>
        <v>0</v>
      </c>
      <c r="Q158" s="99">
        <f t="shared" si="6"/>
        <v>0</v>
      </c>
      <c r="R158" s="99">
        <f t="shared" si="7"/>
        <v>0</v>
      </c>
      <c r="S158" s="100" t="str">
        <f t="shared" ref="S158:V158" si="158">IFERROR(O158-Y158,"")
</f>
        <v/>
      </c>
      <c r="T158" s="100">
        <f t="shared" si="158"/>
        <v>0</v>
      </c>
      <c r="U158" s="100">
        <f t="shared" si="158"/>
        <v>0</v>
      </c>
      <c r="V158" s="100">
        <f t="shared" si="158"/>
        <v>0</v>
      </c>
      <c r="W158" s="88" t="str">
        <f t="shared" si="9"/>
        <v/>
      </c>
      <c r="X158" s="89">
        <f>S158/D158</f>
        <v>0</v>
      </c>
      <c r="Y158" s="90" t="str">
        <f t="shared" si="10"/>
        <v>ERR</v>
      </c>
      <c r="Z158" s="90">
        <f>IF(H158=0,0,CAPITAL!$H$5*Y158)
</f>
        <v>0</v>
      </c>
      <c r="AA158" s="90">
        <f>IF(I158=0,0,CAPITAL!$H$6*Y158)
</f>
        <v>0</v>
      </c>
      <c r="AB158" s="90">
        <f>IF(J158=0,0,CAPITAL!$H$7*Y158)
</f>
        <v>0</v>
      </c>
      <c r="AC158" s="90"/>
    </row>
    <row r="159">
      <c r="A159" s="104"/>
      <c r="B159" s="101">
        <v>154.0</v>
      </c>
      <c r="C159" s="79" t="str">
        <f>ENTRY!B153</f>
        <v>SILVERBEES</v>
      </c>
      <c r="D159" s="80">
        <f>CAPITAL!$C$2</f>
        <v>3350000</v>
      </c>
      <c r="E159" s="81" t="str">
        <f>ENTRY!C153</f>
        <v/>
      </c>
      <c r="F159" s="82" t="str">
        <f>ENTRY!D153</f>
        <v/>
      </c>
      <c r="G159" s="83" t="str">
        <f>ENTRY!E153</f>
        <v/>
      </c>
      <c r="H159" s="84">
        <f>G159*ENTRY!$O153</f>
        <v>0</v>
      </c>
      <c r="I159" s="84">
        <f>G159*ENTRY!$P153</f>
        <v>0</v>
      </c>
      <c r="J159" s="84">
        <f>G159*ENTRY!$Q153</f>
        <v>0</v>
      </c>
      <c r="K159" s="82">
        <f t="shared" si="2"/>
        <v>0</v>
      </c>
      <c r="L159" s="82" t="str">
        <f>ENTRY!F153</f>
        <v/>
      </c>
      <c r="M159" s="81" t="str">
        <f>ENTRY!G153</f>
        <v/>
      </c>
      <c r="N159" s="85" t="str">
        <f t="shared" si="3"/>
        <v/>
      </c>
      <c r="O159" s="86">
        <f t="shared" si="4"/>
        <v>0</v>
      </c>
      <c r="P159" s="86">
        <f t="shared" si="5"/>
        <v>0</v>
      </c>
      <c r="Q159" s="86">
        <f t="shared" si="6"/>
        <v>0</v>
      </c>
      <c r="R159" s="86">
        <f t="shared" si="7"/>
        <v>0</v>
      </c>
      <c r="S159" s="87" t="str">
        <f t="shared" ref="S159:V159" si="159">IFERROR(O159-Y159,"")
</f>
        <v/>
      </c>
      <c r="T159" s="87">
        <f t="shared" si="159"/>
        <v>0</v>
      </c>
      <c r="U159" s="87">
        <f t="shared" si="159"/>
        <v>0</v>
      </c>
      <c r="V159" s="87">
        <f t="shared" si="159"/>
        <v>0</v>
      </c>
      <c r="W159" s="88" t="str">
        <f t="shared" si="9"/>
        <v/>
      </c>
      <c r="X159" s="89">
        <f>IFERROR(S159/D159,"")</f>
        <v>0</v>
      </c>
      <c r="Y159" s="90" t="str">
        <f t="shared" si="10"/>
        <v>ERR</v>
      </c>
      <c r="Z159" s="90">
        <f>IF(H159=0,0,CAPITAL!$H$5*Y159)
</f>
        <v>0</v>
      </c>
      <c r="AA159" s="90">
        <f>IF(I159=0,0,CAPITAL!$H$6*Y159)
</f>
        <v>0</v>
      </c>
      <c r="AB159" s="90">
        <f>IF(J159=0,0,CAPITAL!$H$7*Y159)
</f>
        <v>0</v>
      </c>
      <c r="AC159" s="90"/>
    </row>
    <row r="160">
      <c r="A160" s="104"/>
      <c r="B160" s="101">
        <v>155.0</v>
      </c>
      <c r="C160" s="18" t="str">
        <f>ENTRY!B154</f>
        <v>SILVERBEES</v>
      </c>
      <c r="D160" s="93">
        <f>CAPITAL!$C$2</f>
        <v>3350000</v>
      </c>
      <c r="E160" s="94" t="str">
        <f>ENTRY!C154</f>
        <v/>
      </c>
      <c r="F160" s="95" t="str">
        <f>ENTRY!D154</f>
        <v/>
      </c>
      <c r="G160" s="96" t="str">
        <f>ENTRY!E154</f>
        <v/>
      </c>
      <c r="H160" s="97">
        <f>G160*ENTRY!$O154</f>
        <v>0</v>
      </c>
      <c r="I160" s="97">
        <f>G160*ENTRY!$P154</f>
        <v>0</v>
      </c>
      <c r="J160" s="97">
        <f>G160*ENTRY!$Q154</f>
        <v>0</v>
      </c>
      <c r="K160" s="95">
        <f t="shared" si="2"/>
        <v>0</v>
      </c>
      <c r="L160" s="95" t="str">
        <f>ENTRY!F154</f>
        <v/>
      </c>
      <c r="M160" s="94" t="str">
        <f>ENTRY!G154</f>
        <v/>
      </c>
      <c r="N160" s="98" t="str">
        <f t="shared" si="3"/>
        <v/>
      </c>
      <c r="O160" s="99">
        <f t="shared" si="4"/>
        <v>0</v>
      </c>
      <c r="P160" s="99">
        <f t="shared" si="5"/>
        <v>0</v>
      </c>
      <c r="Q160" s="99">
        <f t="shared" si="6"/>
        <v>0</v>
      </c>
      <c r="R160" s="99">
        <f t="shared" si="7"/>
        <v>0</v>
      </c>
      <c r="S160" s="100" t="str">
        <f t="shared" ref="S160:V160" si="160">IFERROR(O160-Y160,"")
</f>
        <v/>
      </c>
      <c r="T160" s="100">
        <f t="shared" si="160"/>
        <v>0</v>
      </c>
      <c r="U160" s="100">
        <f t="shared" si="160"/>
        <v>0</v>
      </c>
      <c r="V160" s="100">
        <f t="shared" si="160"/>
        <v>0</v>
      </c>
      <c r="W160" s="88" t="str">
        <f t="shared" si="9"/>
        <v/>
      </c>
      <c r="X160" s="89">
        <f>S160/D160</f>
        <v>0</v>
      </c>
      <c r="Y160" s="90" t="str">
        <f t="shared" si="10"/>
        <v>ERR</v>
      </c>
      <c r="Z160" s="90">
        <f>IF(H160=0,0,CAPITAL!$H$5*Y160)
</f>
        <v>0</v>
      </c>
      <c r="AA160" s="90">
        <f>IF(I160=0,0,CAPITAL!$H$6*Y160)
</f>
        <v>0</v>
      </c>
      <c r="AB160" s="90">
        <f>IF(J160=0,0,CAPITAL!$H$7*Y160)
</f>
        <v>0</v>
      </c>
      <c r="AC160" s="90"/>
    </row>
    <row r="161">
      <c r="A161" s="104"/>
      <c r="B161" s="101">
        <v>156.0</v>
      </c>
      <c r="C161" s="79" t="str">
        <f>ENTRY!B155</f>
        <v>SILVERBEES</v>
      </c>
      <c r="D161" s="80">
        <f>CAPITAL!$C$2</f>
        <v>3350000</v>
      </c>
      <c r="E161" s="81" t="str">
        <f>ENTRY!C155</f>
        <v/>
      </c>
      <c r="F161" s="82" t="str">
        <f>ENTRY!D155</f>
        <v/>
      </c>
      <c r="G161" s="83" t="str">
        <f>ENTRY!E155</f>
        <v/>
      </c>
      <c r="H161" s="84">
        <f>G161*ENTRY!$O155</f>
        <v>0</v>
      </c>
      <c r="I161" s="84">
        <f>G161*ENTRY!$P155</f>
        <v>0</v>
      </c>
      <c r="J161" s="84">
        <f>G161*ENTRY!$Q155</f>
        <v>0</v>
      </c>
      <c r="K161" s="82">
        <f t="shared" si="2"/>
        <v>0</v>
      </c>
      <c r="L161" s="82" t="str">
        <f>ENTRY!F155</f>
        <v/>
      </c>
      <c r="M161" s="81" t="str">
        <f>ENTRY!G155</f>
        <v/>
      </c>
      <c r="N161" s="85" t="str">
        <f t="shared" si="3"/>
        <v/>
      </c>
      <c r="O161" s="86">
        <f t="shared" si="4"/>
        <v>0</v>
      </c>
      <c r="P161" s="86">
        <f t="shared" si="5"/>
        <v>0</v>
      </c>
      <c r="Q161" s="86">
        <f t="shared" si="6"/>
        <v>0</v>
      </c>
      <c r="R161" s="86">
        <f t="shared" si="7"/>
        <v>0</v>
      </c>
      <c r="S161" s="87" t="str">
        <f t="shared" ref="S161:V161" si="161">IFERROR(O161-Y161,"")
</f>
        <v/>
      </c>
      <c r="T161" s="87">
        <f t="shared" si="161"/>
        <v>0</v>
      </c>
      <c r="U161" s="87">
        <f t="shared" si="161"/>
        <v>0</v>
      </c>
      <c r="V161" s="87">
        <f t="shared" si="161"/>
        <v>0</v>
      </c>
      <c r="W161" s="88" t="str">
        <f t="shared" si="9"/>
        <v/>
      </c>
      <c r="X161" s="89">
        <f>IFERROR(S161/D161,"")</f>
        <v>0</v>
      </c>
      <c r="Y161" s="90" t="str">
        <f t="shared" si="10"/>
        <v>ERR</v>
      </c>
      <c r="Z161" s="90">
        <f>IF(H161=0,0,CAPITAL!$H$5*Y161)
</f>
        <v>0</v>
      </c>
      <c r="AA161" s="90">
        <f>IF(I161=0,0,CAPITAL!$H$6*Y161)
</f>
        <v>0</v>
      </c>
      <c r="AB161" s="90">
        <f>IF(J161=0,0,CAPITAL!$H$7*Y161)
</f>
        <v>0</v>
      </c>
      <c r="AC161" s="90"/>
    </row>
    <row r="162">
      <c r="A162" s="104"/>
      <c r="B162" s="101">
        <v>157.0</v>
      </c>
      <c r="C162" s="18" t="str">
        <f>ENTRY!B156</f>
        <v>SILVERBEES</v>
      </c>
      <c r="D162" s="93">
        <f>CAPITAL!$C$2</f>
        <v>3350000</v>
      </c>
      <c r="E162" s="94" t="str">
        <f>ENTRY!C156</f>
        <v/>
      </c>
      <c r="F162" s="95" t="str">
        <f>ENTRY!D156</f>
        <v/>
      </c>
      <c r="G162" s="96" t="str">
        <f>ENTRY!E156</f>
        <v/>
      </c>
      <c r="H162" s="97">
        <f>G162*ENTRY!$O156</f>
        <v>0</v>
      </c>
      <c r="I162" s="97">
        <f>G162*ENTRY!$P156</f>
        <v>0</v>
      </c>
      <c r="J162" s="97">
        <f>G162*ENTRY!$Q156</f>
        <v>0</v>
      </c>
      <c r="K162" s="95">
        <f t="shared" si="2"/>
        <v>0</v>
      </c>
      <c r="L162" s="95" t="str">
        <f>ENTRY!F156</f>
        <v/>
      </c>
      <c r="M162" s="94" t="str">
        <f>ENTRY!G156</f>
        <v/>
      </c>
      <c r="N162" s="98" t="str">
        <f t="shared" si="3"/>
        <v/>
      </c>
      <c r="O162" s="99">
        <f t="shared" si="4"/>
        <v>0</v>
      </c>
      <c r="P162" s="99">
        <f t="shared" si="5"/>
        <v>0</v>
      </c>
      <c r="Q162" s="99">
        <f t="shared" si="6"/>
        <v>0</v>
      </c>
      <c r="R162" s="99">
        <f t="shared" si="7"/>
        <v>0</v>
      </c>
      <c r="S162" s="100" t="str">
        <f t="shared" ref="S162:V162" si="162">IFERROR(O162-Y162,"")
</f>
        <v/>
      </c>
      <c r="T162" s="100">
        <f t="shared" si="162"/>
        <v>0</v>
      </c>
      <c r="U162" s="100">
        <f t="shared" si="162"/>
        <v>0</v>
      </c>
      <c r="V162" s="100">
        <f t="shared" si="162"/>
        <v>0</v>
      </c>
      <c r="W162" s="88" t="str">
        <f t="shared" si="9"/>
        <v/>
      </c>
      <c r="X162" s="89">
        <f>S162/D162</f>
        <v>0</v>
      </c>
      <c r="Y162" s="90" t="str">
        <f t="shared" si="10"/>
        <v>ERR</v>
      </c>
      <c r="Z162" s="90">
        <f>IF(H162=0,0,CAPITAL!$H$5*Y162)
</f>
        <v>0</v>
      </c>
      <c r="AA162" s="90">
        <f>IF(I162=0,0,CAPITAL!$H$6*Y162)
</f>
        <v>0</v>
      </c>
      <c r="AB162" s="90">
        <f>IF(J162=0,0,CAPITAL!$H$7*Y162)
</f>
        <v>0</v>
      </c>
      <c r="AC162" s="90"/>
    </row>
    <row r="163">
      <c r="A163" s="104"/>
      <c r="B163" s="101">
        <v>158.0</v>
      </c>
      <c r="C163" s="79" t="str">
        <f>ENTRY!B157</f>
        <v>SILVERBEES</v>
      </c>
      <c r="D163" s="80">
        <f>CAPITAL!$C$2</f>
        <v>3350000</v>
      </c>
      <c r="E163" s="81" t="str">
        <f>ENTRY!C157</f>
        <v/>
      </c>
      <c r="F163" s="82" t="str">
        <f>ENTRY!D157</f>
        <v/>
      </c>
      <c r="G163" s="83" t="str">
        <f>ENTRY!E157</f>
        <v/>
      </c>
      <c r="H163" s="84">
        <f>G163*ENTRY!$O157</f>
        <v>0</v>
      </c>
      <c r="I163" s="84">
        <f>G163*ENTRY!$P157</f>
        <v>0</v>
      </c>
      <c r="J163" s="84">
        <f>G163*ENTRY!$Q157</f>
        <v>0</v>
      </c>
      <c r="K163" s="82">
        <f t="shared" si="2"/>
        <v>0</v>
      </c>
      <c r="L163" s="82" t="str">
        <f>ENTRY!F157</f>
        <v/>
      </c>
      <c r="M163" s="81" t="str">
        <f>ENTRY!G157</f>
        <v/>
      </c>
      <c r="N163" s="85" t="str">
        <f t="shared" si="3"/>
        <v/>
      </c>
      <c r="O163" s="86">
        <f t="shared" si="4"/>
        <v>0</v>
      </c>
      <c r="P163" s="86">
        <f t="shared" si="5"/>
        <v>0</v>
      </c>
      <c r="Q163" s="86">
        <f t="shared" si="6"/>
        <v>0</v>
      </c>
      <c r="R163" s="86">
        <f t="shared" si="7"/>
        <v>0</v>
      </c>
      <c r="S163" s="87" t="str">
        <f t="shared" ref="S163:V163" si="163">IFERROR(O163-Y163,"")
</f>
        <v/>
      </c>
      <c r="T163" s="87">
        <f t="shared" si="163"/>
        <v>0</v>
      </c>
      <c r="U163" s="87">
        <f t="shared" si="163"/>
        <v>0</v>
      </c>
      <c r="V163" s="87">
        <f t="shared" si="163"/>
        <v>0</v>
      </c>
      <c r="W163" s="88" t="str">
        <f t="shared" si="9"/>
        <v/>
      </c>
      <c r="X163" s="89">
        <f>IFERROR(S163/D163,"")</f>
        <v>0</v>
      </c>
      <c r="Y163" s="90" t="str">
        <f t="shared" si="10"/>
        <v>ERR</v>
      </c>
      <c r="Z163" s="90">
        <f>IF(H163=0,0,CAPITAL!$H$5*Y163)
</f>
        <v>0</v>
      </c>
      <c r="AA163" s="90">
        <f>IF(I163=0,0,CAPITAL!$H$6*Y163)
</f>
        <v>0</v>
      </c>
      <c r="AB163" s="90">
        <f>IF(J163=0,0,CAPITAL!$H$7*Y163)
</f>
        <v>0</v>
      </c>
      <c r="AC163" s="90"/>
    </row>
    <row r="164">
      <c r="A164" s="104"/>
      <c r="B164" s="101">
        <v>159.0</v>
      </c>
      <c r="C164" s="18" t="str">
        <f>ENTRY!B158</f>
        <v>SILVERBEES</v>
      </c>
      <c r="D164" s="93">
        <f>CAPITAL!$C$2</f>
        <v>3350000</v>
      </c>
      <c r="E164" s="94" t="str">
        <f>ENTRY!C158</f>
        <v/>
      </c>
      <c r="F164" s="95" t="str">
        <f>ENTRY!D158</f>
        <v/>
      </c>
      <c r="G164" s="96" t="str">
        <f>ENTRY!E158</f>
        <v/>
      </c>
      <c r="H164" s="97">
        <f>G164*ENTRY!$O158</f>
        <v>0</v>
      </c>
      <c r="I164" s="97">
        <f>G164*ENTRY!$P158</f>
        <v>0</v>
      </c>
      <c r="J164" s="97">
        <f>G164*ENTRY!$Q158</f>
        <v>0</v>
      </c>
      <c r="K164" s="95">
        <f t="shared" si="2"/>
        <v>0</v>
      </c>
      <c r="L164" s="95" t="str">
        <f>ENTRY!F158</f>
        <v/>
      </c>
      <c r="M164" s="94" t="str">
        <f>ENTRY!G158</f>
        <v/>
      </c>
      <c r="N164" s="98" t="str">
        <f t="shared" si="3"/>
        <v/>
      </c>
      <c r="O164" s="99">
        <f t="shared" si="4"/>
        <v>0</v>
      </c>
      <c r="P164" s="99">
        <f t="shared" si="5"/>
        <v>0</v>
      </c>
      <c r="Q164" s="99">
        <f t="shared" si="6"/>
        <v>0</v>
      </c>
      <c r="R164" s="99">
        <f t="shared" si="7"/>
        <v>0</v>
      </c>
      <c r="S164" s="100" t="str">
        <f t="shared" ref="S164:V164" si="164">IFERROR(O164-Y164,"")
</f>
        <v/>
      </c>
      <c r="T164" s="100">
        <f t="shared" si="164"/>
        <v>0</v>
      </c>
      <c r="U164" s="100">
        <f t="shared" si="164"/>
        <v>0</v>
      </c>
      <c r="V164" s="100">
        <f t="shared" si="164"/>
        <v>0</v>
      </c>
      <c r="W164" s="88" t="str">
        <f t="shared" si="9"/>
        <v/>
      </c>
      <c r="X164" s="89">
        <f>S164/D164</f>
        <v>0</v>
      </c>
      <c r="Y164" s="90" t="str">
        <f t="shared" si="10"/>
        <v>ERR</v>
      </c>
      <c r="Z164" s="90">
        <f>IF(H164=0,0,CAPITAL!$H$5*Y164)
</f>
        <v>0</v>
      </c>
      <c r="AA164" s="90">
        <f>IF(I164=0,0,CAPITAL!$H$6*Y164)
</f>
        <v>0</v>
      </c>
      <c r="AB164" s="90">
        <f>IF(J164=0,0,CAPITAL!$H$7*Y164)
</f>
        <v>0</v>
      </c>
      <c r="AC164" s="90"/>
    </row>
    <row r="165">
      <c r="A165" s="104"/>
      <c r="B165" s="101">
        <v>160.0</v>
      </c>
      <c r="C165" s="79" t="str">
        <f>ENTRY!B159</f>
        <v>SILVERBEES</v>
      </c>
      <c r="D165" s="80">
        <f>CAPITAL!$C$2</f>
        <v>3350000</v>
      </c>
      <c r="E165" s="81" t="str">
        <f>ENTRY!C159</f>
        <v/>
      </c>
      <c r="F165" s="82" t="str">
        <f>ENTRY!D159</f>
        <v/>
      </c>
      <c r="G165" s="83" t="str">
        <f>ENTRY!E159</f>
        <v/>
      </c>
      <c r="H165" s="84">
        <f>G165*ENTRY!$O159</f>
        <v>0</v>
      </c>
      <c r="I165" s="84">
        <f>G165*ENTRY!$P159</f>
        <v>0</v>
      </c>
      <c r="J165" s="84">
        <f>G165*ENTRY!$Q159</f>
        <v>0</v>
      </c>
      <c r="K165" s="82">
        <f t="shared" si="2"/>
        <v>0</v>
      </c>
      <c r="L165" s="82" t="str">
        <f>ENTRY!F159</f>
        <v/>
      </c>
      <c r="M165" s="81" t="str">
        <f>ENTRY!G159</f>
        <v/>
      </c>
      <c r="N165" s="85" t="str">
        <f t="shared" si="3"/>
        <v/>
      </c>
      <c r="O165" s="86">
        <f t="shared" si="4"/>
        <v>0</v>
      </c>
      <c r="P165" s="86">
        <f t="shared" si="5"/>
        <v>0</v>
      </c>
      <c r="Q165" s="86">
        <f t="shared" si="6"/>
        <v>0</v>
      </c>
      <c r="R165" s="86">
        <f t="shared" si="7"/>
        <v>0</v>
      </c>
      <c r="S165" s="87" t="str">
        <f t="shared" ref="S165:V165" si="165">IFERROR(O165-Y165,"")
</f>
        <v/>
      </c>
      <c r="T165" s="87">
        <f t="shared" si="165"/>
        <v>0</v>
      </c>
      <c r="U165" s="87">
        <f t="shared" si="165"/>
        <v>0</v>
      </c>
      <c r="V165" s="87">
        <f t="shared" si="165"/>
        <v>0</v>
      </c>
      <c r="W165" s="88" t="str">
        <f t="shared" si="9"/>
        <v/>
      </c>
      <c r="X165" s="89">
        <f>IFERROR(S165/D165,"")</f>
        <v>0</v>
      </c>
      <c r="Y165" s="90" t="str">
        <f t="shared" si="10"/>
        <v>ERR</v>
      </c>
      <c r="Z165" s="90">
        <f>IF(H165=0,0,CAPITAL!$H$5*Y165)
</f>
        <v>0</v>
      </c>
      <c r="AA165" s="90">
        <f>IF(I165=0,0,CAPITAL!$H$6*Y165)
</f>
        <v>0</v>
      </c>
      <c r="AB165" s="90">
        <f>IF(J165=0,0,CAPITAL!$H$7*Y165)
</f>
        <v>0</v>
      </c>
      <c r="AC165" s="90"/>
    </row>
    <row r="166">
      <c r="A166" s="104"/>
      <c r="B166" s="101">
        <v>161.0</v>
      </c>
      <c r="C166" s="18" t="str">
        <f>ENTRY!B160</f>
        <v>SILVERBEES</v>
      </c>
      <c r="D166" s="93">
        <f>CAPITAL!$C$2</f>
        <v>3350000</v>
      </c>
      <c r="E166" s="94" t="str">
        <f>ENTRY!C160</f>
        <v/>
      </c>
      <c r="F166" s="95" t="str">
        <f>ENTRY!D160</f>
        <v/>
      </c>
      <c r="G166" s="96" t="str">
        <f>ENTRY!E160</f>
        <v/>
      </c>
      <c r="H166" s="97">
        <f>G166*ENTRY!$O160</f>
        <v>0</v>
      </c>
      <c r="I166" s="97">
        <f>G166*ENTRY!$P160</f>
        <v>0</v>
      </c>
      <c r="J166" s="97">
        <f>G166*ENTRY!$Q160</f>
        <v>0</v>
      </c>
      <c r="K166" s="95">
        <f t="shared" si="2"/>
        <v>0</v>
      </c>
      <c r="L166" s="95" t="str">
        <f>ENTRY!F160</f>
        <v/>
      </c>
      <c r="M166" s="94" t="str">
        <f>ENTRY!G160</f>
        <v/>
      </c>
      <c r="N166" s="98" t="str">
        <f t="shared" si="3"/>
        <v/>
      </c>
      <c r="O166" s="99">
        <f t="shared" si="4"/>
        <v>0</v>
      </c>
      <c r="P166" s="99">
        <f t="shared" si="5"/>
        <v>0</v>
      </c>
      <c r="Q166" s="99">
        <f t="shared" si="6"/>
        <v>0</v>
      </c>
      <c r="R166" s="99">
        <f t="shared" si="7"/>
        <v>0</v>
      </c>
      <c r="S166" s="100" t="str">
        <f t="shared" ref="S166:V166" si="166">IFERROR(O166-Y166,"")
</f>
        <v/>
      </c>
      <c r="T166" s="100">
        <f t="shared" si="166"/>
        <v>0</v>
      </c>
      <c r="U166" s="100">
        <f t="shared" si="166"/>
        <v>0</v>
      </c>
      <c r="V166" s="100">
        <f t="shared" si="166"/>
        <v>0</v>
      </c>
      <c r="W166" s="88" t="str">
        <f t="shared" si="9"/>
        <v/>
      </c>
      <c r="X166" s="89">
        <f>S166/D166</f>
        <v>0</v>
      </c>
      <c r="Y166" s="90" t="str">
        <f t="shared" si="10"/>
        <v>ERR</v>
      </c>
      <c r="Z166" s="90">
        <f>IF(H166=0,0,CAPITAL!$H$5*Y166)
</f>
        <v>0</v>
      </c>
      <c r="AA166" s="90">
        <f>IF(I166=0,0,CAPITAL!$H$6*Y166)
</f>
        <v>0</v>
      </c>
      <c r="AB166" s="90">
        <f>IF(J166=0,0,CAPITAL!$H$7*Y166)
</f>
        <v>0</v>
      </c>
      <c r="AC166" s="90"/>
    </row>
    <row r="167">
      <c r="A167" s="104"/>
      <c r="B167" s="101">
        <v>162.0</v>
      </c>
      <c r="C167" s="79" t="str">
        <f>ENTRY!B161</f>
        <v>SILVERBEES</v>
      </c>
      <c r="D167" s="80">
        <f>CAPITAL!$C$2</f>
        <v>3350000</v>
      </c>
      <c r="E167" s="81" t="str">
        <f>ENTRY!C161</f>
        <v/>
      </c>
      <c r="F167" s="82" t="str">
        <f>ENTRY!D161</f>
        <v/>
      </c>
      <c r="G167" s="83" t="str">
        <f>ENTRY!E161</f>
        <v/>
      </c>
      <c r="H167" s="84">
        <f>G167*ENTRY!$O161</f>
        <v>0</v>
      </c>
      <c r="I167" s="84">
        <f>G167*ENTRY!$P161</f>
        <v>0</v>
      </c>
      <c r="J167" s="84">
        <f>G167*ENTRY!$Q161</f>
        <v>0</v>
      </c>
      <c r="K167" s="82">
        <f t="shared" si="2"/>
        <v>0</v>
      </c>
      <c r="L167" s="82" t="str">
        <f>ENTRY!F161</f>
        <v/>
      </c>
      <c r="M167" s="81" t="str">
        <f>ENTRY!G161</f>
        <v/>
      </c>
      <c r="N167" s="85" t="str">
        <f t="shared" si="3"/>
        <v/>
      </c>
      <c r="O167" s="86">
        <f t="shared" si="4"/>
        <v>0</v>
      </c>
      <c r="P167" s="86">
        <f t="shared" si="5"/>
        <v>0</v>
      </c>
      <c r="Q167" s="86">
        <f t="shared" si="6"/>
        <v>0</v>
      </c>
      <c r="R167" s="86">
        <f t="shared" si="7"/>
        <v>0</v>
      </c>
      <c r="S167" s="87" t="str">
        <f t="shared" ref="S167:V167" si="167">IFERROR(O167-Y167,"")
</f>
        <v/>
      </c>
      <c r="T167" s="87">
        <f t="shared" si="167"/>
        <v>0</v>
      </c>
      <c r="U167" s="87">
        <f t="shared" si="167"/>
        <v>0</v>
      </c>
      <c r="V167" s="87">
        <f t="shared" si="167"/>
        <v>0</v>
      </c>
      <c r="W167" s="88" t="str">
        <f t="shared" si="9"/>
        <v/>
      </c>
      <c r="X167" s="89">
        <f>IFERROR(S167/D167,"")</f>
        <v>0</v>
      </c>
      <c r="Y167" s="90" t="str">
        <f t="shared" si="10"/>
        <v>ERR</v>
      </c>
      <c r="Z167" s="90">
        <f>IF(H167=0,0,CAPITAL!$H$5*Y167)
</f>
        <v>0</v>
      </c>
      <c r="AA167" s="90">
        <f>IF(I167=0,0,CAPITAL!$H$6*Y167)
</f>
        <v>0</v>
      </c>
      <c r="AB167" s="90">
        <f>IF(J167=0,0,CAPITAL!$H$7*Y167)
</f>
        <v>0</v>
      </c>
      <c r="AC167" s="90"/>
    </row>
    <row r="168">
      <c r="A168" s="104"/>
      <c r="B168" s="101">
        <v>163.0</v>
      </c>
      <c r="C168" s="18" t="str">
        <f>ENTRY!B162</f>
        <v>SILVERBEES</v>
      </c>
      <c r="D168" s="93">
        <f>CAPITAL!$C$2</f>
        <v>3350000</v>
      </c>
      <c r="E168" s="94" t="str">
        <f>ENTRY!C162</f>
        <v/>
      </c>
      <c r="F168" s="95" t="str">
        <f>ENTRY!D162</f>
        <v/>
      </c>
      <c r="G168" s="96" t="str">
        <f>ENTRY!E162</f>
        <v/>
      </c>
      <c r="H168" s="97">
        <f>G168*ENTRY!$O162</f>
        <v>0</v>
      </c>
      <c r="I168" s="97">
        <f>G168*ENTRY!$P162</f>
        <v>0</v>
      </c>
      <c r="J168" s="97">
        <f>G168*ENTRY!$Q162</f>
        <v>0</v>
      </c>
      <c r="K168" s="95">
        <f t="shared" si="2"/>
        <v>0</v>
      </c>
      <c r="L168" s="95" t="str">
        <f>ENTRY!F162</f>
        <v/>
      </c>
      <c r="M168" s="94" t="str">
        <f>ENTRY!G162</f>
        <v/>
      </c>
      <c r="N168" s="98" t="str">
        <f t="shared" si="3"/>
        <v/>
      </c>
      <c r="O168" s="99">
        <f t="shared" si="4"/>
        <v>0</v>
      </c>
      <c r="P168" s="99">
        <f t="shared" si="5"/>
        <v>0</v>
      </c>
      <c r="Q168" s="99">
        <f t="shared" si="6"/>
        <v>0</v>
      </c>
      <c r="R168" s="99">
        <f t="shared" si="7"/>
        <v>0</v>
      </c>
      <c r="S168" s="100" t="str">
        <f t="shared" ref="S168:V168" si="168">IFERROR(O168-Y168,"")
</f>
        <v/>
      </c>
      <c r="T168" s="100">
        <f t="shared" si="168"/>
        <v>0</v>
      </c>
      <c r="U168" s="100">
        <f t="shared" si="168"/>
        <v>0</v>
      </c>
      <c r="V168" s="100">
        <f t="shared" si="168"/>
        <v>0</v>
      </c>
      <c r="W168" s="88" t="str">
        <f t="shared" si="9"/>
        <v/>
      </c>
      <c r="X168" s="89">
        <f>S168/D168</f>
        <v>0</v>
      </c>
      <c r="Y168" s="90" t="str">
        <f t="shared" si="10"/>
        <v>ERR</v>
      </c>
      <c r="Z168" s="90">
        <f>IF(H168=0,0,CAPITAL!$H$5*Y168)
</f>
        <v>0</v>
      </c>
      <c r="AA168" s="90">
        <f>IF(I168=0,0,CAPITAL!$H$6*Y168)
</f>
        <v>0</v>
      </c>
      <c r="AB168" s="90">
        <f>IF(J168=0,0,CAPITAL!$H$7*Y168)
</f>
        <v>0</v>
      </c>
      <c r="AC168" s="90"/>
    </row>
    <row r="169">
      <c r="A169" s="104"/>
      <c r="B169" s="101">
        <v>164.0</v>
      </c>
      <c r="C169" s="79" t="str">
        <f>ENTRY!B163</f>
        <v>SILVERBEES</v>
      </c>
      <c r="D169" s="80">
        <f>CAPITAL!$C$2</f>
        <v>3350000</v>
      </c>
      <c r="E169" s="81" t="str">
        <f>ENTRY!C163</f>
        <v/>
      </c>
      <c r="F169" s="82" t="str">
        <f>ENTRY!D163</f>
        <v/>
      </c>
      <c r="G169" s="83" t="str">
        <f>ENTRY!E163</f>
        <v/>
      </c>
      <c r="H169" s="84">
        <f>G169*ENTRY!$O163</f>
        <v>0</v>
      </c>
      <c r="I169" s="84">
        <f>G169*ENTRY!$P163</f>
        <v>0</v>
      </c>
      <c r="J169" s="84">
        <f>G169*ENTRY!$Q163</f>
        <v>0</v>
      </c>
      <c r="K169" s="82">
        <f t="shared" si="2"/>
        <v>0</v>
      </c>
      <c r="L169" s="82" t="str">
        <f>ENTRY!F163</f>
        <v/>
      </c>
      <c r="M169" s="81" t="str">
        <f>ENTRY!G163</f>
        <v/>
      </c>
      <c r="N169" s="85" t="str">
        <f t="shared" si="3"/>
        <v/>
      </c>
      <c r="O169" s="86">
        <f t="shared" si="4"/>
        <v>0</v>
      </c>
      <c r="P169" s="86">
        <f t="shared" si="5"/>
        <v>0</v>
      </c>
      <c r="Q169" s="86">
        <f t="shared" si="6"/>
        <v>0</v>
      </c>
      <c r="R169" s="86">
        <f t="shared" si="7"/>
        <v>0</v>
      </c>
      <c r="S169" s="87" t="str">
        <f t="shared" ref="S169:V169" si="169">IFERROR(O169-Y169,"")
</f>
        <v/>
      </c>
      <c r="T169" s="87">
        <f t="shared" si="169"/>
        <v>0</v>
      </c>
      <c r="U169" s="87">
        <f t="shared" si="169"/>
        <v>0</v>
      </c>
      <c r="V169" s="87">
        <f t="shared" si="169"/>
        <v>0</v>
      </c>
      <c r="W169" s="88" t="str">
        <f t="shared" si="9"/>
        <v/>
      </c>
      <c r="X169" s="89">
        <f>IFERROR(S169/D169,"")</f>
        <v>0</v>
      </c>
      <c r="Y169" s="90" t="str">
        <f t="shared" si="10"/>
        <v>ERR</v>
      </c>
      <c r="Z169" s="90">
        <f>IF(H169=0,0,CAPITAL!$H$5*Y169)
</f>
        <v>0</v>
      </c>
      <c r="AA169" s="90">
        <f>IF(I169=0,0,CAPITAL!$H$6*Y169)
</f>
        <v>0</v>
      </c>
      <c r="AB169" s="90">
        <f>IF(J169=0,0,CAPITAL!$H$7*Y169)
</f>
        <v>0</v>
      </c>
      <c r="AC169" s="90"/>
    </row>
    <row r="170">
      <c r="A170" s="104"/>
      <c r="B170" s="101">
        <v>165.0</v>
      </c>
      <c r="C170" s="18" t="str">
        <f>ENTRY!B164</f>
        <v>SILVERBEES</v>
      </c>
      <c r="D170" s="93">
        <f>CAPITAL!$C$2</f>
        <v>3350000</v>
      </c>
      <c r="E170" s="94" t="str">
        <f>ENTRY!C164</f>
        <v/>
      </c>
      <c r="F170" s="95" t="str">
        <f>ENTRY!D164</f>
        <v/>
      </c>
      <c r="G170" s="96" t="str">
        <f>ENTRY!E164</f>
        <v/>
      </c>
      <c r="H170" s="97">
        <f>G170*ENTRY!$O164</f>
        <v>0</v>
      </c>
      <c r="I170" s="97">
        <f>G170*ENTRY!$P164</f>
        <v>0</v>
      </c>
      <c r="J170" s="97">
        <f>G170*ENTRY!$Q164</f>
        <v>0</v>
      </c>
      <c r="K170" s="95">
        <f t="shared" si="2"/>
        <v>0</v>
      </c>
      <c r="L170" s="95" t="str">
        <f>ENTRY!F164</f>
        <v/>
      </c>
      <c r="M170" s="94" t="str">
        <f>ENTRY!G164</f>
        <v/>
      </c>
      <c r="N170" s="98" t="str">
        <f t="shared" si="3"/>
        <v/>
      </c>
      <c r="O170" s="99">
        <f t="shared" si="4"/>
        <v>0</v>
      </c>
      <c r="P170" s="99">
        <f t="shared" si="5"/>
        <v>0</v>
      </c>
      <c r="Q170" s="99">
        <f t="shared" si="6"/>
        <v>0</v>
      </c>
      <c r="R170" s="99">
        <f t="shared" si="7"/>
        <v>0</v>
      </c>
      <c r="S170" s="100" t="str">
        <f t="shared" ref="S170:V170" si="170">IFERROR(O170-Y170,"")
</f>
        <v/>
      </c>
      <c r="T170" s="100">
        <f t="shared" si="170"/>
        <v>0</v>
      </c>
      <c r="U170" s="100">
        <f t="shared" si="170"/>
        <v>0</v>
      </c>
      <c r="V170" s="100">
        <f t="shared" si="170"/>
        <v>0</v>
      </c>
      <c r="W170" s="88" t="str">
        <f t="shared" si="9"/>
        <v/>
      </c>
      <c r="X170" s="89">
        <f>S170/D170</f>
        <v>0</v>
      </c>
      <c r="Y170" s="90" t="str">
        <f t="shared" si="10"/>
        <v>ERR</v>
      </c>
      <c r="Z170" s="90">
        <f>IF(H170=0,0,CAPITAL!$H$5*Y170)
</f>
        <v>0</v>
      </c>
      <c r="AA170" s="90">
        <f>IF(I170=0,0,CAPITAL!$H$6*Y170)
</f>
        <v>0</v>
      </c>
      <c r="AB170" s="90">
        <f>IF(J170=0,0,CAPITAL!$H$7*Y170)
</f>
        <v>0</v>
      </c>
      <c r="AC170" s="90"/>
    </row>
    <row r="171">
      <c r="A171" s="104"/>
      <c r="B171" s="101">
        <v>166.0</v>
      </c>
      <c r="C171" s="79" t="str">
        <f>ENTRY!B165</f>
        <v>SILVERBEES</v>
      </c>
      <c r="D171" s="80">
        <f>CAPITAL!$C$2</f>
        <v>3350000</v>
      </c>
      <c r="E171" s="81" t="str">
        <f>ENTRY!C165</f>
        <v/>
      </c>
      <c r="F171" s="82" t="str">
        <f>ENTRY!D165</f>
        <v/>
      </c>
      <c r="G171" s="83" t="str">
        <f>ENTRY!E165</f>
        <v/>
      </c>
      <c r="H171" s="84">
        <f>G171*ENTRY!$O165</f>
        <v>0</v>
      </c>
      <c r="I171" s="84">
        <f>G171*ENTRY!$P165</f>
        <v>0</v>
      </c>
      <c r="J171" s="84">
        <f>G171*ENTRY!$Q165</f>
        <v>0</v>
      </c>
      <c r="K171" s="82">
        <f t="shared" si="2"/>
        <v>0</v>
      </c>
      <c r="L171" s="82" t="str">
        <f>ENTRY!F165</f>
        <v/>
      </c>
      <c r="M171" s="81" t="str">
        <f>ENTRY!G165</f>
        <v/>
      </c>
      <c r="N171" s="85" t="str">
        <f t="shared" si="3"/>
        <v/>
      </c>
      <c r="O171" s="86">
        <f t="shared" si="4"/>
        <v>0</v>
      </c>
      <c r="P171" s="86">
        <f t="shared" si="5"/>
        <v>0</v>
      </c>
      <c r="Q171" s="86">
        <f t="shared" si="6"/>
        <v>0</v>
      </c>
      <c r="R171" s="86">
        <f t="shared" si="7"/>
        <v>0</v>
      </c>
      <c r="S171" s="87" t="str">
        <f t="shared" ref="S171:V171" si="171">IFERROR(O171-Y171,"")
</f>
        <v/>
      </c>
      <c r="T171" s="87">
        <f t="shared" si="171"/>
        <v>0</v>
      </c>
      <c r="U171" s="87">
        <f t="shared" si="171"/>
        <v>0</v>
      </c>
      <c r="V171" s="87">
        <f t="shared" si="171"/>
        <v>0</v>
      </c>
      <c r="W171" s="88" t="str">
        <f t="shared" si="9"/>
        <v/>
      </c>
      <c r="X171" s="89">
        <f>IFERROR(S171/D171,"")</f>
        <v>0</v>
      </c>
      <c r="Y171" s="90" t="str">
        <f t="shared" si="10"/>
        <v>ERR</v>
      </c>
      <c r="Z171" s="90">
        <f>IF(H171=0,0,CAPITAL!$H$5*Y171)
</f>
        <v>0</v>
      </c>
      <c r="AA171" s="90">
        <f>IF(I171=0,0,CAPITAL!$H$6*Y171)
</f>
        <v>0</v>
      </c>
      <c r="AB171" s="90">
        <f>IF(J171=0,0,CAPITAL!$H$7*Y171)
</f>
        <v>0</v>
      </c>
      <c r="AC171" s="90"/>
    </row>
    <row r="172">
      <c r="A172" s="104"/>
      <c r="B172" s="101">
        <v>167.0</v>
      </c>
      <c r="C172" s="18" t="str">
        <f>ENTRY!B166</f>
        <v>SILVERBEES</v>
      </c>
      <c r="D172" s="93">
        <f>CAPITAL!$C$2</f>
        <v>3350000</v>
      </c>
      <c r="E172" s="94" t="str">
        <f>ENTRY!C166</f>
        <v/>
      </c>
      <c r="F172" s="95" t="str">
        <f>ENTRY!D166</f>
        <v/>
      </c>
      <c r="G172" s="96" t="str">
        <f>ENTRY!E166</f>
        <v/>
      </c>
      <c r="H172" s="97">
        <f>G172*ENTRY!$O166</f>
        <v>0</v>
      </c>
      <c r="I172" s="97">
        <f>G172*ENTRY!$P166</f>
        <v>0</v>
      </c>
      <c r="J172" s="97">
        <f>G172*ENTRY!$Q166</f>
        <v>0</v>
      </c>
      <c r="K172" s="95">
        <f t="shared" si="2"/>
        <v>0</v>
      </c>
      <c r="L172" s="95" t="str">
        <f>ENTRY!F166</f>
        <v/>
      </c>
      <c r="M172" s="94" t="str">
        <f>ENTRY!G166</f>
        <v/>
      </c>
      <c r="N172" s="98" t="str">
        <f t="shared" si="3"/>
        <v/>
      </c>
      <c r="O172" s="99">
        <f t="shared" si="4"/>
        <v>0</v>
      </c>
      <c r="P172" s="99">
        <f t="shared" si="5"/>
        <v>0</v>
      </c>
      <c r="Q172" s="99">
        <f t="shared" si="6"/>
        <v>0</v>
      </c>
      <c r="R172" s="99">
        <f t="shared" si="7"/>
        <v>0</v>
      </c>
      <c r="S172" s="100" t="str">
        <f t="shared" ref="S172:V172" si="172">IFERROR(O172-Y172,"")
</f>
        <v/>
      </c>
      <c r="T172" s="100">
        <f t="shared" si="172"/>
        <v>0</v>
      </c>
      <c r="U172" s="100">
        <f t="shared" si="172"/>
        <v>0</v>
      </c>
      <c r="V172" s="100">
        <f t="shared" si="172"/>
        <v>0</v>
      </c>
      <c r="W172" s="88" t="str">
        <f t="shared" si="9"/>
        <v/>
      </c>
      <c r="X172" s="89">
        <f>S172/D172</f>
        <v>0</v>
      </c>
      <c r="Y172" s="90" t="str">
        <f t="shared" si="10"/>
        <v>ERR</v>
      </c>
      <c r="Z172" s="90">
        <f>IF(H172=0,0,CAPITAL!$H$5*Y172)
</f>
        <v>0</v>
      </c>
      <c r="AA172" s="90">
        <f>IF(I172=0,0,CAPITAL!$H$6*Y172)
</f>
        <v>0</v>
      </c>
      <c r="AB172" s="90">
        <f>IF(J172=0,0,CAPITAL!$H$7*Y172)
</f>
        <v>0</v>
      </c>
      <c r="AC172" s="90"/>
    </row>
    <row r="173">
      <c r="A173" s="104"/>
      <c r="B173" s="101">
        <v>168.0</v>
      </c>
      <c r="C173" s="79" t="str">
        <f>ENTRY!B167</f>
        <v>SILVERBEES</v>
      </c>
      <c r="D173" s="80">
        <f>CAPITAL!$C$2</f>
        <v>3350000</v>
      </c>
      <c r="E173" s="81" t="str">
        <f>ENTRY!C167</f>
        <v/>
      </c>
      <c r="F173" s="82" t="str">
        <f>ENTRY!D167</f>
        <v/>
      </c>
      <c r="G173" s="83" t="str">
        <f>ENTRY!E167</f>
        <v/>
      </c>
      <c r="H173" s="84">
        <f>G173*ENTRY!$O167</f>
        <v>0</v>
      </c>
      <c r="I173" s="84">
        <f>G173*ENTRY!$P167</f>
        <v>0</v>
      </c>
      <c r="J173" s="84">
        <f>G173*ENTRY!$Q167</f>
        <v>0</v>
      </c>
      <c r="K173" s="82">
        <f t="shared" si="2"/>
        <v>0</v>
      </c>
      <c r="L173" s="82" t="str">
        <f>ENTRY!F167</f>
        <v/>
      </c>
      <c r="M173" s="81" t="str">
        <f>ENTRY!G167</f>
        <v/>
      </c>
      <c r="N173" s="85" t="str">
        <f t="shared" si="3"/>
        <v/>
      </c>
      <c r="O173" s="86">
        <f t="shared" si="4"/>
        <v>0</v>
      </c>
      <c r="P173" s="86">
        <f t="shared" si="5"/>
        <v>0</v>
      </c>
      <c r="Q173" s="86">
        <f t="shared" si="6"/>
        <v>0</v>
      </c>
      <c r="R173" s="86">
        <f t="shared" si="7"/>
        <v>0</v>
      </c>
      <c r="S173" s="87" t="str">
        <f t="shared" ref="S173:V173" si="173">IFERROR(O173-Y173,"")
</f>
        <v/>
      </c>
      <c r="T173" s="87">
        <f t="shared" si="173"/>
        <v>0</v>
      </c>
      <c r="U173" s="87">
        <f t="shared" si="173"/>
        <v>0</v>
      </c>
      <c r="V173" s="87">
        <f t="shared" si="173"/>
        <v>0</v>
      </c>
      <c r="W173" s="88" t="str">
        <f t="shared" si="9"/>
        <v/>
      </c>
      <c r="X173" s="89">
        <f>IFERROR(S173/D173,"")</f>
        <v>0</v>
      </c>
      <c r="Y173" s="90" t="str">
        <f t="shared" si="10"/>
        <v>ERR</v>
      </c>
      <c r="Z173" s="90">
        <f>IF(H173=0,0,CAPITAL!$H$5*Y173)
</f>
        <v>0</v>
      </c>
      <c r="AA173" s="90">
        <f>IF(I173=0,0,CAPITAL!$H$6*Y173)
</f>
        <v>0</v>
      </c>
      <c r="AB173" s="90">
        <f>IF(J173=0,0,CAPITAL!$H$7*Y173)
</f>
        <v>0</v>
      </c>
      <c r="AC173" s="90"/>
    </row>
    <row r="174">
      <c r="A174" s="104"/>
      <c r="B174" s="101">
        <v>169.0</v>
      </c>
      <c r="C174" s="18" t="str">
        <f>ENTRY!B168</f>
        <v>SILVERBEES</v>
      </c>
      <c r="D174" s="93">
        <f>CAPITAL!$C$2</f>
        <v>3350000</v>
      </c>
      <c r="E174" s="94" t="str">
        <f>ENTRY!C168</f>
        <v/>
      </c>
      <c r="F174" s="95" t="str">
        <f>ENTRY!D168</f>
        <v/>
      </c>
      <c r="G174" s="96" t="str">
        <f>ENTRY!E168</f>
        <v/>
      </c>
      <c r="H174" s="97">
        <f>G174*ENTRY!$O168</f>
        <v>0</v>
      </c>
      <c r="I174" s="97">
        <f>G174*ENTRY!$P168</f>
        <v>0</v>
      </c>
      <c r="J174" s="97">
        <f>G174*ENTRY!$Q168</f>
        <v>0</v>
      </c>
      <c r="K174" s="95">
        <f t="shared" si="2"/>
        <v>0</v>
      </c>
      <c r="L174" s="95" t="str">
        <f>ENTRY!F168</f>
        <v/>
      </c>
      <c r="M174" s="94" t="str">
        <f>ENTRY!G168</f>
        <v/>
      </c>
      <c r="N174" s="98" t="str">
        <f t="shared" si="3"/>
        <v/>
      </c>
      <c r="O174" s="99">
        <f t="shared" si="4"/>
        <v>0</v>
      </c>
      <c r="P174" s="99">
        <f t="shared" si="5"/>
        <v>0</v>
      </c>
      <c r="Q174" s="99">
        <f t="shared" si="6"/>
        <v>0</v>
      </c>
      <c r="R174" s="99">
        <f t="shared" si="7"/>
        <v>0</v>
      </c>
      <c r="S174" s="100" t="str">
        <f t="shared" ref="S174:V174" si="174">IFERROR(O174-Y174,"")
</f>
        <v/>
      </c>
      <c r="T174" s="100">
        <f t="shared" si="174"/>
        <v>0</v>
      </c>
      <c r="U174" s="100">
        <f t="shared" si="174"/>
        <v>0</v>
      </c>
      <c r="V174" s="100">
        <f t="shared" si="174"/>
        <v>0</v>
      </c>
      <c r="W174" s="88" t="str">
        <f t="shared" si="9"/>
        <v/>
      </c>
      <c r="X174" s="89">
        <f>S174/D174</f>
        <v>0</v>
      </c>
      <c r="Y174" s="90" t="str">
        <f t="shared" si="10"/>
        <v>ERR</v>
      </c>
      <c r="Z174" s="90">
        <f>IF(H174=0,0,CAPITAL!$H$5*Y174)
</f>
        <v>0</v>
      </c>
      <c r="AA174" s="90">
        <f>IF(I174=0,0,CAPITAL!$H$6*Y174)
</f>
        <v>0</v>
      </c>
      <c r="AB174" s="90">
        <f>IF(J174=0,0,CAPITAL!$H$7*Y174)
</f>
        <v>0</v>
      </c>
      <c r="AC174" s="90"/>
    </row>
    <row r="175">
      <c r="A175" s="104"/>
      <c r="B175" s="101">
        <v>170.0</v>
      </c>
      <c r="C175" s="79" t="str">
        <f>ENTRY!B169</f>
        <v>SILVERBEES</v>
      </c>
      <c r="D175" s="80">
        <f>CAPITAL!$C$2</f>
        <v>3350000</v>
      </c>
      <c r="E175" s="81" t="str">
        <f>ENTRY!C169</f>
        <v/>
      </c>
      <c r="F175" s="82" t="str">
        <f>ENTRY!D169</f>
        <v/>
      </c>
      <c r="G175" s="83" t="str">
        <f>ENTRY!E169</f>
        <v/>
      </c>
      <c r="H175" s="84">
        <f>G175*ENTRY!$O169</f>
        <v>0</v>
      </c>
      <c r="I175" s="84">
        <f>G175*ENTRY!$P169</f>
        <v>0</v>
      </c>
      <c r="J175" s="84">
        <f>G175*ENTRY!$Q169</f>
        <v>0</v>
      </c>
      <c r="K175" s="82">
        <f t="shared" si="2"/>
        <v>0</v>
      </c>
      <c r="L175" s="82" t="str">
        <f>ENTRY!F169</f>
        <v/>
      </c>
      <c r="M175" s="81" t="str">
        <f>ENTRY!G169</f>
        <v/>
      </c>
      <c r="N175" s="85" t="str">
        <f t="shared" si="3"/>
        <v/>
      </c>
      <c r="O175" s="86">
        <f t="shared" si="4"/>
        <v>0</v>
      </c>
      <c r="P175" s="86">
        <f t="shared" si="5"/>
        <v>0</v>
      </c>
      <c r="Q175" s="86">
        <f t="shared" si="6"/>
        <v>0</v>
      </c>
      <c r="R175" s="86">
        <f t="shared" si="7"/>
        <v>0</v>
      </c>
      <c r="S175" s="87" t="str">
        <f t="shared" ref="S175:V175" si="175">IFERROR(O175-Y175,"")
</f>
        <v/>
      </c>
      <c r="T175" s="87">
        <f t="shared" si="175"/>
        <v>0</v>
      </c>
      <c r="U175" s="87">
        <f t="shared" si="175"/>
        <v>0</v>
      </c>
      <c r="V175" s="87">
        <f t="shared" si="175"/>
        <v>0</v>
      </c>
      <c r="W175" s="88" t="str">
        <f t="shared" si="9"/>
        <v/>
      </c>
      <c r="X175" s="89">
        <f>IFERROR(S175/D175,"")</f>
        <v>0</v>
      </c>
      <c r="Y175" s="90" t="str">
        <f t="shared" si="10"/>
        <v>ERR</v>
      </c>
      <c r="Z175" s="90">
        <f>IF(H175=0,0,CAPITAL!$H$5*Y175)
</f>
        <v>0</v>
      </c>
      <c r="AA175" s="90">
        <f>IF(I175=0,0,CAPITAL!$H$6*Y175)
</f>
        <v>0</v>
      </c>
      <c r="AB175" s="90">
        <f>IF(J175=0,0,CAPITAL!$H$7*Y175)
</f>
        <v>0</v>
      </c>
      <c r="AC175" s="90"/>
    </row>
    <row r="176">
      <c r="A176" s="104"/>
      <c r="B176" s="101">
        <v>171.0</v>
      </c>
      <c r="C176" s="18" t="str">
        <f>ENTRY!B170</f>
        <v>SILVERBEES</v>
      </c>
      <c r="D176" s="93">
        <f>CAPITAL!$C$2</f>
        <v>3350000</v>
      </c>
      <c r="E176" s="94" t="str">
        <f>ENTRY!C170</f>
        <v/>
      </c>
      <c r="F176" s="95" t="str">
        <f>ENTRY!D170</f>
        <v/>
      </c>
      <c r="G176" s="96" t="str">
        <f>ENTRY!E170</f>
        <v/>
      </c>
      <c r="H176" s="97">
        <f>G176*ENTRY!$O170</f>
        <v>0</v>
      </c>
      <c r="I176" s="97">
        <f>G176*ENTRY!$P170</f>
        <v>0</v>
      </c>
      <c r="J176" s="97">
        <f>G176*ENTRY!$Q170</f>
        <v>0</v>
      </c>
      <c r="K176" s="95">
        <f t="shared" si="2"/>
        <v>0</v>
      </c>
      <c r="L176" s="95" t="str">
        <f>ENTRY!F170</f>
        <v/>
      </c>
      <c r="M176" s="94" t="str">
        <f>ENTRY!G170</f>
        <v/>
      </c>
      <c r="N176" s="98" t="str">
        <f t="shared" si="3"/>
        <v/>
      </c>
      <c r="O176" s="99">
        <f t="shared" si="4"/>
        <v>0</v>
      </c>
      <c r="P176" s="99">
        <f t="shared" si="5"/>
        <v>0</v>
      </c>
      <c r="Q176" s="99">
        <f t="shared" si="6"/>
        <v>0</v>
      </c>
      <c r="R176" s="99">
        <f t="shared" si="7"/>
        <v>0</v>
      </c>
      <c r="S176" s="100" t="str">
        <f t="shared" ref="S176:V176" si="176">IFERROR(O176-Y176,"")
</f>
        <v/>
      </c>
      <c r="T176" s="100">
        <f t="shared" si="176"/>
        <v>0</v>
      </c>
      <c r="U176" s="100">
        <f t="shared" si="176"/>
        <v>0</v>
      </c>
      <c r="V176" s="100">
        <f t="shared" si="176"/>
        <v>0</v>
      </c>
      <c r="W176" s="88" t="str">
        <f t="shared" si="9"/>
        <v/>
      </c>
      <c r="X176" s="89">
        <f>S176/D176</f>
        <v>0</v>
      </c>
      <c r="Y176" s="90" t="str">
        <f t="shared" si="10"/>
        <v>ERR</v>
      </c>
      <c r="Z176" s="90">
        <f>IF(H176=0,0,CAPITAL!$H$5*Y176)
</f>
        <v>0</v>
      </c>
      <c r="AA176" s="90">
        <f>IF(I176=0,0,CAPITAL!$H$6*Y176)
</f>
        <v>0</v>
      </c>
      <c r="AB176" s="90">
        <f>IF(J176=0,0,CAPITAL!$H$7*Y176)
</f>
        <v>0</v>
      </c>
      <c r="AC176" s="90"/>
    </row>
    <row r="177">
      <c r="A177" s="104"/>
      <c r="B177" s="101">
        <v>172.0</v>
      </c>
      <c r="C177" s="79" t="str">
        <f>ENTRY!B171</f>
        <v>SILVERBEES</v>
      </c>
      <c r="D177" s="80">
        <f>CAPITAL!$C$2</f>
        <v>3350000</v>
      </c>
      <c r="E177" s="81" t="str">
        <f>ENTRY!C171</f>
        <v/>
      </c>
      <c r="F177" s="82" t="str">
        <f>ENTRY!D171</f>
        <v/>
      </c>
      <c r="G177" s="83" t="str">
        <f>ENTRY!E171</f>
        <v/>
      </c>
      <c r="H177" s="84">
        <f>G177*ENTRY!$O171</f>
        <v>0</v>
      </c>
      <c r="I177" s="84">
        <f>G177*ENTRY!$P171</f>
        <v>0</v>
      </c>
      <c r="J177" s="84">
        <f>G177*ENTRY!$Q171</f>
        <v>0</v>
      </c>
      <c r="K177" s="82">
        <f t="shared" si="2"/>
        <v>0</v>
      </c>
      <c r="L177" s="82" t="str">
        <f>ENTRY!F171</f>
        <v/>
      </c>
      <c r="M177" s="81" t="str">
        <f>ENTRY!G171</f>
        <v/>
      </c>
      <c r="N177" s="85" t="str">
        <f t="shared" si="3"/>
        <v/>
      </c>
      <c r="O177" s="86">
        <f t="shared" si="4"/>
        <v>0</v>
      </c>
      <c r="P177" s="86">
        <f t="shared" si="5"/>
        <v>0</v>
      </c>
      <c r="Q177" s="86">
        <f t="shared" si="6"/>
        <v>0</v>
      </c>
      <c r="R177" s="86">
        <f t="shared" si="7"/>
        <v>0</v>
      </c>
      <c r="S177" s="87" t="str">
        <f t="shared" ref="S177:V177" si="177">IFERROR(O177-Y177,"")
</f>
        <v/>
      </c>
      <c r="T177" s="87">
        <f t="shared" si="177"/>
        <v>0</v>
      </c>
      <c r="U177" s="87">
        <f t="shared" si="177"/>
        <v>0</v>
      </c>
      <c r="V177" s="87">
        <f t="shared" si="177"/>
        <v>0</v>
      </c>
      <c r="W177" s="88" t="str">
        <f t="shared" si="9"/>
        <v/>
      </c>
      <c r="X177" s="89">
        <f>IFERROR(S177/D177,"")</f>
        <v>0</v>
      </c>
      <c r="Y177" s="90" t="str">
        <f t="shared" si="10"/>
        <v>ERR</v>
      </c>
      <c r="Z177" s="90">
        <f>IF(H177=0,0,CAPITAL!$H$5*Y177)
</f>
        <v>0</v>
      </c>
      <c r="AA177" s="90">
        <f>IF(I177=0,0,CAPITAL!$H$6*Y177)
</f>
        <v>0</v>
      </c>
      <c r="AB177" s="90">
        <f>IF(J177=0,0,CAPITAL!$H$7*Y177)
</f>
        <v>0</v>
      </c>
      <c r="AC177" s="90"/>
    </row>
    <row r="178">
      <c r="A178" s="104"/>
      <c r="B178" s="101">
        <v>173.0</v>
      </c>
      <c r="C178" s="18" t="str">
        <f>ENTRY!B172</f>
        <v>SILVERBEES</v>
      </c>
      <c r="D178" s="93">
        <f>CAPITAL!$C$2</f>
        <v>3350000</v>
      </c>
      <c r="E178" s="94" t="str">
        <f>ENTRY!C172</f>
        <v/>
      </c>
      <c r="F178" s="95" t="str">
        <f>ENTRY!D172</f>
        <v/>
      </c>
      <c r="G178" s="96" t="str">
        <f>ENTRY!E172</f>
        <v/>
      </c>
      <c r="H178" s="97">
        <f>G178*ENTRY!$O172</f>
        <v>0</v>
      </c>
      <c r="I178" s="97">
        <f>G178*ENTRY!$P172</f>
        <v>0</v>
      </c>
      <c r="J178" s="97">
        <f>G178*ENTRY!$Q172</f>
        <v>0</v>
      </c>
      <c r="K178" s="95">
        <f t="shared" si="2"/>
        <v>0</v>
      </c>
      <c r="L178" s="95" t="str">
        <f>ENTRY!F172</f>
        <v/>
      </c>
      <c r="M178" s="94" t="str">
        <f>ENTRY!G172</f>
        <v/>
      </c>
      <c r="N178" s="98" t="str">
        <f t="shared" si="3"/>
        <v/>
      </c>
      <c r="O178" s="99">
        <f t="shared" si="4"/>
        <v>0</v>
      </c>
      <c r="P178" s="99">
        <f t="shared" si="5"/>
        <v>0</v>
      </c>
      <c r="Q178" s="99">
        <f t="shared" si="6"/>
        <v>0</v>
      </c>
      <c r="R178" s="99">
        <f t="shared" si="7"/>
        <v>0</v>
      </c>
      <c r="S178" s="100" t="str">
        <f t="shared" ref="S178:V178" si="178">IFERROR(O178-Y178,"")
</f>
        <v/>
      </c>
      <c r="T178" s="100">
        <f t="shared" si="178"/>
        <v>0</v>
      </c>
      <c r="U178" s="100">
        <f t="shared" si="178"/>
        <v>0</v>
      </c>
      <c r="V178" s="100">
        <f t="shared" si="178"/>
        <v>0</v>
      </c>
      <c r="W178" s="88" t="str">
        <f t="shared" si="9"/>
        <v/>
      </c>
      <c r="X178" s="89">
        <f>S178/D178</f>
        <v>0</v>
      </c>
      <c r="Y178" s="90" t="str">
        <f t="shared" si="10"/>
        <v>ERR</v>
      </c>
      <c r="Z178" s="90">
        <f>IF(H178=0,0,CAPITAL!$H$5*Y178)
</f>
        <v>0</v>
      </c>
      <c r="AA178" s="90">
        <f>IF(I178=0,0,CAPITAL!$H$6*Y178)
</f>
        <v>0</v>
      </c>
      <c r="AB178" s="90">
        <f>IF(J178=0,0,CAPITAL!$H$7*Y178)
</f>
        <v>0</v>
      </c>
      <c r="AC178" s="90"/>
    </row>
    <row r="179">
      <c r="A179" s="104"/>
      <c r="B179" s="101">
        <v>174.0</v>
      </c>
      <c r="C179" s="79" t="str">
        <f>ENTRY!B173</f>
        <v>SILVERBEES</v>
      </c>
      <c r="D179" s="80">
        <f>CAPITAL!$C$2</f>
        <v>3350000</v>
      </c>
      <c r="E179" s="81" t="str">
        <f>ENTRY!C173</f>
        <v/>
      </c>
      <c r="F179" s="82" t="str">
        <f>ENTRY!D173</f>
        <v/>
      </c>
      <c r="G179" s="83" t="str">
        <f>ENTRY!E173</f>
        <v/>
      </c>
      <c r="H179" s="84">
        <f>G179*ENTRY!$O173</f>
        <v>0</v>
      </c>
      <c r="I179" s="84">
        <f>G179*ENTRY!$P173</f>
        <v>0</v>
      </c>
      <c r="J179" s="84">
        <f>G179*ENTRY!$Q173</f>
        <v>0</v>
      </c>
      <c r="K179" s="82">
        <f t="shared" si="2"/>
        <v>0</v>
      </c>
      <c r="L179" s="82" t="str">
        <f>ENTRY!F173</f>
        <v/>
      </c>
      <c r="M179" s="81" t="str">
        <f>ENTRY!G173</f>
        <v/>
      </c>
      <c r="N179" s="85" t="str">
        <f t="shared" si="3"/>
        <v/>
      </c>
      <c r="O179" s="86">
        <f t="shared" si="4"/>
        <v>0</v>
      </c>
      <c r="P179" s="86">
        <f t="shared" si="5"/>
        <v>0</v>
      </c>
      <c r="Q179" s="86">
        <f t="shared" si="6"/>
        <v>0</v>
      </c>
      <c r="R179" s="86">
        <f t="shared" si="7"/>
        <v>0</v>
      </c>
      <c r="S179" s="87" t="str">
        <f t="shared" ref="S179:V179" si="179">IFERROR(O179-Y179,"")
</f>
        <v/>
      </c>
      <c r="T179" s="87">
        <f t="shared" si="179"/>
        <v>0</v>
      </c>
      <c r="U179" s="87">
        <f t="shared" si="179"/>
        <v>0</v>
      </c>
      <c r="V179" s="87">
        <f t="shared" si="179"/>
        <v>0</v>
      </c>
      <c r="W179" s="88" t="str">
        <f t="shared" si="9"/>
        <v/>
      </c>
      <c r="X179" s="89">
        <f>IFERROR(S179/D179,"")</f>
        <v>0</v>
      </c>
      <c r="Y179" s="90" t="str">
        <f t="shared" si="10"/>
        <v>ERR</v>
      </c>
      <c r="Z179" s="90">
        <f>IF(H179=0,0,CAPITAL!$H$5*Y179)
</f>
        <v>0</v>
      </c>
      <c r="AA179" s="90">
        <f>IF(I179=0,0,CAPITAL!$H$6*Y179)
</f>
        <v>0</v>
      </c>
      <c r="AB179" s="90">
        <f>IF(J179=0,0,CAPITAL!$H$7*Y179)
</f>
        <v>0</v>
      </c>
      <c r="AC179" s="90"/>
    </row>
    <row r="180">
      <c r="A180" s="104"/>
      <c r="B180" s="101">
        <v>175.0</v>
      </c>
      <c r="C180" s="18" t="str">
        <f>ENTRY!B174</f>
        <v>SILVERBEES</v>
      </c>
      <c r="D180" s="93">
        <f>CAPITAL!$C$2</f>
        <v>3350000</v>
      </c>
      <c r="E180" s="94" t="str">
        <f>ENTRY!C174</f>
        <v/>
      </c>
      <c r="F180" s="95" t="str">
        <f>ENTRY!D174</f>
        <v/>
      </c>
      <c r="G180" s="96" t="str">
        <f>ENTRY!E174</f>
        <v/>
      </c>
      <c r="H180" s="97">
        <f>G180*ENTRY!$O174</f>
        <v>0</v>
      </c>
      <c r="I180" s="97">
        <f>G180*ENTRY!$P174</f>
        <v>0</v>
      </c>
      <c r="J180" s="97">
        <f>G180*ENTRY!$Q174</f>
        <v>0</v>
      </c>
      <c r="K180" s="95">
        <f t="shared" si="2"/>
        <v>0</v>
      </c>
      <c r="L180" s="95" t="str">
        <f>ENTRY!F174</f>
        <v/>
      </c>
      <c r="M180" s="94" t="str">
        <f>ENTRY!G174</f>
        <v/>
      </c>
      <c r="N180" s="98" t="str">
        <f t="shared" si="3"/>
        <v/>
      </c>
      <c r="O180" s="99">
        <f t="shared" si="4"/>
        <v>0</v>
      </c>
      <c r="P180" s="99">
        <f t="shared" si="5"/>
        <v>0</v>
      </c>
      <c r="Q180" s="99">
        <f t="shared" si="6"/>
        <v>0</v>
      </c>
      <c r="R180" s="99">
        <f t="shared" si="7"/>
        <v>0</v>
      </c>
      <c r="S180" s="100" t="str">
        <f t="shared" ref="S180:V180" si="180">IFERROR(O180-Y180,"")
</f>
        <v/>
      </c>
      <c r="T180" s="100">
        <f t="shared" si="180"/>
        <v>0</v>
      </c>
      <c r="U180" s="100">
        <f t="shared" si="180"/>
        <v>0</v>
      </c>
      <c r="V180" s="100">
        <f t="shared" si="180"/>
        <v>0</v>
      </c>
      <c r="W180" s="88" t="str">
        <f t="shared" si="9"/>
        <v/>
      </c>
      <c r="X180" s="89">
        <f>S180/D180</f>
        <v>0</v>
      </c>
      <c r="Y180" s="90" t="str">
        <f t="shared" si="10"/>
        <v>ERR</v>
      </c>
      <c r="Z180" s="90">
        <f>IF(H180=0,0,CAPITAL!$H$5*Y180)
</f>
        <v>0</v>
      </c>
      <c r="AA180" s="90">
        <f>IF(I180=0,0,CAPITAL!$H$6*Y180)
</f>
        <v>0</v>
      </c>
      <c r="AB180" s="90">
        <f>IF(J180=0,0,CAPITAL!$H$7*Y180)
</f>
        <v>0</v>
      </c>
      <c r="AC180" s="90"/>
    </row>
    <row r="181">
      <c r="A181" s="104"/>
      <c r="B181" s="101">
        <v>176.0</v>
      </c>
      <c r="C181" s="79" t="str">
        <f>ENTRY!B175</f>
        <v>SILVERBEES</v>
      </c>
      <c r="D181" s="80">
        <f>CAPITAL!$C$2</f>
        <v>3350000</v>
      </c>
      <c r="E181" s="81" t="str">
        <f>ENTRY!C175</f>
        <v/>
      </c>
      <c r="F181" s="82" t="str">
        <f>ENTRY!D175</f>
        <v/>
      </c>
      <c r="G181" s="83" t="str">
        <f>ENTRY!E175</f>
        <v/>
      </c>
      <c r="H181" s="84">
        <f>G181*ENTRY!$O175</f>
        <v>0</v>
      </c>
      <c r="I181" s="84">
        <f>G181*ENTRY!$P175</f>
        <v>0</v>
      </c>
      <c r="J181" s="84">
        <f>G181*ENTRY!$Q175</f>
        <v>0</v>
      </c>
      <c r="K181" s="82">
        <f t="shared" si="2"/>
        <v>0</v>
      </c>
      <c r="L181" s="82" t="str">
        <f>ENTRY!F175</f>
        <v/>
      </c>
      <c r="M181" s="81" t="str">
        <f>ENTRY!G175</f>
        <v/>
      </c>
      <c r="N181" s="85" t="str">
        <f t="shared" si="3"/>
        <v/>
      </c>
      <c r="O181" s="86">
        <f t="shared" si="4"/>
        <v>0</v>
      </c>
      <c r="P181" s="86">
        <f t="shared" si="5"/>
        <v>0</v>
      </c>
      <c r="Q181" s="86">
        <f t="shared" si="6"/>
        <v>0</v>
      </c>
      <c r="R181" s="86">
        <f t="shared" si="7"/>
        <v>0</v>
      </c>
      <c r="S181" s="87" t="str">
        <f t="shared" ref="S181:V181" si="181">IFERROR(O181-Y181,"")
</f>
        <v/>
      </c>
      <c r="T181" s="87">
        <f t="shared" si="181"/>
        <v>0</v>
      </c>
      <c r="U181" s="87">
        <f t="shared" si="181"/>
        <v>0</v>
      </c>
      <c r="V181" s="87">
        <f t="shared" si="181"/>
        <v>0</v>
      </c>
      <c r="W181" s="88" t="str">
        <f t="shared" si="9"/>
        <v/>
      </c>
      <c r="X181" s="89">
        <f>IFERROR(S181/D181,"")</f>
        <v>0</v>
      </c>
      <c r="Y181" s="90" t="str">
        <f t="shared" si="10"/>
        <v>ERR</v>
      </c>
      <c r="Z181" s="90">
        <f>IF(H181=0,0,CAPITAL!$H$5*Y181)
</f>
        <v>0</v>
      </c>
      <c r="AA181" s="90">
        <f>IF(I181=0,0,CAPITAL!$H$6*Y181)
</f>
        <v>0</v>
      </c>
      <c r="AB181" s="90">
        <f>IF(J181=0,0,CAPITAL!$H$7*Y181)
</f>
        <v>0</v>
      </c>
      <c r="AC181" s="90"/>
    </row>
    <row r="182">
      <c r="A182" s="104"/>
      <c r="B182" s="101">
        <v>177.0</v>
      </c>
      <c r="C182" s="18" t="str">
        <f>ENTRY!B176</f>
        <v>SILVERBEES</v>
      </c>
      <c r="D182" s="93">
        <f>CAPITAL!$C$2</f>
        <v>3350000</v>
      </c>
      <c r="E182" s="94" t="str">
        <f>ENTRY!C176</f>
        <v/>
      </c>
      <c r="F182" s="95" t="str">
        <f>ENTRY!D176</f>
        <v/>
      </c>
      <c r="G182" s="96" t="str">
        <f>ENTRY!E176</f>
        <v/>
      </c>
      <c r="H182" s="97">
        <f>G182*ENTRY!$O176</f>
        <v>0</v>
      </c>
      <c r="I182" s="97">
        <f>G182*ENTRY!$P176</f>
        <v>0</v>
      </c>
      <c r="J182" s="97">
        <f>G182*ENTRY!$Q176</f>
        <v>0</v>
      </c>
      <c r="K182" s="95">
        <f t="shared" si="2"/>
        <v>0</v>
      </c>
      <c r="L182" s="95" t="str">
        <f>ENTRY!F176</f>
        <v/>
      </c>
      <c r="M182" s="94" t="str">
        <f>ENTRY!G176</f>
        <v/>
      </c>
      <c r="N182" s="98" t="str">
        <f t="shared" si="3"/>
        <v/>
      </c>
      <c r="O182" s="99">
        <f t="shared" si="4"/>
        <v>0</v>
      </c>
      <c r="P182" s="99">
        <f t="shared" si="5"/>
        <v>0</v>
      </c>
      <c r="Q182" s="99">
        <f t="shared" si="6"/>
        <v>0</v>
      </c>
      <c r="R182" s="99">
        <f t="shared" si="7"/>
        <v>0</v>
      </c>
      <c r="S182" s="100" t="str">
        <f t="shared" ref="S182:V182" si="182">IFERROR(O182-Y182,"")
</f>
        <v/>
      </c>
      <c r="T182" s="100">
        <f t="shared" si="182"/>
        <v>0</v>
      </c>
      <c r="U182" s="100">
        <f t="shared" si="182"/>
        <v>0</v>
      </c>
      <c r="V182" s="100">
        <f t="shared" si="182"/>
        <v>0</v>
      </c>
      <c r="W182" s="88" t="str">
        <f t="shared" si="9"/>
        <v/>
      </c>
      <c r="X182" s="89">
        <f>S182/D182</f>
        <v>0</v>
      </c>
      <c r="Y182" s="90" t="str">
        <f t="shared" si="10"/>
        <v>ERR</v>
      </c>
      <c r="Z182" s="90">
        <f>IF(H182=0,0,CAPITAL!$H$5*Y182)
</f>
        <v>0</v>
      </c>
      <c r="AA182" s="90">
        <f>IF(I182=0,0,CAPITAL!$H$6*Y182)
</f>
        <v>0</v>
      </c>
      <c r="AB182" s="90">
        <f>IF(J182=0,0,CAPITAL!$H$7*Y182)
</f>
        <v>0</v>
      </c>
      <c r="AC182" s="90"/>
    </row>
    <row r="183">
      <c r="A183" s="104"/>
      <c r="B183" s="101">
        <v>178.0</v>
      </c>
      <c r="C183" s="79" t="str">
        <f>ENTRY!B177</f>
        <v>SILVERBEES</v>
      </c>
      <c r="D183" s="80">
        <f>CAPITAL!$C$2</f>
        <v>3350000</v>
      </c>
      <c r="E183" s="81" t="str">
        <f>ENTRY!C177</f>
        <v/>
      </c>
      <c r="F183" s="82" t="str">
        <f>ENTRY!D177</f>
        <v/>
      </c>
      <c r="G183" s="83" t="str">
        <f>ENTRY!E177</f>
        <v/>
      </c>
      <c r="H183" s="84">
        <f>G183*ENTRY!$O177</f>
        <v>0</v>
      </c>
      <c r="I183" s="84">
        <f>G183*ENTRY!$P177</f>
        <v>0</v>
      </c>
      <c r="J183" s="84">
        <f>G183*ENTRY!$Q177</f>
        <v>0</v>
      </c>
      <c r="K183" s="82">
        <f t="shared" si="2"/>
        <v>0</v>
      </c>
      <c r="L183" s="82" t="str">
        <f>ENTRY!F177</f>
        <v/>
      </c>
      <c r="M183" s="81" t="str">
        <f>ENTRY!G177</f>
        <v/>
      </c>
      <c r="N183" s="85" t="str">
        <f t="shared" si="3"/>
        <v/>
      </c>
      <c r="O183" s="86">
        <f t="shared" si="4"/>
        <v>0</v>
      </c>
      <c r="P183" s="86">
        <f t="shared" si="5"/>
        <v>0</v>
      </c>
      <c r="Q183" s="86">
        <f t="shared" si="6"/>
        <v>0</v>
      </c>
      <c r="R183" s="86">
        <f t="shared" si="7"/>
        <v>0</v>
      </c>
      <c r="S183" s="87" t="str">
        <f t="shared" ref="S183:V183" si="183">IFERROR(O183-Y183,"")
</f>
        <v/>
      </c>
      <c r="T183" s="87">
        <f t="shared" si="183"/>
        <v>0</v>
      </c>
      <c r="U183" s="87">
        <f t="shared" si="183"/>
        <v>0</v>
      </c>
      <c r="V183" s="87">
        <f t="shared" si="183"/>
        <v>0</v>
      </c>
      <c r="W183" s="88" t="str">
        <f t="shared" si="9"/>
        <v/>
      </c>
      <c r="X183" s="89">
        <f>IFERROR(S183/D183,"")</f>
        <v>0</v>
      </c>
      <c r="Y183" s="90" t="str">
        <f t="shared" si="10"/>
        <v>ERR</v>
      </c>
      <c r="Z183" s="90">
        <f>IF(H183=0,0,CAPITAL!$H$5*Y183)
</f>
        <v>0</v>
      </c>
      <c r="AA183" s="90">
        <f>IF(I183=0,0,CAPITAL!$H$6*Y183)
</f>
        <v>0</v>
      </c>
      <c r="AB183" s="90">
        <f>IF(J183=0,0,CAPITAL!$H$7*Y183)
</f>
        <v>0</v>
      </c>
      <c r="AC183" s="90"/>
    </row>
    <row r="184">
      <c r="A184" s="104"/>
      <c r="B184" s="101">
        <v>179.0</v>
      </c>
      <c r="C184" s="18" t="str">
        <f>ENTRY!B178</f>
        <v>SILVERBEES</v>
      </c>
      <c r="D184" s="93">
        <f>CAPITAL!$C$2</f>
        <v>3350000</v>
      </c>
      <c r="E184" s="94" t="str">
        <f>ENTRY!C178</f>
        <v/>
      </c>
      <c r="F184" s="95" t="str">
        <f>ENTRY!D178</f>
        <v/>
      </c>
      <c r="G184" s="96" t="str">
        <f>ENTRY!E178</f>
        <v/>
      </c>
      <c r="H184" s="97">
        <f>G184*ENTRY!$O178</f>
        <v>0</v>
      </c>
      <c r="I184" s="97">
        <f>G184*ENTRY!$P178</f>
        <v>0</v>
      </c>
      <c r="J184" s="97">
        <f>G184*ENTRY!$Q178</f>
        <v>0</v>
      </c>
      <c r="K184" s="95">
        <f t="shared" si="2"/>
        <v>0</v>
      </c>
      <c r="L184" s="95" t="str">
        <f>ENTRY!F178</f>
        <v/>
      </c>
      <c r="M184" s="94" t="str">
        <f>ENTRY!G178</f>
        <v/>
      </c>
      <c r="N184" s="98" t="str">
        <f t="shared" si="3"/>
        <v/>
      </c>
      <c r="O184" s="99">
        <f t="shared" si="4"/>
        <v>0</v>
      </c>
      <c r="P184" s="99">
        <f t="shared" si="5"/>
        <v>0</v>
      </c>
      <c r="Q184" s="99">
        <f t="shared" si="6"/>
        <v>0</v>
      </c>
      <c r="R184" s="99">
        <f t="shared" si="7"/>
        <v>0</v>
      </c>
      <c r="S184" s="100" t="str">
        <f t="shared" ref="S184:V184" si="184">IFERROR(O184-Y184,"")
</f>
        <v/>
      </c>
      <c r="T184" s="100">
        <f t="shared" si="184"/>
        <v>0</v>
      </c>
      <c r="U184" s="100">
        <f t="shared" si="184"/>
        <v>0</v>
      </c>
      <c r="V184" s="100">
        <f t="shared" si="184"/>
        <v>0</v>
      </c>
      <c r="W184" s="88" t="str">
        <f t="shared" si="9"/>
        <v/>
      </c>
      <c r="X184" s="89">
        <f>S184/D184</f>
        <v>0</v>
      </c>
      <c r="Y184" s="90" t="str">
        <f t="shared" si="10"/>
        <v>ERR</v>
      </c>
      <c r="Z184" s="90">
        <f>IF(H184=0,0,CAPITAL!$H$5*Y184)
</f>
        <v>0</v>
      </c>
      <c r="AA184" s="90">
        <f>IF(I184=0,0,CAPITAL!$H$6*Y184)
</f>
        <v>0</v>
      </c>
      <c r="AB184" s="90">
        <f>IF(J184=0,0,CAPITAL!$H$7*Y184)
</f>
        <v>0</v>
      </c>
      <c r="AC184" s="90"/>
    </row>
    <row r="185">
      <c r="A185" s="104"/>
      <c r="B185" s="101">
        <v>180.0</v>
      </c>
      <c r="C185" s="79" t="str">
        <f>ENTRY!B179</f>
        <v>SILVERBEES</v>
      </c>
      <c r="D185" s="80">
        <f>CAPITAL!$C$2</f>
        <v>3350000</v>
      </c>
      <c r="E185" s="81" t="str">
        <f>ENTRY!C179</f>
        <v/>
      </c>
      <c r="F185" s="82" t="str">
        <f>ENTRY!D179</f>
        <v/>
      </c>
      <c r="G185" s="83" t="str">
        <f>ENTRY!E179</f>
        <v/>
      </c>
      <c r="H185" s="84">
        <f>G185*ENTRY!$O179</f>
        <v>0</v>
      </c>
      <c r="I185" s="84">
        <f>G185*ENTRY!$P179</f>
        <v>0</v>
      </c>
      <c r="J185" s="84">
        <f>G185*ENTRY!$Q179</f>
        <v>0</v>
      </c>
      <c r="K185" s="82">
        <f t="shared" si="2"/>
        <v>0</v>
      </c>
      <c r="L185" s="82" t="str">
        <f>ENTRY!F179</f>
        <v/>
      </c>
      <c r="M185" s="81" t="str">
        <f>ENTRY!G179</f>
        <v/>
      </c>
      <c r="N185" s="85" t="str">
        <f t="shared" si="3"/>
        <v/>
      </c>
      <c r="O185" s="86">
        <f t="shared" si="4"/>
        <v>0</v>
      </c>
      <c r="P185" s="86">
        <f t="shared" si="5"/>
        <v>0</v>
      </c>
      <c r="Q185" s="86">
        <f t="shared" si="6"/>
        <v>0</v>
      </c>
      <c r="R185" s="86">
        <f t="shared" si="7"/>
        <v>0</v>
      </c>
      <c r="S185" s="87" t="str">
        <f t="shared" ref="S185:V185" si="185">IFERROR(O185-Y185,"")
</f>
        <v/>
      </c>
      <c r="T185" s="87">
        <f t="shared" si="185"/>
        <v>0</v>
      </c>
      <c r="U185" s="87">
        <f t="shared" si="185"/>
        <v>0</v>
      </c>
      <c r="V185" s="87">
        <f t="shared" si="185"/>
        <v>0</v>
      </c>
      <c r="W185" s="88" t="str">
        <f t="shared" si="9"/>
        <v/>
      </c>
      <c r="X185" s="89">
        <f>IFERROR(S185/D185,"")</f>
        <v>0</v>
      </c>
      <c r="Y185" s="90" t="str">
        <f t="shared" si="10"/>
        <v>ERR</v>
      </c>
      <c r="Z185" s="90">
        <f>IF(H185=0,0,CAPITAL!$H$5*Y185)
</f>
        <v>0</v>
      </c>
      <c r="AA185" s="90">
        <f>IF(I185=0,0,CAPITAL!$H$6*Y185)
</f>
        <v>0</v>
      </c>
      <c r="AB185" s="90">
        <f>IF(J185=0,0,CAPITAL!$H$7*Y185)
</f>
        <v>0</v>
      </c>
      <c r="AC185" s="90"/>
    </row>
    <row r="186">
      <c r="A186" s="104"/>
      <c r="B186" s="101">
        <v>181.0</v>
      </c>
      <c r="C186" s="18" t="str">
        <f>ENTRY!B180</f>
        <v>SILVERBEES</v>
      </c>
      <c r="D186" s="93">
        <f>CAPITAL!$C$2</f>
        <v>3350000</v>
      </c>
      <c r="E186" s="94" t="str">
        <f>ENTRY!C180</f>
        <v/>
      </c>
      <c r="F186" s="95" t="str">
        <f>ENTRY!D180</f>
        <v/>
      </c>
      <c r="G186" s="96" t="str">
        <f>ENTRY!E180</f>
        <v/>
      </c>
      <c r="H186" s="97">
        <f>G186*ENTRY!$O180</f>
        <v>0</v>
      </c>
      <c r="I186" s="97">
        <f>G186*ENTRY!$P180</f>
        <v>0</v>
      </c>
      <c r="J186" s="97">
        <f>G186*ENTRY!$Q180</f>
        <v>0</v>
      </c>
      <c r="K186" s="95">
        <f t="shared" si="2"/>
        <v>0</v>
      </c>
      <c r="L186" s="95" t="str">
        <f>ENTRY!F180</f>
        <v/>
      </c>
      <c r="M186" s="94" t="str">
        <f>ENTRY!G180</f>
        <v/>
      </c>
      <c r="N186" s="98" t="str">
        <f t="shared" si="3"/>
        <v/>
      </c>
      <c r="O186" s="99">
        <f t="shared" si="4"/>
        <v>0</v>
      </c>
      <c r="P186" s="99">
        <f t="shared" si="5"/>
        <v>0</v>
      </c>
      <c r="Q186" s="99">
        <f t="shared" si="6"/>
        <v>0</v>
      </c>
      <c r="R186" s="99">
        <f t="shared" si="7"/>
        <v>0</v>
      </c>
      <c r="S186" s="100" t="str">
        <f t="shared" ref="S186:V186" si="186">IFERROR(O186-Y186,"")
</f>
        <v/>
      </c>
      <c r="T186" s="100">
        <f t="shared" si="186"/>
        <v>0</v>
      </c>
      <c r="U186" s="100">
        <f t="shared" si="186"/>
        <v>0</v>
      </c>
      <c r="V186" s="100">
        <f t="shared" si="186"/>
        <v>0</v>
      </c>
      <c r="W186" s="88" t="str">
        <f t="shared" si="9"/>
        <v/>
      </c>
      <c r="X186" s="89">
        <f>S186/D186</f>
        <v>0</v>
      </c>
      <c r="Y186" s="90" t="str">
        <f t="shared" si="10"/>
        <v>ERR</v>
      </c>
      <c r="Z186" s="90">
        <f>IF(H186=0,0,CAPITAL!$H$5*Y186)
</f>
        <v>0</v>
      </c>
      <c r="AA186" s="90">
        <f>IF(I186=0,0,CAPITAL!$H$6*Y186)
</f>
        <v>0</v>
      </c>
      <c r="AB186" s="90">
        <f>IF(J186=0,0,CAPITAL!$H$7*Y186)
</f>
        <v>0</v>
      </c>
      <c r="AC186" s="90"/>
    </row>
    <row r="187">
      <c r="A187" s="104"/>
      <c r="B187" s="101">
        <v>182.0</v>
      </c>
      <c r="C187" s="79" t="str">
        <f>ENTRY!B181</f>
        <v>SILVERBEES</v>
      </c>
      <c r="D187" s="80">
        <f>CAPITAL!$C$2</f>
        <v>3350000</v>
      </c>
      <c r="E187" s="81" t="str">
        <f>ENTRY!C181</f>
        <v/>
      </c>
      <c r="F187" s="82" t="str">
        <f>ENTRY!D181</f>
        <v/>
      </c>
      <c r="G187" s="83" t="str">
        <f>ENTRY!E181</f>
        <v/>
      </c>
      <c r="H187" s="84">
        <f>G187*ENTRY!$O181</f>
        <v>0</v>
      </c>
      <c r="I187" s="84">
        <f>G187*ENTRY!$P181</f>
        <v>0</v>
      </c>
      <c r="J187" s="84">
        <f>G187*ENTRY!$Q181</f>
        <v>0</v>
      </c>
      <c r="K187" s="82">
        <f t="shared" si="2"/>
        <v>0</v>
      </c>
      <c r="L187" s="82" t="str">
        <f>ENTRY!F181</f>
        <v/>
      </c>
      <c r="M187" s="81" t="str">
        <f>ENTRY!G181</f>
        <v/>
      </c>
      <c r="N187" s="85" t="str">
        <f t="shared" si="3"/>
        <v/>
      </c>
      <c r="O187" s="86">
        <f t="shared" si="4"/>
        <v>0</v>
      </c>
      <c r="P187" s="86">
        <f t="shared" si="5"/>
        <v>0</v>
      </c>
      <c r="Q187" s="86">
        <f t="shared" si="6"/>
        <v>0</v>
      </c>
      <c r="R187" s="86">
        <f t="shared" si="7"/>
        <v>0</v>
      </c>
      <c r="S187" s="87" t="str">
        <f t="shared" ref="S187:V187" si="187">IFERROR(O187-Y187,"")
</f>
        <v/>
      </c>
      <c r="T187" s="87">
        <f t="shared" si="187"/>
        <v>0</v>
      </c>
      <c r="U187" s="87">
        <f t="shared" si="187"/>
        <v>0</v>
      </c>
      <c r="V187" s="87">
        <f t="shared" si="187"/>
        <v>0</v>
      </c>
      <c r="W187" s="88" t="str">
        <f t="shared" si="9"/>
        <v/>
      </c>
      <c r="X187" s="89">
        <f>IFERROR(S187/D187,"")</f>
        <v>0</v>
      </c>
      <c r="Y187" s="90" t="str">
        <f t="shared" si="10"/>
        <v>ERR</v>
      </c>
      <c r="Z187" s="90">
        <f>IF(H187=0,0,CAPITAL!$H$5*Y187)
</f>
        <v>0</v>
      </c>
      <c r="AA187" s="90">
        <f>IF(I187=0,0,CAPITAL!$H$6*Y187)
</f>
        <v>0</v>
      </c>
      <c r="AB187" s="90">
        <f>IF(J187=0,0,CAPITAL!$H$7*Y187)
</f>
        <v>0</v>
      </c>
      <c r="AC187" s="90"/>
    </row>
    <row r="188">
      <c r="A188" s="104"/>
      <c r="B188" s="101">
        <v>183.0</v>
      </c>
      <c r="C188" s="18" t="str">
        <f>ENTRY!B182</f>
        <v>SILVERBEES</v>
      </c>
      <c r="D188" s="93">
        <f>CAPITAL!$C$2</f>
        <v>3350000</v>
      </c>
      <c r="E188" s="94" t="str">
        <f>ENTRY!C182</f>
        <v/>
      </c>
      <c r="F188" s="95" t="str">
        <f>ENTRY!D182</f>
        <v/>
      </c>
      <c r="G188" s="96" t="str">
        <f>ENTRY!E182</f>
        <v/>
      </c>
      <c r="H188" s="97">
        <f>G188*ENTRY!$O182</f>
        <v>0</v>
      </c>
      <c r="I188" s="97">
        <f>G188*ENTRY!$P182</f>
        <v>0</v>
      </c>
      <c r="J188" s="97">
        <f>G188*ENTRY!$Q182</f>
        <v>0</v>
      </c>
      <c r="K188" s="95">
        <f t="shared" si="2"/>
        <v>0</v>
      </c>
      <c r="L188" s="95" t="str">
        <f>ENTRY!F182</f>
        <v/>
      </c>
      <c r="M188" s="94" t="str">
        <f>ENTRY!G182</f>
        <v/>
      </c>
      <c r="N188" s="98" t="str">
        <f t="shared" si="3"/>
        <v/>
      </c>
      <c r="O188" s="99">
        <f t="shared" si="4"/>
        <v>0</v>
      </c>
      <c r="P188" s="99">
        <f t="shared" si="5"/>
        <v>0</v>
      </c>
      <c r="Q188" s="99">
        <f t="shared" si="6"/>
        <v>0</v>
      </c>
      <c r="R188" s="99">
        <f t="shared" si="7"/>
        <v>0</v>
      </c>
      <c r="S188" s="100" t="str">
        <f t="shared" ref="S188:V188" si="188">IFERROR(O188-Y188,"")
</f>
        <v/>
      </c>
      <c r="T188" s="100">
        <f t="shared" si="188"/>
        <v>0</v>
      </c>
      <c r="U188" s="100">
        <f t="shared" si="188"/>
        <v>0</v>
      </c>
      <c r="V188" s="100">
        <f t="shared" si="188"/>
        <v>0</v>
      </c>
      <c r="W188" s="88" t="str">
        <f t="shared" si="9"/>
        <v/>
      </c>
      <c r="X188" s="89">
        <f>S188/D188</f>
        <v>0</v>
      </c>
      <c r="Y188" s="90" t="str">
        <f t="shared" si="10"/>
        <v>ERR</v>
      </c>
      <c r="Z188" s="90">
        <f>IF(H188=0,0,CAPITAL!$H$5*Y188)
</f>
        <v>0</v>
      </c>
      <c r="AA188" s="90">
        <f>IF(I188=0,0,CAPITAL!$H$6*Y188)
</f>
        <v>0</v>
      </c>
      <c r="AB188" s="90">
        <f>IF(J188=0,0,CAPITAL!$H$7*Y188)
</f>
        <v>0</v>
      </c>
      <c r="AC188" s="90"/>
    </row>
    <row r="189">
      <c r="A189" s="104"/>
      <c r="B189" s="101">
        <v>184.0</v>
      </c>
      <c r="C189" s="79" t="str">
        <f>ENTRY!B183</f>
        <v>SILVERBEES</v>
      </c>
      <c r="D189" s="80">
        <f>CAPITAL!$C$2</f>
        <v>3350000</v>
      </c>
      <c r="E189" s="81" t="str">
        <f>ENTRY!C183</f>
        <v/>
      </c>
      <c r="F189" s="82" t="str">
        <f>ENTRY!D183</f>
        <v/>
      </c>
      <c r="G189" s="83" t="str">
        <f>ENTRY!E183</f>
        <v/>
      </c>
      <c r="H189" s="84">
        <f>G189*ENTRY!$O183</f>
        <v>0</v>
      </c>
      <c r="I189" s="84">
        <f>G189*ENTRY!$P183</f>
        <v>0</v>
      </c>
      <c r="J189" s="84">
        <f>G189*ENTRY!$Q183</f>
        <v>0</v>
      </c>
      <c r="K189" s="82">
        <f t="shared" si="2"/>
        <v>0</v>
      </c>
      <c r="L189" s="82" t="str">
        <f>ENTRY!F183</f>
        <v/>
      </c>
      <c r="M189" s="81" t="str">
        <f>ENTRY!G183</f>
        <v/>
      </c>
      <c r="N189" s="85" t="str">
        <f t="shared" si="3"/>
        <v/>
      </c>
      <c r="O189" s="86">
        <f t="shared" si="4"/>
        <v>0</v>
      </c>
      <c r="P189" s="86">
        <f t="shared" si="5"/>
        <v>0</v>
      </c>
      <c r="Q189" s="86">
        <f t="shared" si="6"/>
        <v>0</v>
      </c>
      <c r="R189" s="86">
        <f t="shared" si="7"/>
        <v>0</v>
      </c>
      <c r="S189" s="87" t="str">
        <f t="shared" ref="S189:V189" si="189">IFERROR(O189-Y189,"")
</f>
        <v/>
      </c>
      <c r="T189" s="87">
        <f t="shared" si="189"/>
        <v>0</v>
      </c>
      <c r="U189" s="87">
        <f t="shared" si="189"/>
        <v>0</v>
      </c>
      <c r="V189" s="87">
        <f t="shared" si="189"/>
        <v>0</v>
      </c>
      <c r="W189" s="88" t="str">
        <f t="shared" si="9"/>
        <v/>
      </c>
      <c r="X189" s="89">
        <f>IFERROR(S189/D189,"")</f>
        <v>0</v>
      </c>
      <c r="Y189" s="90" t="str">
        <f t="shared" si="10"/>
        <v>ERR</v>
      </c>
      <c r="Z189" s="90">
        <f>IF(H189=0,0,CAPITAL!$H$5*Y189)
</f>
        <v>0</v>
      </c>
      <c r="AA189" s="90">
        <f>IF(I189=0,0,CAPITAL!$H$6*Y189)
</f>
        <v>0</v>
      </c>
      <c r="AB189" s="90">
        <f>IF(J189=0,0,CAPITAL!$H$7*Y189)
</f>
        <v>0</v>
      </c>
      <c r="AC189" s="90"/>
    </row>
    <row r="190">
      <c r="A190" s="104"/>
      <c r="B190" s="101">
        <v>185.0</v>
      </c>
      <c r="C190" s="18" t="str">
        <f>ENTRY!B184</f>
        <v>SILVERBEES</v>
      </c>
      <c r="D190" s="93">
        <f>CAPITAL!$C$2</f>
        <v>3350000</v>
      </c>
      <c r="E190" s="94" t="str">
        <f>ENTRY!C184</f>
        <v/>
      </c>
      <c r="F190" s="95" t="str">
        <f>ENTRY!D184</f>
        <v/>
      </c>
      <c r="G190" s="96" t="str">
        <f>ENTRY!E184</f>
        <v/>
      </c>
      <c r="H190" s="97">
        <f>G190*ENTRY!$O184</f>
        <v>0</v>
      </c>
      <c r="I190" s="97">
        <f>G190*ENTRY!$P184</f>
        <v>0</v>
      </c>
      <c r="J190" s="97">
        <f>G190*ENTRY!$Q184</f>
        <v>0</v>
      </c>
      <c r="K190" s="95">
        <f t="shared" si="2"/>
        <v>0</v>
      </c>
      <c r="L190" s="95" t="str">
        <f>ENTRY!F184</f>
        <v/>
      </c>
      <c r="M190" s="94" t="str">
        <f>ENTRY!G184</f>
        <v/>
      </c>
      <c r="N190" s="98" t="str">
        <f t="shared" si="3"/>
        <v/>
      </c>
      <c r="O190" s="99">
        <f t="shared" si="4"/>
        <v>0</v>
      </c>
      <c r="P190" s="99">
        <f t="shared" si="5"/>
        <v>0</v>
      </c>
      <c r="Q190" s="99">
        <f t="shared" si="6"/>
        <v>0</v>
      </c>
      <c r="R190" s="99">
        <f t="shared" si="7"/>
        <v>0</v>
      </c>
      <c r="S190" s="100" t="str">
        <f t="shared" ref="S190:V190" si="190">IFERROR(O190-Y190,"")
</f>
        <v/>
      </c>
      <c r="T190" s="100">
        <f t="shared" si="190"/>
        <v>0</v>
      </c>
      <c r="U190" s="100">
        <f t="shared" si="190"/>
        <v>0</v>
      </c>
      <c r="V190" s="100">
        <f t="shared" si="190"/>
        <v>0</v>
      </c>
      <c r="W190" s="88" t="str">
        <f t="shared" si="9"/>
        <v/>
      </c>
      <c r="X190" s="89">
        <f>S190/D190</f>
        <v>0</v>
      </c>
      <c r="Y190" s="90" t="str">
        <f t="shared" si="10"/>
        <v>ERR</v>
      </c>
      <c r="Z190" s="90">
        <f>IF(H190=0,0,CAPITAL!$H$5*Y190)
</f>
        <v>0</v>
      </c>
      <c r="AA190" s="90">
        <f>IF(I190=0,0,CAPITAL!$H$6*Y190)
</f>
        <v>0</v>
      </c>
      <c r="AB190" s="90">
        <f>IF(J190=0,0,CAPITAL!$H$7*Y190)
</f>
        <v>0</v>
      </c>
      <c r="AC190" s="90"/>
    </row>
    <row r="191">
      <c r="A191" s="104"/>
      <c r="B191" s="101">
        <v>186.0</v>
      </c>
      <c r="C191" s="79" t="str">
        <f>ENTRY!B185</f>
        <v>SILVERBEES</v>
      </c>
      <c r="D191" s="80">
        <f>CAPITAL!$C$2</f>
        <v>3350000</v>
      </c>
      <c r="E191" s="81" t="str">
        <f>ENTRY!C185</f>
        <v/>
      </c>
      <c r="F191" s="82" t="str">
        <f>ENTRY!D185</f>
        <v/>
      </c>
      <c r="G191" s="83" t="str">
        <f>ENTRY!E185</f>
        <v/>
      </c>
      <c r="H191" s="84">
        <f>G191*ENTRY!$O185</f>
        <v>0</v>
      </c>
      <c r="I191" s="84">
        <f>G191*ENTRY!$P185</f>
        <v>0</v>
      </c>
      <c r="J191" s="84">
        <f>G191*ENTRY!$Q185</f>
        <v>0</v>
      </c>
      <c r="K191" s="82">
        <f t="shared" si="2"/>
        <v>0</v>
      </c>
      <c r="L191" s="82" t="str">
        <f>ENTRY!F185</f>
        <v/>
      </c>
      <c r="M191" s="81" t="str">
        <f>ENTRY!G185</f>
        <v/>
      </c>
      <c r="N191" s="85" t="str">
        <f t="shared" si="3"/>
        <v/>
      </c>
      <c r="O191" s="86">
        <f t="shared" si="4"/>
        <v>0</v>
      </c>
      <c r="P191" s="86">
        <f t="shared" si="5"/>
        <v>0</v>
      </c>
      <c r="Q191" s="86">
        <f t="shared" si="6"/>
        <v>0</v>
      </c>
      <c r="R191" s="86">
        <f t="shared" si="7"/>
        <v>0</v>
      </c>
      <c r="S191" s="87" t="str">
        <f t="shared" ref="S191:V191" si="191">IFERROR(O191-Y191,"")
</f>
        <v/>
      </c>
      <c r="T191" s="87">
        <f t="shared" si="191"/>
        <v>0</v>
      </c>
      <c r="U191" s="87">
        <f t="shared" si="191"/>
        <v>0</v>
      </c>
      <c r="V191" s="87">
        <f t="shared" si="191"/>
        <v>0</v>
      </c>
      <c r="W191" s="88" t="str">
        <f t="shared" si="9"/>
        <v/>
      </c>
      <c r="X191" s="89">
        <f>IFERROR(S191/D191,"")</f>
        <v>0</v>
      </c>
      <c r="Y191" s="90" t="str">
        <f t="shared" si="10"/>
        <v>ERR</v>
      </c>
      <c r="Z191" s="90">
        <f>IF(H191=0,0,CAPITAL!$H$5*Y191)
</f>
        <v>0</v>
      </c>
      <c r="AA191" s="90">
        <f>IF(I191=0,0,CAPITAL!$H$6*Y191)
</f>
        <v>0</v>
      </c>
      <c r="AB191" s="90">
        <f>IF(J191=0,0,CAPITAL!$H$7*Y191)
</f>
        <v>0</v>
      </c>
      <c r="AC191" s="90"/>
    </row>
    <row r="192">
      <c r="A192" s="104"/>
      <c r="B192" s="101">
        <v>187.0</v>
      </c>
      <c r="C192" s="18" t="str">
        <f>ENTRY!B186</f>
        <v>SILVERBEES</v>
      </c>
      <c r="D192" s="93">
        <f>CAPITAL!$C$2</f>
        <v>3350000</v>
      </c>
      <c r="E192" s="94" t="str">
        <f>ENTRY!C186</f>
        <v/>
      </c>
      <c r="F192" s="95" t="str">
        <f>ENTRY!D186</f>
        <v/>
      </c>
      <c r="G192" s="96" t="str">
        <f>ENTRY!E186</f>
        <v/>
      </c>
      <c r="H192" s="97">
        <f>G192*ENTRY!$O186</f>
        <v>0</v>
      </c>
      <c r="I192" s="97">
        <f>G192*ENTRY!$P186</f>
        <v>0</v>
      </c>
      <c r="J192" s="97">
        <f>G192*ENTRY!$Q186</f>
        <v>0</v>
      </c>
      <c r="K192" s="95">
        <f t="shared" si="2"/>
        <v>0</v>
      </c>
      <c r="L192" s="95" t="str">
        <f>ENTRY!F186</f>
        <v/>
      </c>
      <c r="M192" s="94" t="str">
        <f>ENTRY!G186</f>
        <v/>
      </c>
      <c r="N192" s="98" t="str">
        <f t="shared" si="3"/>
        <v/>
      </c>
      <c r="O192" s="99">
        <f t="shared" si="4"/>
        <v>0</v>
      </c>
      <c r="P192" s="99">
        <f t="shared" si="5"/>
        <v>0</v>
      </c>
      <c r="Q192" s="99">
        <f t="shared" si="6"/>
        <v>0</v>
      </c>
      <c r="R192" s="99">
        <f t="shared" si="7"/>
        <v>0</v>
      </c>
      <c r="S192" s="100" t="str">
        <f t="shared" ref="S192:V192" si="192">IFERROR(O192-Y192,"")
</f>
        <v/>
      </c>
      <c r="T192" s="100">
        <f t="shared" si="192"/>
        <v>0</v>
      </c>
      <c r="U192" s="100">
        <f t="shared" si="192"/>
        <v>0</v>
      </c>
      <c r="V192" s="100">
        <f t="shared" si="192"/>
        <v>0</v>
      </c>
      <c r="W192" s="88" t="str">
        <f t="shared" si="9"/>
        <v/>
      </c>
      <c r="X192" s="89">
        <f>S192/D192</f>
        <v>0</v>
      </c>
      <c r="Y192" s="90" t="str">
        <f t="shared" si="10"/>
        <v>ERR</v>
      </c>
      <c r="Z192" s="90">
        <f>IF(H192=0,0,CAPITAL!$H$5*Y192)
</f>
        <v>0</v>
      </c>
      <c r="AA192" s="90">
        <f>IF(I192=0,0,CAPITAL!$H$6*Y192)
</f>
        <v>0</v>
      </c>
      <c r="AB192" s="90">
        <f>IF(J192=0,0,CAPITAL!$H$7*Y192)
</f>
        <v>0</v>
      </c>
      <c r="AC192" s="90"/>
    </row>
    <row r="193">
      <c r="A193" s="104"/>
      <c r="B193" s="101">
        <v>188.0</v>
      </c>
      <c r="C193" s="79" t="str">
        <f>ENTRY!B187</f>
        <v>SILVERBEES</v>
      </c>
      <c r="D193" s="80">
        <f>CAPITAL!$C$2</f>
        <v>3350000</v>
      </c>
      <c r="E193" s="81" t="str">
        <f>ENTRY!C187</f>
        <v/>
      </c>
      <c r="F193" s="82" t="str">
        <f>ENTRY!D187</f>
        <v/>
      </c>
      <c r="G193" s="83" t="str">
        <f>ENTRY!E187</f>
        <v/>
      </c>
      <c r="H193" s="84">
        <f>G193*ENTRY!$O187</f>
        <v>0</v>
      </c>
      <c r="I193" s="84">
        <f>G193*ENTRY!$P187</f>
        <v>0</v>
      </c>
      <c r="J193" s="84">
        <f>G193*ENTRY!$Q187</f>
        <v>0</v>
      </c>
      <c r="K193" s="82">
        <f t="shared" si="2"/>
        <v>0</v>
      </c>
      <c r="L193" s="82" t="str">
        <f>ENTRY!F187</f>
        <v/>
      </c>
      <c r="M193" s="81" t="str">
        <f>ENTRY!G187</f>
        <v/>
      </c>
      <c r="N193" s="85" t="str">
        <f t="shared" si="3"/>
        <v/>
      </c>
      <c r="O193" s="86">
        <f t="shared" si="4"/>
        <v>0</v>
      </c>
      <c r="P193" s="86">
        <f t="shared" si="5"/>
        <v>0</v>
      </c>
      <c r="Q193" s="86">
        <f t="shared" si="6"/>
        <v>0</v>
      </c>
      <c r="R193" s="86">
        <f t="shared" si="7"/>
        <v>0</v>
      </c>
      <c r="S193" s="87" t="str">
        <f t="shared" ref="S193:V193" si="193">IFERROR(O193-Y193,"")
</f>
        <v/>
      </c>
      <c r="T193" s="87">
        <f t="shared" si="193"/>
        <v>0</v>
      </c>
      <c r="U193" s="87">
        <f t="shared" si="193"/>
        <v>0</v>
      </c>
      <c r="V193" s="87">
        <f t="shared" si="193"/>
        <v>0</v>
      </c>
      <c r="W193" s="88" t="str">
        <f t="shared" si="9"/>
        <v/>
      </c>
      <c r="X193" s="89">
        <f>IFERROR(S193/D193,"")</f>
        <v>0</v>
      </c>
      <c r="Y193" s="90" t="str">
        <f t="shared" si="10"/>
        <v>ERR</v>
      </c>
      <c r="Z193" s="90">
        <f>IF(H193=0,0,CAPITAL!$H$5*Y193)
</f>
        <v>0</v>
      </c>
      <c r="AA193" s="90">
        <f>IF(I193=0,0,CAPITAL!$H$6*Y193)
</f>
        <v>0</v>
      </c>
      <c r="AB193" s="90">
        <f>IF(J193=0,0,CAPITAL!$H$7*Y193)
</f>
        <v>0</v>
      </c>
      <c r="AC193" s="90"/>
    </row>
    <row r="194">
      <c r="A194" s="104"/>
      <c r="B194" s="101">
        <v>189.0</v>
      </c>
      <c r="C194" s="18" t="str">
        <f>ENTRY!B188</f>
        <v>SILVERBEES</v>
      </c>
      <c r="D194" s="93">
        <f>CAPITAL!$C$2</f>
        <v>3350000</v>
      </c>
      <c r="E194" s="94" t="str">
        <f>ENTRY!C188</f>
        <v/>
      </c>
      <c r="F194" s="95" t="str">
        <f>ENTRY!D188</f>
        <v/>
      </c>
      <c r="G194" s="96" t="str">
        <f>ENTRY!E188</f>
        <v/>
      </c>
      <c r="H194" s="97">
        <f>G194*ENTRY!$O188</f>
        <v>0</v>
      </c>
      <c r="I194" s="97">
        <f>G194*ENTRY!$P188</f>
        <v>0</v>
      </c>
      <c r="J194" s="97">
        <f>G194*ENTRY!$Q188</f>
        <v>0</v>
      </c>
      <c r="K194" s="95">
        <f t="shared" si="2"/>
        <v>0</v>
      </c>
      <c r="L194" s="95" t="str">
        <f>ENTRY!F188</f>
        <v/>
      </c>
      <c r="M194" s="94" t="str">
        <f>ENTRY!G188</f>
        <v/>
      </c>
      <c r="N194" s="98" t="str">
        <f t="shared" si="3"/>
        <v/>
      </c>
      <c r="O194" s="99">
        <f t="shared" si="4"/>
        <v>0</v>
      </c>
      <c r="P194" s="99">
        <f t="shared" si="5"/>
        <v>0</v>
      </c>
      <c r="Q194" s="99">
        <f t="shared" si="6"/>
        <v>0</v>
      </c>
      <c r="R194" s="99">
        <f t="shared" si="7"/>
        <v>0</v>
      </c>
      <c r="S194" s="100" t="str">
        <f t="shared" ref="S194:V194" si="194">IFERROR(O194-Y194,"")
</f>
        <v/>
      </c>
      <c r="T194" s="100">
        <f t="shared" si="194"/>
        <v>0</v>
      </c>
      <c r="U194" s="100">
        <f t="shared" si="194"/>
        <v>0</v>
      </c>
      <c r="V194" s="100">
        <f t="shared" si="194"/>
        <v>0</v>
      </c>
      <c r="W194" s="88" t="str">
        <f t="shared" si="9"/>
        <v/>
      </c>
      <c r="X194" s="89">
        <f>S194/D194</f>
        <v>0</v>
      </c>
      <c r="Y194" s="90" t="str">
        <f t="shared" si="10"/>
        <v>ERR</v>
      </c>
      <c r="Z194" s="90">
        <f>IF(H194=0,0,CAPITAL!$H$5*Y194)
</f>
        <v>0</v>
      </c>
      <c r="AA194" s="90">
        <f>IF(I194=0,0,CAPITAL!$H$6*Y194)
</f>
        <v>0</v>
      </c>
      <c r="AB194" s="90">
        <f>IF(J194=0,0,CAPITAL!$H$7*Y194)
</f>
        <v>0</v>
      </c>
      <c r="AC194" s="90"/>
    </row>
    <row r="195">
      <c r="A195" s="104"/>
      <c r="B195" s="101">
        <v>190.0</v>
      </c>
      <c r="C195" s="79" t="str">
        <f>ENTRY!B189</f>
        <v>SILVERBEES</v>
      </c>
      <c r="D195" s="80">
        <f>CAPITAL!$C$2</f>
        <v>3350000</v>
      </c>
      <c r="E195" s="81" t="str">
        <f>ENTRY!C189</f>
        <v/>
      </c>
      <c r="F195" s="82" t="str">
        <f>ENTRY!D189</f>
        <v/>
      </c>
      <c r="G195" s="83" t="str">
        <f>ENTRY!E189</f>
        <v/>
      </c>
      <c r="H195" s="84">
        <f>G195*ENTRY!$O189</f>
        <v>0</v>
      </c>
      <c r="I195" s="84">
        <f>G195*ENTRY!$P189</f>
        <v>0</v>
      </c>
      <c r="J195" s="84">
        <f>G195*ENTRY!$Q189</f>
        <v>0</v>
      </c>
      <c r="K195" s="82">
        <f t="shared" si="2"/>
        <v>0</v>
      </c>
      <c r="L195" s="82" t="str">
        <f>ENTRY!F189</f>
        <v/>
      </c>
      <c r="M195" s="81" t="str">
        <f>ENTRY!G189</f>
        <v/>
      </c>
      <c r="N195" s="85" t="str">
        <f t="shared" si="3"/>
        <v/>
      </c>
      <c r="O195" s="86">
        <f t="shared" si="4"/>
        <v>0</v>
      </c>
      <c r="P195" s="86">
        <f t="shared" si="5"/>
        <v>0</v>
      </c>
      <c r="Q195" s="86">
        <f t="shared" si="6"/>
        <v>0</v>
      </c>
      <c r="R195" s="86">
        <f t="shared" si="7"/>
        <v>0</v>
      </c>
      <c r="S195" s="87" t="str">
        <f t="shared" ref="S195:V195" si="195">IFERROR(O195-Y195,"")
</f>
        <v/>
      </c>
      <c r="T195" s="87">
        <f t="shared" si="195"/>
        <v>0</v>
      </c>
      <c r="U195" s="87">
        <f t="shared" si="195"/>
        <v>0</v>
      </c>
      <c r="V195" s="87">
        <f t="shared" si="195"/>
        <v>0</v>
      </c>
      <c r="W195" s="88" t="str">
        <f t="shared" si="9"/>
        <v/>
      </c>
      <c r="X195" s="89">
        <f>IFERROR(S195/D195,"")</f>
        <v>0</v>
      </c>
      <c r="Y195" s="90" t="str">
        <f t="shared" si="10"/>
        <v>ERR</v>
      </c>
      <c r="Z195" s="90">
        <f>IF(H195=0,0,CAPITAL!$H$5*Y195)
</f>
        <v>0</v>
      </c>
      <c r="AA195" s="90">
        <f>IF(I195=0,0,CAPITAL!$H$6*Y195)
</f>
        <v>0</v>
      </c>
      <c r="AB195" s="90">
        <f>IF(J195=0,0,CAPITAL!$H$7*Y195)
</f>
        <v>0</v>
      </c>
      <c r="AC195" s="90"/>
    </row>
    <row r="196">
      <c r="A196" s="104"/>
      <c r="B196" s="101">
        <v>191.0</v>
      </c>
      <c r="C196" s="18" t="str">
        <f>ENTRY!B190</f>
        <v>SILVERBEES</v>
      </c>
      <c r="D196" s="93">
        <f>CAPITAL!$C$2</f>
        <v>3350000</v>
      </c>
      <c r="E196" s="94" t="str">
        <f>ENTRY!C190</f>
        <v/>
      </c>
      <c r="F196" s="95" t="str">
        <f>ENTRY!D190</f>
        <v/>
      </c>
      <c r="G196" s="96" t="str">
        <f>ENTRY!E190</f>
        <v/>
      </c>
      <c r="H196" s="97">
        <f>G196*ENTRY!$O190</f>
        <v>0</v>
      </c>
      <c r="I196" s="97">
        <f>G196*ENTRY!$P190</f>
        <v>0</v>
      </c>
      <c r="J196" s="97">
        <f>G196*ENTRY!$Q190</f>
        <v>0</v>
      </c>
      <c r="K196" s="95">
        <f t="shared" si="2"/>
        <v>0</v>
      </c>
      <c r="L196" s="95" t="str">
        <f>ENTRY!F190</f>
        <v/>
      </c>
      <c r="M196" s="94" t="str">
        <f>ENTRY!G190</f>
        <v/>
      </c>
      <c r="N196" s="98" t="str">
        <f t="shared" si="3"/>
        <v/>
      </c>
      <c r="O196" s="99">
        <f t="shared" si="4"/>
        <v>0</v>
      </c>
      <c r="P196" s="99">
        <f t="shared" si="5"/>
        <v>0</v>
      </c>
      <c r="Q196" s="99">
        <f t="shared" si="6"/>
        <v>0</v>
      </c>
      <c r="R196" s="99">
        <f t="shared" si="7"/>
        <v>0</v>
      </c>
      <c r="S196" s="100" t="str">
        <f t="shared" ref="S196:V196" si="196">IFERROR(O196-Y196,"")
</f>
        <v/>
      </c>
      <c r="T196" s="100">
        <f t="shared" si="196"/>
        <v>0</v>
      </c>
      <c r="U196" s="100">
        <f t="shared" si="196"/>
        <v>0</v>
      </c>
      <c r="V196" s="100">
        <f t="shared" si="196"/>
        <v>0</v>
      </c>
      <c r="W196" s="88" t="str">
        <f t="shared" si="9"/>
        <v/>
      </c>
      <c r="X196" s="89">
        <f>S196/D196</f>
        <v>0</v>
      </c>
      <c r="Y196" s="90" t="str">
        <f t="shared" si="10"/>
        <v>ERR</v>
      </c>
      <c r="Z196" s="90">
        <f>IF(H196=0,0,CAPITAL!$H$5*Y196)
</f>
        <v>0</v>
      </c>
      <c r="AA196" s="90">
        <f>IF(I196=0,0,CAPITAL!$H$6*Y196)
</f>
        <v>0</v>
      </c>
      <c r="AB196" s="90">
        <f>IF(J196=0,0,CAPITAL!$H$7*Y196)
</f>
        <v>0</v>
      </c>
      <c r="AC196" s="90"/>
    </row>
    <row r="197">
      <c r="A197" s="104"/>
      <c r="B197" s="101">
        <v>192.0</v>
      </c>
      <c r="C197" s="79" t="str">
        <f>ENTRY!B191</f>
        <v>SILVERBEES</v>
      </c>
      <c r="D197" s="80">
        <f>CAPITAL!$C$2</f>
        <v>3350000</v>
      </c>
      <c r="E197" s="81" t="str">
        <f>ENTRY!C191</f>
        <v/>
      </c>
      <c r="F197" s="82" t="str">
        <f>ENTRY!D191</f>
        <v/>
      </c>
      <c r="G197" s="83" t="str">
        <f>ENTRY!E191</f>
        <v/>
      </c>
      <c r="H197" s="84">
        <f>G197*ENTRY!$O191</f>
        <v>0</v>
      </c>
      <c r="I197" s="84">
        <f>G197*ENTRY!$P191</f>
        <v>0</v>
      </c>
      <c r="J197" s="84">
        <f>G197*ENTRY!$Q191</f>
        <v>0</v>
      </c>
      <c r="K197" s="82">
        <f t="shared" si="2"/>
        <v>0</v>
      </c>
      <c r="L197" s="82" t="str">
        <f>ENTRY!F191</f>
        <v/>
      </c>
      <c r="M197" s="81" t="str">
        <f>ENTRY!G191</f>
        <v/>
      </c>
      <c r="N197" s="85" t="str">
        <f t="shared" si="3"/>
        <v/>
      </c>
      <c r="O197" s="86">
        <f t="shared" si="4"/>
        <v>0</v>
      </c>
      <c r="P197" s="86">
        <f t="shared" si="5"/>
        <v>0</v>
      </c>
      <c r="Q197" s="86">
        <f t="shared" si="6"/>
        <v>0</v>
      </c>
      <c r="R197" s="86">
        <f t="shared" si="7"/>
        <v>0</v>
      </c>
      <c r="S197" s="87" t="str">
        <f t="shared" ref="S197:V197" si="197">IFERROR(O197-Y197,"")
</f>
        <v/>
      </c>
      <c r="T197" s="87">
        <f t="shared" si="197"/>
        <v>0</v>
      </c>
      <c r="U197" s="87">
        <f t="shared" si="197"/>
        <v>0</v>
      </c>
      <c r="V197" s="87">
        <f t="shared" si="197"/>
        <v>0</v>
      </c>
      <c r="W197" s="88" t="str">
        <f t="shared" si="9"/>
        <v/>
      </c>
      <c r="X197" s="89">
        <f>IFERROR(S197/D197,"")</f>
        <v>0</v>
      </c>
      <c r="Y197" s="90" t="str">
        <f t="shared" si="10"/>
        <v>ERR</v>
      </c>
      <c r="Z197" s="90">
        <f>IF(H197=0,0,CAPITAL!$H$5*Y197)
</f>
        <v>0</v>
      </c>
      <c r="AA197" s="90">
        <f>IF(I197=0,0,CAPITAL!$H$6*Y197)
</f>
        <v>0</v>
      </c>
      <c r="AB197" s="90">
        <f>IF(J197=0,0,CAPITAL!$H$7*Y197)
</f>
        <v>0</v>
      </c>
      <c r="AC197" s="90"/>
    </row>
    <row r="198">
      <c r="A198" s="104"/>
      <c r="B198" s="101">
        <v>193.0</v>
      </c>
      <c r="C198" s="18" t="str">
        <f>ENTRY!B192</f>
        <v>SILVERBEES</v>
      </c>
      <c r="D198" s="93">
        <f>CAPITAL!$C$2</f>
        <v>3350000</v>
      </c>
      <c r="E198" s="94" t="str">
        <f>ENTRY!C192</f>
        <v/>
      </c>
      <c r="F198" s="95" t="str">
        <f>ENTRY!D192</f>
        <v/>
      </c>
      <c r="G198" s="96" t="str">
        <f>ENTRY!E192</f>
        <v/>
      </c>
      <c r="H198" s="97">
        <f>G198*ENTRY!$O192</f>
        <v>0</v>
      </c>
      <c r="I198" s="97">
        <f>G198*ENTRY!$P192</f>
        <v>0</v>
      </c>
      <c r="J198" s="97">
        <f>G198*ENTRY!$Q192</f>
        <v>0</v>
      </c>
      <c r="K198" s="95">
        <f t="shared" si="2"/>
        <v>0</v>
      </c>
      <c r="L198" s="95" t="str">
        <f>ENTRY!F192</f>
        <v/>
      </c>
      <c r="M198" s="94" t="str">
        <f>ENTRY!G192</f>
        <v/>
      </c>
      <c r="N198" s="98" t="str">
        <f t="shared" si="3"/>
        <v/>
      </c>
      <c r="O198" s="99">
        <f t="shared" si="4"/>
        <v>0</v>
      </c>
      <c r="P198" s="99">
        <f t="shared" si="5"/>
        <v>0</v>
      </c>
      <c r="Q198" s="99">
        <f t="shared" si="6"/>
        <v>0</v>
      </c>
      <c r="R198" s="99">
        <f t="shared" si="7"/>
        <v>0</v>
      </c>
      <c r="S198" s="100" t="str">
        <f t="shared" ref="S198:V198" si="198">IFERROR(O198-Y198,"")
</f>
        <v/>
      </c>
      <c r="T198" s="100">
        <f t="shared" si="198"/>
        <v>0</v>
      </c>
      <c r="U198" s="100">
        <f t="shared" si="198"/>
        <v>0</v>
      </c>
      <c r="V198" s="100">
        <f t="shared" si="198"/>
        <v>0</v>
      </c>
      <c r="W198" s="88" t="str">
        <f t="shared" si="9"/>
        <v/>
      </c>
      <c r="X198" s="89">
        <f>S198/D198</f>
        <v>0</v>
      </c>
      <c r="Y198" s="90" t="str">
        <f t="shared" si="10"/>
        <v>ERR</v>
      </c>
      <c r="Z198" s="90">
        <f>IF(H198=0,0,CAPITAL!$H$5*Y198)
</f>
        <v>0</v>
      </c>
      <c r="AA198" s="90">
        <f>IF(I198=0,0,CAPITAL!$H$6*Y198)
</f>
        <v>0</v>
      </c>
      <c r="AB198" s="90">
        <f>IF(J198=0,0,CAPITAL!$H$7*Y198)
</f>
        <v>0</v>
      </c>
      <c r="AC198" s="90"/>
    </row>
    <row r="199">
      <c r="A199" s="104"/>
      <c r="B199" s="101">
        <v>194.0</v>
      </c>
      <c r="C199" s="79" t="str">
        <f>ENTRY!B193</f>
        <v>SILVERBEES</v>
      </c>
      <c r="D199" s="80">
        <f>CAPITAL!$C$2</f>
        <v>3350000</v>
      </c>
      <c r="E199" s="81" t="str">
        <f>ENTRY!C193</f>
        <v/>
      </c>
      <c r="F199" s="82" t="str">
        <f>ENTRY!D193</f>
        <v/>
      </c>
      <c r="G199" s="83" t="str">
        <f>ENTRY!E193</f>
        <v/>
      </c>
      <c r="H199" s="84">
        <f>G199*ENTRY!$O193</f>
        <v>0</v>
      </c>
      <c r="I199" s="84">
        <f>G199*ENTRY!$P193</f>
        <v>0</v>
      </c>
      <c r="J199" s="84">
        <f>G199*ENTRY!$Q193</f>
        <v>0</v>
      </c>
      <c r="K199" s="82">
        <f t="shared" si="2"/>
        <v>0</v>
      </c>
      <c r="L199" s="82" t="str">
        <f>ENTRY!F193</f>
        <v/>
      </c>
      <c r="M199" s="81" t="str">
        <f>ENTRY!G193</f>
        <v/>
      </c>
      <c r="N199" s="85" t="str">
        <f t="shared" si="3"/>
        <v/>
      </c>
      <c r="O199" s="86">
        <f t="shared" si="4"/>
        <v>0</v>
      </c>
      <c r="P199" s="86">
        <f t="shared" si="5"/>
        <v>0</v>
      </c>
      <c r="Q199" s="86">
        <f t="shared" si="6"/>
        <v>0</v>
      </c>
      <c r="R199" s="86">
        <f t="shared" si="7"/>
        <v>0</v>
      </c>
      <c r="S199" s="87" t="str">
        <f t="shared" ref="S199:V199" si="199">IFERROR(O199-Y199,"")
</f>
        <v/>
      </c>
      <c r="T199" s="87">
        <f t="shared" si="199"/>
        <v>0</v>
      </c>
      <c r="U199" s="87">
        <f t="shared" si="199"/>
        <v>0</v>
      </c>
      <c r="V199" s="87">
        <f t="shared" si="199"/>
        <v>0</v>
      </c>
      <c r="W199" s="88" t="str">
        <f t="shared" si="9"/>
        <v/>
      </c>
      <c r="X199" s="89">
        <f>IFERROR(S199/D199,"")</f>
        <v>0</v>
      </c>
      <c r="Y199" s="90" t="str">
        <f t="shared" si="10"/>
        <v>ERR</v>
      </c>
      <c r="Z199" s="90">
        <f>IF(H199=0,0,CAPITAL!$H$5*Y199)
</f>
        <v>0</v>
      </c>
      <c r="AA199" s="90">
        <f>IF(I199=0,0,CAPITAL!$H$6*Y199)
</f>
        <v>0</v>
      </c>
      <c r="AB199" s="90">
        <f>IF(J199=0,0,CAPITAL!$H$7*Y199)
</f>
        <v>0</v>
      </c>
      <c r="AC199" s="90"/>
    </row>
    <row r="200">
      <c r="A200" s="104"/>
      <c r="B200" s="101">
        <v>195.0</v>
      </c>
      <c r="C200" s="18" t="str">
        <f>ENTRY!B194</f>
        <v>SILVERBEES</v>
      </c>
      <c r="D200" s="93">
        <f>CAPITAL!$C$2</f>
        <v>3350000</v>
      </c>
      <c r="E200" s="94" t="str">
        <f>ENTRY!C194</f>
        <v/>
      </c>
      <c r="F200" s="95" t="str">
        <f>ENTRY!D194</f>
        <v/>
      </c>
      <c r="G200" s="96" t="str">
        <f>ENTRY!E194</f>
        <v/>
      </c>
      <c r="H200" s="97">
        <f>G200*ENTRY!$O194</f>
        <v>0</v>
      </c>
      <c r="I200" s="97">
        <f>G200*ENTRY!$P194</f>
        <v>0</v>
      </c>
      <c r="J200" s="97">
        <f>G200*ENTRY!$Q194</f>
        <v>0</v>
      </c>
      <c r="K200" s="95">
        <f t="shared" si="2"/>
        <v>0</v>
      </c>
      <c r="L200" s="95" t="str">
        <f>ENTRY!F194</f>
        <v/>
      </c>
      <c r="M200" s="94" t="str">
        <f>ENTRY!G194</f>
        <v/>
      </c>
      <c r="N200" s="98" t="str">
        <f t="shared" si="3"/>
        <v/>
      </c>
      <c r="O200" s="99">
        <f t="shared" si="4"/>
        <v>0</v>
      </c>
      <c r="P200" s="99">
        <f t="shared" si="5"/>
        <v>0</v>
      </c>
      <c r="Q200" s="99">
        <f t="shared" si="6"/>
        <v>0</v>
      </c>
      <c r="R200" s="99">
        <f t="shared" si="7"/>
        <v>0</v>
      </c>
      <c r="S200" s="100" t="str">
        <f t="shared" ref="S200:V200" si="200">IFERROR(O200-Y200,"")
</f>
        <v/>
      </c>
      <c r="T200" s="100">
        <f t="shared" si="200"/>
        <v>0</v>
      </c>
      <c r="U200" s="100">
        <f t="shared" si="200"/>
        <v>0</v>
      </c>
      <c r="V200" s="100">
        <f t="shared" si="200"/>
        <v>0</v>
      </c>
      <c r="W200" s="88" t="str">
        <f t="shared" si="9"/>
        <v/>
      </c>
      <c r="X200" s="89">
        <f>S200/D200</f>
        <v>0</v>
      </c>
      <c r="Y200" s="90" t="str">
        <f t="shared" si="10"/>
        <v>ERR</v>
      </c>
      <c r="Z200" s="90">
        <f>IF(H200=0,0,CAPITAL!$H$5*Y200)
</f>
        <v>0</v>
      </c>
      <c r="AA200" s="90">
        <f>IF(I200=0,0,CAPITAL!$H$6*Y200)
</f>
        <v>0</v>
      </c>
      <c r="AB200" s="90">
        <f>IF(J200=0,0,CAPITAL!$H$7*Y200)
</f>
        <v>0</v>
      </c>
      <c r="AC200" s="90"/>
    </row>
    <row r="201">
      <c r="A201" s="104"/>
      <c r="B201" s="101">
        <v>196.0</v>
      </c>
      <c r="C201" s="79" t="str">
        <f>ENTRY!B195</f>
        <v>SILVERBEES</v>
      </c>
      <c r="D201" s="80">
        <f>CAPITAL!$C$2</f>
        <v>3350000</v>
      </c>
      <c r="E201" s="81" t="str">
        <f>ENTRY!C195</f>
        <v/>
      </c>
      <c r="F201" s="82" t="str">
        <f>ENTRY!D195</f>
        <v/>
      </c>
      <c r="G201" s="83" t="str">
        <f>ENTRY!E195</f>
        <v/>
      </c>
      <c r="H201" s="84">
        <f>G201*ENTRY!$O195</f>
        <v>0</v>
      </c>
      <c r="I201" s="84">
        <f>G201*ENTRY!$P195</f>
        <v>0</v>
      </c>
      <c r="J201" s="84">
        <f>G201*ENTRY!$Q195</f>
        <v>0</v>
      </c>
      <c r="K201" s="82">
        <f t="shared" si="2"/>
        <v>0</v>
      </c>
      <c r="L201" s="82" t="str">
        <f>ENTRY!F195</f>
        <v/>
      </c>
      <c r="M201" s="81" t="str">
        <f>ENTRY!G195</f>
        <v/>
      </c>
      <c r="N201" s="85" t="str">
        <f t="shared" si="3"/>
        <v/>
      </c>
      <c r="O201" s="86">
        <f t="shared" si="4"/>
        <v>0</v>
      </c>
      <c r="P201" s="86">
        <f t="shared" si="5"/>
        <v>0</v>
      </c>
      <c r="Q201" s="86">
        <f t="shared" si="6"/>
        <v>0</v>
      </c>
      <c r="R201" s="86">
        <f t="shared" si="7"/>
        <v>0</v>
      </c>
      <c r="S201" s="87" t="str">
        <f t="shared" ref="S201:V201" si="201">IFERROR(O201-Y201,"")
</f>
        <v/>
      </c>
      <c r="T201" s="87">
        <f t="shared" si="201"/>
        <v>0</v>
      </c>
      <c r="U201" s="87">
        <f t="shared" si="201"/>
        <v>0</v>
      </c>
      <c r="V201" s="87">
        <f t="shared" si="201"/>
        <v>0</v>
      </c>
      <c r="W201" s="88" t="str">
        <f t="shared" si="9"/>
        <v/>
      </c>
      <c r="X201" s="89">
        <f>IFERROR(S201/D201,"")</f>
        <v>0</v>
      </c>
      <c r="Y201" s="90" t="str">
        <f t="shared" si="10"/>
        <v>ERR</v>
      </c>
      <c r="Z201" s="90">
        <f>IF(H201=0,0,CAPITAL!$H$5*Y201)
</f>
        <v>0</v>
      </c>
      <c r="AA201" s="90">
        <f>IF(I201=0,0,CAPITAL!$H$6*Y201)
</f>
        <v>0</v>
      </c>
      <c r="AB201" s="90">
        <f>IF(J201=0,0,CAPITAL!$H$7*Y201)
</f>
        <v>0</v>
      </c>
      <c r="AC201" s="90"/>
    </row>
    <row r="202">
      <c r="A202" s="104"/>
      <c r="B202" s="101">
        <v>197.0</v>
      </c>
      <c r="C202" s="18" t="str">
        <f>ENTRY!B196</f>
        <v>SILVERBEES</v>
      </c>
      <c r="D202" s="93">
        <f>CAPITAL!$C$2</f>
        <v>3350000</v>
      </c>
      <c r="E202" s="94" t="str">
        <f>ENTRY!C196</f>
        <v/>
      </c>
      <c r="F202" s="95" t="str">
        <f>ENTRY!D196</f>
        <v/>
      </c>
      <c r="G202" s="96" t="str">
        <f>ENTRY!E196</f>
        <v/>
      </c>
      <c r="H202" s="97">
        <f>G202*ENTRY!$O196</f>
        <v>0</v>
      </c>
      <c r="I202" s="97">
        <f>G202*ENTRY!$P196</f>
        <v>0</v>
      </c>
      <c r="J202" s="97">
        <f>G202*ENTRY!$Q196</f>
        <v>0</v>
      </c>
      <c r="K202" s="95">
        <f t="shared" si="2"/>
        <v>0</v>
      </c>
      <c r="L202" s="95" t="str">
        <f>ENTRY!F196</f>
        <v/>
      </c>
      <c r="M202" s="94" t="str">
        <f>ENTRY!G196</f>
        <v/>
      </c>
      <c r="N202" s="98" t="str">
        <f t="shared" si="3"/>
        <v/>
      </c>
      <c r="O202" s="99">
        <f t="shared" si="4"/>
        <v>0</v>
      </c>
      <c r="P202" s="99">
        <f t="shared" si="5"/>
        <v>0</v>
      </c>
      <c r="Q202" s="99">
        <f t="shared" si="6"/>
        <v>0</v>
      </c>
      <c r="R202" s="99">
        <f t="shared" si="7"/>
        <v>0</v>
      </c>
      <c r="S202" s="100" t="str">
        <f t="shared" ref="S202:V202" si="202">IFERROR(O202-Y202,"")
</f>
        <v/>
      </c>
      <c r="T202" s="100">
        <f t="shared" si="202"/>
        <v>0</v>
      </c>
      <c r="U202" s="100">
        <f t="shared" si="202"/>
        <v>0</v>
      </c>
      <c r="V202" s="100">
        <f t="shared" si="202"/>
        <v>0</v>
      </c>
      <c r="W202" s="88" t="str">
        <f t="shared" si="9"/>
        <v/>
      </c>
      <c r="X202" s="89">
        <f>S202/D202</f>
        <v>0</v>
      </c>
      <c r="Y202" s="90" t="str">
        <f t="shared" si="10"/>
        <v>ERR</v>
      </c>
      <c r="Z202" s="90">
        <f>IF(H202=0,0,CAPITAL!$H$5*Y202)
</f>
        <v>0</v>
      </c>
      <c r="AA202" s="90">
        <f>IF(I202=0,0,CAPITAL!$H$6*Y202)
</f>
        <v>0</v>
      </c>
      <c r="AB202" s="90">
        <f>IF(J202=0,0,CAPITAL!$H$7*Y202)
</f>
        <v>0</v>
      </c>
      <c r="AC202" s="90"/>
    </row>
    <row r="203">
      <c r="A203" s="104"/>
      <c r="B203" s="101">
        <v>198.0</v>
      </c>
      <c r="C203" s="79" t="str">
        <f>ENTRY!B197</f>
        <v>SILVERBEES</v>
      </c>
      <c r="D203" s="80">
        <f>CAPITAL!$C$2</f>
        <v>3350000</v>
      </c>
      <c r="E203" s="81" t="str">
        <f>ENTRY!C197</f>
        <v/>
      </c>
      <c r="F203" s="82" t="str">
        <f>ENTRY!D197</f>
        <v/>
      </c>
      <c r="G203" s="83" t="str">
        <f>ENTRY!E197</f>
        <v/>
      </c>
      <c r="H203" s="84">
        <f>G203*ENTRY!$O197</f>
        <v>0</v>
      </c>
      <c r="I203" s="84">
        <f>G203*ENTRY!$P197</f>
        <v>0</v>
      </c>
      <c r="J203" s="84">
        <f>G203*ENTRY!$Q197</f>
        <v>0</v>
      </c>
      <c r="K203" s="82">
        <f t="shared" si="2"/>
        <v>0</v>
      </c>
      <c r="L203" s="82" t="str">
        <f>ENTRY!F197</f>
        <v/>
      </c>
      <c r="M203" s="81" t="str">
        <f>ENTRY!G197</f>
        <v/>
      </c>
      <c r="N203" s="85" t="str">
        <f t="shared" si="3"/>
        <v/>
      </c>
      <c r="O203" s="86">
        <f t="shared" si="4"/>
        <v>0</v>
      </c>
      <c r="P203" s="86">
        <f t="shared" si="5"/>
        <v>0</v>
      </c>
      <c r="Q203" s="86">
        <f t="shared" si="6"/>
        <v>0</v>
      </c>
      <c r="R203" s="86">
        <f t="shared" si="7"/>
        <v>0</v>
      </c>
      <c r="S203" s="87" t="str">
        <f t="shared" ref="S203:V203" si="203">IFERROR(O203-Y203,"")
</f>
        <v/>
      </c>
      <c r="T203" s="87">
        <f t="shared" si="203"/>
        <v>0</v>
      </c>
      <c r="U203" s="87">
        <f t="shared" si="203"/>
        <v>0</v>
      </c>
      <c r="V203" s="87">
        <f t="shared" si="203"/>
        <v>0</v>
      </c>
      <c r="W203" s="88" t="str">
        <f t="shared" si="9"/>
        <v/>
      </c>
      <c r="X203" s="89">
        <f>IFERROR(S203/D203,"")</f>
        <v>0</v>
      </c>
      <c r="Y203" s="90" t="str">
        <f t="shared" si="10"/>
        <v>ERR</v>
      </c>
      <c r="Z203" s="90">
        <f>IF(H203=0,0,CAPITAL!$H$5*Y203)
</f>
        <v>0</v>
      </c>
      <c r="AA203" s="90">
        <f>IF(I203=0,0,CAPITAL!$H$6*Y203)
</f>
        <v>0</v>
      </c>
      <c r="AB203" s="90">
        <f>IF(J203=0,0,CAPITAL!$H$7*Y203)
</f>
        <v>0</v>
      </c>
      <c r="AC203" s="90"/>
    </row>
    <row r="204">
      <c r="A204" s="104"/>
      <c r="B204" s="101">
        <v>199.0</v>
      </c>
      <c r="C204" s="18" t="str">
        <f>ENTRY!B198</f>
        <v>SILVERBEES</v>
      </c>
      <c r="D204" s="93">
        <f>CAPITAL!$C$2</f>
        <v>3350000</v>
      </c>
      <c r="E204" s="94" t="str">
        <f>ENTRY!C198</f>
        <v/>
      </c>
      <c r="F204" s="95" t="str">
        <f>ENTRY!D198</f>
        <v/>
      </c>
      <c r="G204" s="96" t="str">
        <f>ENTRY!E198</f>
        <v/>
      </c>
      <c r="H204" s="97">
        <f>G204*ENTRY!$O198</f>
        <v>0</v>
      </c>
      <c r="I204" s="97">
        <f>G204*ENTRY!$P198</f>
        <v>0</v>
      </c>
      <c r="J204" s="97">
        <f>G204*ENTRY!$Q198</f>
        <v>0</v>
      </c>
      <c r="K204" s="95">
        <f t="shared" si="2"/>
        <v>0</v>
      </c>
      <c r="L204" s="95" t="str">
        <f>ENTRY!F198</f>
        <v/>
      </c>
      <c r="M204" s="94" t="str">
        <f>ENTRY!G198</f>
        <v/>
      </c>
      <c r="N204" s="98" t="str">
        <f t="shared" si="3"/>
        <v/>
      </c>
      <c r="O204" s="99">
        <f t="shared" si="4"/>
        <v>0</v>
      </c>
      <c r="P204" s="99">
        <f t="shared" si="5"/>
        <v>0</v>
      </c>
      <c r="Q204" s="99">
        <f t="shared" si="6"/>
        <v>0</v>
      </c>
      <c r="R204" s="99">
        <f t="shared" si="7"/>
        <v>0</v>
      </c>
      <c r="S204" s="100" t="str">
        <f t="shared" ref="S204:V204" si="204">IFERROR(O204-Y204,"")
</f>
        <v/>
      </c>
      <c r="T204" s="100">
        <f t="shared" si="204"/>
        <v>0</v>
      </c>
      <c r="U204" s="100">
        <f t="shared" si="204"/>
        <v>0</v>
      </c>
      <c r="V204" s="100">
        <f t="shared" si="204"/>
        <v>0</v>
      </c>
      <c r="W204" s="88" t="str">
        <f t="shared" si="9"/>
        <v/>
      </c>
      <c r="X204" s="89">
        <f>S204/D204</f>
        <v>0</v>
      </c>
      <c r="Y204" s="90" t="str">
        <f t="shared" si="10"/>
        <v>ERR</v>
      </c>
      <c r="Z204" s="90">
        <f>IF(H204=0,0,CAPITAL!$H$5*Y204)
</f>
        <v>0</v>
      </c>
      <c r="AA204" s="90">
        <f>IF(I204=0,0,CAPITAL!$H$6*Y204)
</f>
        <v>0</v>
      </c>
      <c r="AB204" s="90">
        <f>IF(J204=0,0,CAPITAL!$H$7*Y204)
</f>
        <v>0</v>
      </c>
      <c r="AC204" s="90"/>
    </row>
    <row r="205">
      <c r="A205" s="104"/>
      <c r="B205" s="101">
        <v>200.0</v>
      </c>
      <c r="C205" s="79" t="str">
        <f>ENTRY!B199</f>
        <v>SILVERBEES</v>
      </c>
      <c r="D205" s="80">
        <f>CAPITAL!$C$2</f>
        <v>3350000</v>
      </c>
      <c r="E205" s="81" t="str">
        <f>ENTRY!C199</f>
        <v/>
      </c>
      <c r="F205" s="82" t="str">
        <f>ENTRY!D199</f>
        <v/>
      </c>
      <c r="G205" s="83" t="str">
        <f>ENTRY!E199</f>
        <v/>
      </c>
      <c r="H205" s="84">
        <f>G205*ENTRY!$O199</f>
        <v>0</v>
      </c>
      <c r="I205" s="84">
        <f>G205*ENTRY!$P199</f>
        <v>0</v>
      </c>
      <c r="J205" s="84">
        <f>G205*ENTRY!$Q199</f>
        <v>0</v>
      </c>
      <c r="K205" s="82">
        <f t="shared" si="2"/>
        <v>0</v>
      </c>
      <c r="L205" s="82" t="str">
        <f>ENTRY!F199</f>
        <v/>
      </c>
      <c r="M205" s="81" t="str">
        <f>ENTRY!G199</f>
        <v/>
      </c>
      <c r="N205" s="85" t="str">
        <f t="shared" si="3"/>
        <v/>
      </c>
      <c r="O205" s="86">
        <f t="shared" si="4"/>
        <v>0</v>
      </c>
      <c r="P205" s="86">
        <f t="shared" si="5"/>
        <v>0</v>
      </c>
      <c r="Q205" s="86">
        <f t="shared" si="6"/>
        <v>0</v>
      </c>
      <c r="R205" s="86">
        <f t="shared" si="7"/>
        <v>0</v>
      </c>
      <c r="S205" s="87" t="str">
        <f t="shared" ref="S205:V205" si="205">IFERROR(O205-Y205,"")
</f>
        <v/>
      </c>
      <c r="T205" s="87">
        <f t="shared" si="205"/>
        <v>0</v>
      </c>
      <c r="U205" s="87">
        <f t="shared" si="205"/>
        <v>0</v>
      </c>
      <c r="V205" s="87">
        <f t="shared" si="205"/>
        <v>0</v>
      </c>
      <c r="W205" s="88" t="str">
        <f t="shared" si="9"/>
        <v/>
      </c>
      <c r="X205" s="89">
        <f>IFERROR(S205/D205,"")</f>
        <v>0</v>
      </c>
      <c r="Y205" s="90" t="str">
        <f t="shared" si="10"/>
        <v>ERR</v>
      </c>
      <c r="Z205" s="90">
        <f>IF(H205=0,0,CAPITAL!$H$5*Y205)
</f>
        <v>0</v>
      </c>
      <c r="AA205" s="90">
        <f>IF(I205=0,0,CAPITAL!$H$6*Y205)
</f>
        <v>0</v>
      </c>
      <c r="AB205" s="90">
        <f>IF(J205=0,0,CAPITAL!$H$7*Y205)
</f>
        <v>0</v>
      </c>
      <c r="AC205" s="90"/>
    </row>
    <row r="206">
      <c r="A206" s="104"/>
      <c r="B206" s="101">
        <v>201.0</v>
      </c>
      <c r="C206" s="18" t="str">
        <f>ENTRY!B200</f>
        <v>SILVERBEES</v>
      </c>
      <c r="D206" s="93">
        <f>CAPITAL!$C$2</f>
        <v>3350000</v>
      </c>
      <c r="E206" s="94" t="str">
        <f>ENTRY!C200</f>
        <v/>
      </c>
      <c r="F206" s="95" t="str">
        <f>ENTRY!D200</f>
        <v/>
      </c>
      <c r="G206" s="96" t="str">
        <f>ENTRY!E200</f>
        <v/>
      </c>
      <c r="H206" s="97">
        <f>G206*ENTRY!$O200</f>
        <v>0</v>
      </c>
      <c r="I206" s="97">
        <f>G206*ENTRY!$P200</f>
        <v>0</v>
      </c>
      <c r="J206" s="97">
        <f>G206*ENTRY!$Q200</f>
        <v>0</v>
      </c>
      <c r="K206" s="95">
        <f t="shared" si="2"/>
        <v>0</v>
      </c>
      <c r="L206" s="95" t="str">
        <f>ENTRY!F200</f>
        <v/>
      </c>
      <c r="M206" s="94" t="str">
        <f>ENTRY!G200</f>
        <v/>
      </c>
      <c r="N206" s="98" t="str">
        <f t="shared" si="3"/>
        <v/>
      </c>
      <c r="O206" s="99">
        <f t="shared" si="4"/>
        <v>0</v>
      </c>
      <c r="P206" s="99">
        <f t="shared" si="5"/>
        <v>0</v>
      </c>
      <c r="Q206" s="99">
        <f t="shared" si="6"/>
        <v>0</v>
      </c>
      <c r="R206" s="99">
        <f t="shared" si="7"/>
        <v>0</v>
      </c>
      <c r="S206" s="100" t="str">
        <f t="shared" ref="S206:V206" si="206">IFERROR(O206-Y206,"")
</f>
        <v/>
      </c>
      <c r="T206" s="100">
        <f t="shared" si="206"/>
        <v>0</v>
      </c>
      <c r="U206" s="100">
        <f t="shared" si="206"/>
        <v>0</v>
      </c>
      <c r="V206" s="100">
        <f t="shared" si="206"/>
        <v>0</v>
      </c>
      <c r="W206" s="88" t="str">
        <f t="shared" si="9"/>
        <v/>
      </c>
      <c r="X206" s="89">
        <f>S206/D206</f>
        <v>0</v>
      </c>
      <c r="Y206" s="90" t="str">
        <f t="shared" si="10"/>
        <v>ERR</v>
      </c>
      <c r="Z206" s="90">
        <f>IF(H206=0,0,CAPITAL!$H$5*Y206)
</f>
        <v>0</v>
      </c>
      <c r="AA206" s="90">
        <f>IF(I206=0,0,CAPITAL!$H$6*Y206)
</f>
        <v>0</v>
      </c>
      <c r="AB206" s="90">
        <f>IF(J206=0,0,CAPITAL!$H$7*Y206)
</f>
        <v>0</v>
      </c>
      <c r="AC206" s="90"/>
    </row>
    <row r="207">
      <c r="A207" s="104"/>
      <c r="B207" s="101">
        <v>202.0</v>
      </c>
      <c r="C207" s="79" t="str">
        <f>ENTRY!B201</f>
        <v>SILVERBEES</v>
      </c>
      <c r="D207" s="80">
        <f>CAPITAL!$C$2</f>
        <v>3350000</v>
      </c>
      <c r="E207" s="81" t="str">
        <f>ENTRY!C201</f>
        <v/>
      </c>
      <c r="F207" s="82" t="str">
        <f>ENTRY!D201</f>
        <v/>
      </c>
      <c r="G207" s="83" t="str">
        <f>ENTRY!E201</f>
        <v/>
      </c>
      <c r="H207" s="84">
        <f>G207*ENTRY!$O201</f>
        <v>0</v>
      </c>
      <c r="I207" s="84">
        <f>G207*ENTRY!$P201</f>
        <v>0</v>
      </c>
      <c r="J207" s="84">
        <f>G207*ENTRY!$Q201</f>
        <v>0</v>
      </c>
      <c r="K207" s="82">
        <f t="shared" si="2"/>
        <v>0</v>
      </c>
      <c r="L207" s="82" t="str">
        <f>ENTRY!F201</f>
        <v/>
      </c>
      <c r="M207" s="81" t="str">
        <f>ENTRY!G201</f>
        <v/>
      </c>
      <c r="N207" s="85" t="str">
        <f t="shared" si="3"/>
        <v/>
      </c>
      <c r="O207" s="86">
        <f t="shared" si="4"/>
        <v>0</v>
      </c>
      <c r="P207" s="86">
        <f t="shared" si="5"/>
        <v>0</v>
      </c>
      <c r="Q207" s="86">
        <f t="shared" si="6"/>
        <v>0</v>
      </c>
      <c r="R207" s="86">
        <f t="shared" si="7"/>
        <v>0</v>
      </c>
      <c r="S207" s="87" t="str">
        <f t="shared" ref="S207:V207" si="207">IFERROR(O207-Y207,"")
</f>
        <v/>
      </c>
      <c r="T207" s="87">
        <f t="shared" si="207"/>
        <v>0</v>
      </c>
      <c r="U207" s="87">
        <f t="shared" si="207"/>
        <v>0</v>
      </c>
      <c r="V207" s="87">
        <f t="shared" si="207"/>
        <v>0</v>
      </c>
      <c r="W207" s="88" t="str">
        <f t="shared" si="9"/>
        <v/>
      </c>
      <c r="X207" s="89">
        <f>IFERROR(S207/D207,"")</f>
        <v>0</v>
      </c>
      <c r="Y207" s="90" t="str">
        <f t="shared" si="10"/>
        <v>ERR</v>
      </c>
      <c r="Z207" s="90">
        <f>IF(H207=0,0,CAPITAL!$H$5*Y207)
</f>
        <v>0</v>
      </c>
      <c r="AA207" s="90">
        <f>IF(I207=0,0,CAPITAL!$H$6*Y207)
</f>
        <v>0</v>
      </c>
      <c r="AB207" s="90">
        <f>IF(J207=0,0,CAPITAL!$H$7*Y207)
</f>
        <v>0</v>
      </c>
      <c r="AC207" s="90"/>
    </row>
    <row r="208">
      <c r="A208" s="104"/>
      <c r="B208" s="101">
        <v>203.0</v>
      </c>
      <c r="C208" s="18" t="str">
        <f>ENTRY!B202</f>
        <v>SILVERBEES</v>
      </c>
      <c r="D208" s="93">
        <f>CAPITAL!$C$2</f>
        <v>3350000</v>
      </c>
      <c r="E208" s="94" t="str">
        <f>ENTRY!C202</f>
        <v/>
      </c>
      <c r="F208" s="95" t="str">
        <f>ENTRY!D202</f>
        <v/>
      </c>
      <c r="G208" s="96" t="str">
        <f>ENTRY!E202</f>
        <v/>
      </c>
      <c r="H208" s="97">
        <f>G208*ENTRY!$O202</f>
        <v>0</v>
      </c>
      <c r="I208" s="97">
        <f>G208*ENTRY!$P202</f>
        <v>0</v>
      </c>
      <c r="J208" s="97">
        <f>G208*ENTRY!$Q202</f>
        <v>0</v>
      </c>
      <c r="K208" s="95">
        <f t="shared" si="2"/>
        <v>0</v>
      </c>
      <c r="L208" s="95" t="str">
        <f>ENTRY!F202</f>
        <v/>
      </c>
      <c r="M208" s="94" t="str">
        <f>ENTRY!G202</f>
        <v/>
      </c>
      <c r="N208" s="98" t="str">
        <f t="shared" si="3"/>
        <v/>
      </c>
      <c r="O208" s="99">
        <f t="shared" si="4"/>
        <v>0</v>
      </c>
      <c r="P208" s="99">
        <f t="shared" si="5"/>
        <v>0</v>
      </c>
      <c r="Q208" s="99">
        <f t="shared" si="6"/>
        <v>0</v>
      </c>
      <c r="R208" s="99">
        <f t="shared" si="7"/>
        <v>0</v>
      </c>
      <c r="S208" s="100" t="str">
        <f t="shared" ref="S208:V208" si="208">IFERROR(O208-Y208,"")
</f>
        <v/>
      </c>
      <c r="T208" s="100">
        <f t="shared" si="208"/>
        <v>0</v>
      </c>
      <c r="U208" s="100">
        <f t="shared" si="208"/>
        <v>0</v>
      </c>
      <c r="V208" s="100">
        <f t="shared" si="208"/>
        <v>0</v>
      </c>
      <c r="W208" s="88" t="str">
        <f t="shared" si="9"/>
        <v/>
      </c>
      <c r="X208" s="89">
        <f>S208/D208</f>
        <v>0</v>
      </c>
      <c r="Y208" s="90" t="str">
        <f t="shared" si="10"/>
        <v>ERR</v>
      </c>
      <c r="Z208" s="90">
        <f>IF(H208=0,0,CAPITAL!$H$5*Y208)
</f>
        <v>0</v>
      </c>
      <c r="AA208" s="90">
        <f>IF(I208=0,0,CAPITAL!$H$6*Y208)
</f>
        <v>0</v>
      </c>
      <c r="AB208" s="90">
        <f>IF(J208=0,0,CAPITAL!$H$7*Y208)
</f>
        <v>0</v>
      </c>
      <c r="AC208" s="90"/>
    </row>
    <row r="209">
      <c r="A209" s="104"/>
      <c r="B209" s="101">
        <v>204.0</v>
      </c>
      <c r="C209" s="79" t="str">
        <f>ENTRY!B203</f>
        <v>SILVERBEES</v>
      </c>
      <c r="D209" s="80">
        <f>CAPITAL!$C$2</f>
        <v>3350000</v>
      </c>
      <c r="E209" s="81" t="str">
        <f>ENTRY!C203</f>
        <v/>
      </c>
      <c r="F209" s="82" t="str">
        <f>ENTRY!D203</f>
        <v/>
      </c>
      <c r="G209" s="83" t="str">
        <f>ENTRY!E203</f>
        <v/>
      </c>
      <c r="H209" s="84">
        <f>G209*ENTRY!$O203</f>
        <v>0</v>
      </c>
      <c r="I209" s="84">
        <f>G209*ENTRY!$P203</f>
        <v>0</v>
      </c>
      <c r="J209" s="84">
        <f>G209*ENTRY!$Q203</f>
        <v>0</v>
      </c>
      <c r="K209" s="82">
        <f t="shared" si="2"/>
        <v>0</v>
      </c>
      <c r="L209" s="82" t="str">
        <f>ENTRY!F203</f>
        <v/>
      </c>
      <c r="M209" s="81" t="str">
        <f>ENTRY!G203</f>
        <v/>
      </c>
      <c r="N209" s="85" t="str">
        <f t="shared" si="3"/>
        <v/>
      </c>
      <c r="O209" s="86">
        <f t="shared" si="4"/>
        <v>0</v>
      </c>
      <c r="P209" s="86">
        <f t="shared" si="5"/>
        <v>0</v>
      </c>
      <c r="Q209" s="86">
        <f t="shared" si="6"/>
        <v>0</v>
      </c>
      <c r="R209" s="86">
        <f t="shared" si="7"/>
        <v>0</v>
      </c>
      <c r="S209" s="87" t="str">
        <f t="shared" ref="S209:V209" si="209">IFERROR(O209-Y209,"")
</f>
        <v/>
      </c>
      <c r="T209" s="87">
        <f t="shared" si="209"/>
        <v>0</v>
      </c>
      <c r="U209" s="87">
        <f t="shared" si="209"/>
        <v>0</v>
      </c>
      <c r="V209" s="87">
        <f t="shared" si="209"/>
        <v>0</v>
      </c>
      <c r="W209" s="88" t="str">
        <f t="shared" si="9"/>
        <v/>
      </c>
      <c r="X209" s="89">
        <f>IFERROR(S209/D209,"")</f>
        <v>0</v>
      </c>
      <c r="Y209" s="90" t="str">
        <f t="shared" si="10"/>
        <v>ERR</v>
      </c>
      <c r="Z209" s="90">
        <f>IF(H209=0,0,CAPITAL!$H$5*Y209)
</f>
        <v>0</v>
      </c>
      <c r="AA209" s="90">
        <f>IF(I209=0,0,CAPITAL!$H$6*Y209)
</f>
        <v>0</v>
      </c>
      <c r="AB209" s="90">
        <f>IF(J209=0,0,CAPITAL!$H$7*Y209)
</f>
        <v>0</v>
      </c>
      <c r="AC209" s="90"/>
    </row>
    <row r="210">
      <c r="A210" s="104"/>
      <c r="B210" s="101">
        <v>205.0</v>
      </c>
      <c r="C210" s="18" t="str">
        <f>ENTRY!B204</f>
        <v>SILVERBEES</v>
      </c>
      <c r="D210" s="93">
        <f>CAPITAL!$C$2</f>
        <v>3350000</v>
      </c>
      <c r="E210" s="94" t="str">
        <f>ENTRY!C204</f>
        <v/>
      </c>
      <c r="F210" s="95" t="str">
        <f>ENTRY!D204</f>
        <v/>
      </c>
      <c r="G210" s="96" t="str">
        <f>ENTRY!E204</f>
        <v/>
      </c>
      <c r="H210" s="97">
        <f>G210*ENTRY!$O204</f>
        <v>0</v>
      </c>
      <c r="I210" s="97">
        <f>G210*ENTRY!$P204</f>
        <v>0</v>
      </c>
      <c r="J210" s="97">
        <f>G210*ENTRY!$Q204</f>
        <v>0</v>
      </c>
      <c r="K210" s="95">
        <f t="shared" si="2"/>
        <v>0</v>
      </c>
      <c r="L210" s="95" t="str">
        <f>ENTRY!F204</f>
        <v/>
      </c>
      <c r="M210" s="94" t="str">
        <f>ENTRY!G204</f>
        <v/>
      </c>
      <c r="N210" s="98" t="str">
        <f t="shared" si="3"/>
        <v/>
      </c>
      <c r="O210" s="99">
        <f t="shared" si="4"/>
        <v>0</v>
      </c>
      <c r="P210" s="99">
        <f t="shared" si="5"/>
        <v>0</v>
      </c>
      <c r="Q210" s="99">
        <f t="shared" si="6"/>
        <v>0</v>
      </c>
      <c r="R210" s="99">
        <f t="shared" si="7"/>
        <v>0</v>
      </c>
      <c r="S210" s="100" t="str">
        <f t="shared" ref="S210:V210" si="210">IFERROR(O210-Y210,"")
</f>
        <v/>
      </c>
      <c r="T210" s="100">
        <f t="shared" si="210"/>
        <v>0</v>
      </c>
      <c r="U210" s="100">
        <f t="shared" si="210"/>
        <v>0</v>
      </c>
      <c r="V210" s="100">
        <f t="shared" si="210"/>
        <v>0</v>
      </c>
      <c r="W210" s="88" t="str">
        <f t="shared" si="9"/>
        <v/>
      </c>
      <c r="X210" s="89">
        <f>S210/D210</f>
        <v>0</v>
      </c>
      <c r="Y210" s="90" t="str">
        <f t="shared" si="10"/>
        <v>ERR</v>
      </c>
      <c r="Z210" s="90">
        <f>IF(H210=0,0,CAPITAL!$H$5*Y210)
</f>
        <v>0</v>
      </c>
      <c r="AA210" s="90">
        <f>IF(I210=0,0,CAPITAL!$H$6*Y210)
</f>
        <v>0</v>
      </c>
      <c r="AB210" s="90">
        <f>IF(J210=0,0,CAPITAL!$H$7*Y210)
</f>
        <v>0</v>
      </c>
      <c r="AC210" s="90"/>
    </row>
    <row r="211">
      <c r="A211" s="104"/>
      <c r="B211" s="101">
        <v>206.0</v>
      </c>
      <c r="C211" s="79" t="str">
        <f>ENTRY!B205</f>
        <v>SILVERBEES</v>
      </c>
      <c r="D211" s="80">
        <f>CAPITAL!$C$2</f>
        <v>3350000</v>
      </c>
      <c r="E211" s="81" t="str">
        <f>ENTRY!C205</f>
        <v/>
      </c>
      <c r="F211" s="82" t="str">
        <f>ENTRY!D205</f>
        <v/>
      </c>
      <c r="G211" s="83" t="str">
        <f>ENTRY!E205</f>
        <v/>
      </c>
      <c r="H211" s="84">
        <f>G211*ENTRY!$O205</f>
        <v>0</v>
      </c>
      <c r="I211" s="84">
        <f>G211*ENTRY!$P205</f>
        <v>0</v>
      </c>
      <c r="J211" s="84">
        <f>G211*ENTRY!$Q205</f>
        <v>0</v>
      </c>
      <c r="K211" s="82">
        <f t="shared" si="2"/>
        <v>0</v>
      </c>
      <c r="L211" s="82" t="str">
        <f>ENTRY!F205</f>
        <v/>
      </c>
      <c r="M211" s="81" t="str">
        <f>ENTRY!G205</f>
        <v/>
      </c>
      <c r="N211" s="85" t="str">
        <f t="shared" si="3"/>
        <v/>
      </c>
      <c r="O211" s="86">
        <f t="shared" si="4"/>
        <v>0</v>
      </c>
      <c r="P211" s="86">
        <f t="shared" si="5"/>
        <v>0</v>
      </c>
      <c r="Q211" s="86">
        <f t="shared" si="6"/>
        <v>0</v>
      </c>
      <c r="R211" s="86">
        <f t="shared" si="7"/>
        <v>0</v>
      </c>
      <c r="S211" s="87" t="str">
        <f t="shared" ref="S211:V211" si="211">IFERROR(O211-Y211,"")
</f>
        <v/>
      </c>
      <c r="T211" s="87">
        <f t="shared" si="211"/>
        <v>0</v>
      </c>
      <c r="U211" s="87">
        <f t="shared" si="211"/>
        <v>0</v>
      </c>
      <c r="V211" s="87">
        <f t="shared" si="211"/>
        <v>0</v>
      </c>
      <c r="W211" s="88" t="str">
        <f t="shared" si="9"/>
        <v/>
      </c>
      <c r="X211" s="89">
        <f>IFERROR(S211/D211,"")</f>
        <v>0</v>
      </c>
      <c r="Y211" s="90" t="str">
        <f t="shared" si="10"/>
        <v>ERR</v>
      </c>
      <c r="Z211" s="90">
        <f>IF(H211=0,0,CAPITAL!$H$5*Y211)
</f>
        <v>0</v>
      </c>
      <c r="AA211" s="90">
        <f>IF(I211=0,0,CAPITAL!$H$6*Y211)
</f>
        <v>0</v>
      </c>
      <c r="AB211" s="90">
        <f>IF(J211=0,0,CAPITAL!$H$7*Y211)
</f>
        <v>0</v>
      </c>
      <c r="AC211" s="90"/>
    </row>
    <row r="212">
      <c r="A212" s="104"/>
      <c r="B212" s="101">
        <v>207.0</v>
      </c>
      <c r="C212" s="18" t="str">
        <f>ENTRY!B206</f>
        <v>SILVERBEES</v>
      </c>
      <c r="D212" s="93">
        <f>CAPITAL!$C$2</f>
        <v>3350000</v>
      </c>
      <c r="E212" s="94" t="str">
        <f>ENTRY!C206</f>
        <v/>
      </c>
      <c r="F212" s="95" t="str">
        <f>ENTRY!D206</f>
        <v/>
      </c>
      <c r="G212" s="96" t="str">
        <f>ENTRY!E206</f>
        <v/>
      </c>
      <c r="H212" s="97">
        <f>G212*ENTRY!$O206</f>
        <v>0</v>
      </c>
      <c r="I212" s="97">
        <f>G212*ENTRY!$P206</f>
        <v>0</v>
      </c>
      <c r="J212" s="97">
        <f>G212*ENTRY!$Q206</f>
        <v>0</v>
      </c>
      <c r="K212" s="95">
        <f t="shared" si="2"/>
        <v>0</v>
      </c>
      <c r="L212" s="95" t="str">
        <f>ENTRY!F206</f>
        <v/>
      </c>
      <c r="M212" s="94" t="str">
        <f>ENTRY!G206</f>
        <v/>
      </c>
      <c r="N212" s="98" t="str">
        <f t="shared" si="3"/>
        <v/>
      </c>
      <c r="O212" s="99">
        <f t="shared" si="4"/>
        <v>0</v>
      </c>
      <c r="P212" s="99">
        <f t="shared" si="5"/>
        <v>0</v>
      </c>
      <c r="Q212" s="99">
        <f t="shared" si="6"/>
        <v>0</v>
      </c>
      <c r="R212" s="99">
        <f t="shared" si="7"/>
        <v>0</v>
      </c>
      <c r="S212" s="100" t="str">
        <f t="shared" ref="S212:V212" si="212">IFERROR(O212-Y212,"")
</f>
        <v/>
      </c>
      <c r="T212" s="100">
        <f t="shared" si="212"/>
        <v>0</v>
      </c>
      <c r="U212" s="100">
        <f t="shared" si="212"/>
        <v>0</v>
      </c>
      <c r="V212" s="100">
        <f t="shared" si="212"/>
        <v>0</v>
      </c>
      <c r="W212" s="88" t="str">
        <f t="shared" si="9"/>
        <v/>
      </c>
      <c r="X212" s="89">
        <f>S212/D212</f>
        <v>0</v>
      </c>
      <c r="Y212" s="90" t="str">
        <f t="shared" si="10"/>
        <v>ERR</v>
      </c>
      <c r="Z212" s="90">
        <f>IF(H212=0,0,CAPITAL!$H$5*Y212)
</f>
        <v>0</v>
      </c>
      <c r="AA212" s="90">
        <f>IF(I212=0,0,CAPITAL!$H$6*Y212)
</f>
        <v>0</v>
      </c>
      <c r="AB212" s="90">
        <f>IF(J212=0,0,CAPITAL!$H$7*Y212)
</f>
        <v>0</v>
      </c>
      <c r="AC212" s="90"/>
    </row>
    <row r="213">
      <c r="A213" s="104"/>
      <c r="B213" s="101">
        <v>208.0</v>
      </c>
      <c r="C213" s="79" t="str">
        <f>ENTRY!B207</f>
        <v>SILVERBEES</v>
      </c>
      <c r="D213" s="80">
        <f>CAPITAL!$C$2</f>
        <v>3350000</v>
      </c>
      <c r="E213" s="81" t="str">
        <f>ENTRY!C207</f>
        <v/>
      </c>
      <c r="F213" s="82" t="str">
        <f>ENTRY!D207</f>
        <v/>
      </c>
      <c r="G213" s="83" t="str">
        <f>ENTRY!E207</f>
        <v/>
      </c>
      <c r="H213" s="84">
        <f>G213*ENTRY!$O207</f>
        <v>0</v>
      </c>
      <c r="I213" s="84">
        <f>G213*ENTRY!$P207</f>
        <v>0</v>
      </c>
      <c r="J213" s="84">
        <f>G213*ENTRY!$Q207</f>
        <v>0</v>
      </c>
      <c r="K213" s="82">
        <f t="shared" si="2"/>
        <v>0</v>
      </c>
      <c r="L213" s="82" t="str">
        <f>ENTRY!F207</f>
        <v/>
      </c>
      <c r="M213" s="81" t="str">
        <f>ENTRY!G207</f>
        <v/>
      </c>
      <c r="N213" s="85" t="str">
        <f t="shared" si="3"/>
        <v/>
      </c>
      <c r="O213" s="86">
        <f t="shared" si="4"/>
        <v>0</v>
      </c>
      <c r="P213" s="86">
        <f t="shared" si="5"/>
        <v>0</v>
      </c>
      <c r="Q213" s="86">
        <f t="shared" si="6"/>
        <v>0</v>
      </c>
      <c r="R213" s="86">
        <f t="shared" si="7"/>
        <v>0</v>
      </c>
      <c r="S213" s="87" t="str">
        <f t="shared" ref="S213:V213" si="213">IFERROR(O213-Y213,"")
</f>
        <v/>
      </c>
      <c r="T213" s="87">
        <f t="shared" si="213"/>
        <v>0</v>
      </c>
      <c r="U213" s="87">
        <f t="shared" si="213"/>
        <v>0</v>
      </c>
      <c r="V213" s="87">
        <f t="shared" si="213"/>
        <v>0</v>
      </c>
      <c r="W213" s="88" t="str">
        <f t="shared" si="9"/>
        <v/>
      </c>
      <c r="X213" s="89">
        <f>IFERROR(S213/D213,"")</f>
        <v>0</v>
      </c>
      <c r="Y213" s="90" t="str">
        <f t="shared" si="10"/>
        <v>ERR</v>
      </c>
      <c r="Z213" s="90">
        <f>IF(H213=0,0,CAPITAL!$H$5*Y213)
</f>
        <v>0</v>
      </c>
      <c r="AA213" s="90">
        <f>IF(I213=0,0,CAPITAL!$H$6*Y213)
</f>
        <v>0</v>
      </c>
      <c r="AB213" s="90">
        <f>IF(J213=0,0,CAPITAL!$H$7*Y213)
</f>
        <v>0</v>
      </c>
      <c r="AC213" s="90"/>
    </row>
    <row r="214">
      <c r="A214" s="104"/>
      <c r="B214" s="101">
        <v>209.0</v>
      </c>
      <c r="C214" s="18" t="str">
        <f>ENTRY!B208</f>
        <v>SILVERBEES</v>
      </c>
      <c r="D214" s="93">
        <f>CAPITAL!$C$2</f>
        <v>3350000</v>
      </c>
      <c r="E214" s="94" t="str">
        <f>ENTRY!C208</f>
        <v/>
      </c>
      <c r="F214" s="95" t="str">
        <f>ENTRY!D208</f>
        <v/>
      </c>
      <c r="G214" s="96" t="str">
        <f>ENTRY!E208</f>
        <v/>
      </c>
      <c r="H214" s="97">
        <f>G214*ENTRY!$O208</f>
        <v>0</v>
      </c>
      <c r="I214" s="97">
        <f>G214*ENTRY!$P208</f>
        <v>0</v>
      </c>
      <c r="J214" s="97">
        <f>G214*ENTRY!$Q208</f>
        <v>0</v>
      </c>
      <c r="K214" s="95">
        <f t="shared" si="2"/>
        <v>0</v>
      </c>
      <c r="L214" s="95" t="str">
        <f>ENTRY!F208</f>
        <v/>
      </c>
      <c r="M214" s="94" t="str">
        <f>ENTRY!G208</f>
        <v/>
      </c>
      <c r="N214" s="98" t="str">
        <f t="shared" si="3"/>
        <v/>
      </c>
      <c r="O214" s="99">
        <f t="shared" si="4"/>
        <v>0</v>
      </c>
      <c r="P214" s="99">
        <f t="shared" si="5"/>
        <v>0</v>
      </c>
      <c r="Q214" s="99">
        <f t="shared" si="6"/>
        <v>0</v>
      </c>
      <c r="R214" s="99">
        <f t="shared" si="7"/>
        <v>0</v>
      </c>
      <c r="S214" s="100" t="str">
        <f t="shared" ref="S214:V214" si="214">IFERROR(O214-Y214,"")
</f>
        <v/>
      </c>
      <c r="T214" s="100">
        <f t="shared" si="214"/>
        <v>0</v>
      </c>
      <c r="U214" s="100">
        <f t="shared" si="214"/>
        <v>0</v>
      </c>
      <c r="V214" s="100">
        <f t="shared" si="214"/>
        <v>0</v>
      </c>
      <c r="W214" s="88" t="str">
        <f t="shared" si="9"/>
        <v/>
      </c>
      <c r="X214" s="89">
        <f>S214/D214</f>
        <v>0</v>
      </c>
      <c r="Y214" s="90" t="str">
        <f t="shared" si="10"/>
        <v>ERR</v>
      </c>
      <c r="Z214" s="90">
        <f>IF(H214=0,0,CAPITAL!$H$5*Y214)
</f>
        <v>0</v>
      </c>
      <c r="AA214" s="90">
        <f>IF(I214=0,0,CAPITAL!$H$6*Y214)
</f>
        <v>0</v>
      </c>
      <c r="AB214" s="90">
        <f>IF(J214=0,0,CAPITAL!$H$7*Y214)
</f>
        <v>0</v>
      </c>
      <c r="AC214" s="90"/>
    </row>
    <row r="215">
      <c r="A215" s="104"/>
      <c r="B215" s="101">
        <v>210.0</v>
      </c>
      <c r="C215" s="79" t="str">
        <f>ENTRY!B209</f>
        <v>SILVERBEES</v>
      </c>
      <c r="D215" s="80">
        <f>CAPITAL!$C$2</f>
        <v>3350000</v>
      </c>
      <c r="E215" s="81" t="str">
        <f>ENTRY!C209</f>
        <v/>
      </c>
      <c r="F215" s="82" t="str">
        <f>ENTRY!D209</f>
        <v/>
      </c>
      <c r="G215" s="83" t="str">
        <f>ENTRY!E209</f>
        <v/>
      </c>
      <c r="H215" s="84">
        <f>G215*ENTRY!$O209</f>
        <v>0</v>
      </c>
      <c r="I215" s="84">
        <f>G215*ENTRY!$P209</f>
        <v>0</v>
      </c>
      <c r="J215" s="84">
        <f>G215*ENTRY!$Q209</f>
        <v>0</v>
      </c>
      <c r="K215" s="82">
        <f t="shared" si="2"/>
        <v>0</v>
      </c>
      <c r="L215" s="82" t="str">
        <f>ENTRY!F209</f>
        <v/>
      </c>
      <c r="M215" s="81" t="str">
        <f>ENTRY!G209</f>
        <v/>
      </c>
      <c r="N215" s="85" t="str">
        <f t="shared" si="3"/>
        <v/>
      </c>
      <c r="O215" s="86">
        <f t="shared" si="4"/>
        <v>0</v>
      </c>
      <c r="P215" s="86">
        <f t="shared" si="5"/>
        <v>0</v>
      </c>
      <c r="Q215" s="86">
        <f t="shared" si="6"/>
        <v>0</v>
      </c>
      <c r="R215" s="86">
        <f t="shared" si="7"/>
        <v>0</v>
      </c>
      <c r="S215" s="87" t="str">
        <f t="shared" ref="S215:V215" si="215">IFERROR(O215-Y215,"")
</f>
        <v/>
      </c>
      <c r="T215" s="87">
        <f t="shared" si="215"/>
        <v>0</v>
      </c>
      <c r="U215" s="87">
        <f t="shared" si="215"/>
        <v>0</v>
      </c>
      <c r="V215" s="87">
        <f t="shared" si="215"/>
        <v>0</v>
      </c>
      <c r="W215" s="88" t="str">
        <f t="shared" si="9"/>
        <v/>
      </c>
      <c r="X215" s="89">
        <f>IFERROR(S215/D215,"")</f>
        <v>0</v>
      </c>
      <c r="Y215" s="90" t="str">
        <f t="shared" si="10"/>
        <v>ERR</v>
      </c>
      <c r="Z215" s="90">
        <f>IF(H215=0,0,CAPITAL!$H$5*Y215)
</f>
        <v>0</v>
      </c>
      <c r="AA215" s="90">
        <f>IF(I215=0,0,CAPITAL!$H$6*Y215)
</f>
        <v>0</v>
      </c>
      <c r="AB215" s="90">
        <f>IF(J215=0,0,CAPITAL!$H$7*Y215)
</f>
        <v>0</v>
      </c>
      <c r="AC215" s="90"/>
    </row>
    <row r="216">
      <c r="A216" s="104"/>
      <c r="B216" s="101">
        <v>211.0</v>
      </c>
      <c r="C216" s="18" t="str">
        <f>ENTRY!B210</f>
        <v>SILVERBEES</v>
      </c>
      <c r="D216" s="93">
        <f>CAPITAL!$C$2</f>
        <v>3350000</v>
      </c>
      <c r="E216" s="94" t="str">
        <f>ENTRY!C210</f>
        <v/>
      </c>
      <c r="F216" s="95" t="str">
        <f>ENTRY!D210</f>
        <v/>
      </c>
      <c r="G216" s="96" t="str">
        <f>ENTRY!E210</f>
        <v/>
      </c>
      <c r="H216" s="97">
        <f>G216*ENTRY!$O210</f>
        <v>0</v>
      </c>
      <c r="I216" s="97">
        <f>G216*ENTRY!$P210</f>
        <v>0</v>
      </c>
      <c r="J216" s="97">
        <f>G216*ENTRY!$Q210</f>
        <v>0</v>
      </c>
      <c r="K216" s="95">
        <f t="shared" si="2"/>
        <v>0</v>
      </c>
      <c r="L216" s="95" t="str">
        <f>ENTRY!F210</f>
        <v/>
      </c>
      <c r="M216" s="94" t="str">
        <f>ENTRY!G210</f>
        <v/>
      </c>
      <c r="N216" s="98" t="str">
        <f t="shared" si="3"/>
        <v/>
      </c>
      <c r="O216" s="99">
        <f t="shared" si="4"/>
        <v>0</v>
      </c>
      <c r="P216" s="99">
        <f t="shared" si="5"/>
        <v>0</v>
      </c>
      <c r="Q216" s="99">
        <f t="shared" si="6"/>
        <v>0</v>
      </c>
      <c r="R216" s="99">
        <f t="shared" si="7"/>
        <v>0</v>
      </c>
      <c r="S216" s="100" t="str">
        <f t="shared" ref="S216:V216" si="216">IFERROR(O216-Y216,"")
</f>
        <v/>
      </c>
      <c r="T216" s="100">
        <f t="shared" si="216"/>
        <v>0</v>
      </c>
      <c r="U216" s="100">
        <f t="shared" si="216"/>
        <v>0</v>
      </c>
      <c r="V216" s="100">
        <f t="shared" si="216"/>
        <v>0</v>
      </c>
      <c r="W216" s="88" t="str">
        <f t="shared" si="9"/>
        <v/>
      </c>
      <c r="X216" s="89">
        <f>S216/D216</f>
        <v>0</v>
      </c>
      <c r="Y216" s="90" t="str">
        <f t="shared" si="10"/>
        <v>ERR</v>
      </c>
      <c r="Z216" s="90">
        <f>IF(H216=0,0,CAPITAL!$H$5*Y216)
</f>
        <v>0</v>
      </c>
      <c r="AA216" s="90">
        <f>IF(I216=0,0,CAPITAL!$H$6*Y216)
</f>
        <v>0</v>
      </c>
      <c r="AB216" s="90">
        <f>IF(J216=0,0,CAPITAL!$H$7*Y216)
</f>
        <v>0</v>
      </c>
      <c r="AC216" s="90"/>
    </row>
    <row r="217">
      <c r="A217" s="104"/>
      <c r="B217" s="101">
        <v>212.0</v>
      </c>
      <c r="C217" s="79" t="str">
        <f>ENTRY!B211</f>
        <v>SILVERBEES</v>
      </c>
      <c r="D217" s="80">
        <f>CAPITAL!$C$2</f>
        <v>3350000</v>
      </c>
      <c r="E217" s="81" t="str">
        <f>ENTRY!C211</f>
        <v/>
      </c>
      <c r="F217" s="82" t="str">
        <f>ENTRY!D211</f>
        <v/>
      </c>
      <c r="G217" s="83" t="str">
        <f>ENTRY!E211</f>
        <v/>
      </c>
      <c r="H217" s="84">
        <f>G217*ENTRY!$O211</f>
        <v>0</v>
      </c>
      <c r="I217" s="84">
        <f>G217*ENTRY!$P211</f>
        <v>0</v>
      </c>
      <c r="J217" s="84">
        <f>G217*ENTRY!$Q211</f>
        <v>0</v>
      </c>
      <c r="K217" s="82">
        <f t="shared" si="2"/>
        <v>0</v>
      </c>
      <c r="L217" s="82" t="str">
        <f>ENTRY!F211</f>
        <v/>
      </c>
      <c r="M217" s="81" t="str">
        <f>ENTRY!G211</f>
        <v/>
      </c>
      <c r="N217" s="85" t="str">
        <f t="shared" si="3"/>
        <v/>
      </c>
      <c r="O217" s="86">
        <f t="shared" si="4"/>
        <v>0</v>
      </c>
      <c r="P217" s="86">
        <f t="shared" si="5"/>
        <v>0</v>
      </c>
      <c r="Q217" s="86">
        <f t="shared" si="6"/>
        <v>0</v>
      </c>
      <c r="R217" s="86">
        <f t="shared" si="7"/>
        <v>0</v>
      </c>
      <c r="S217" s="87" t="str">
        <f t="shared" ref="S217:V217" si="217">IFERROR(O217-Y217,"")
</f>
        <v/>
      </c>
      <c r="T217" s="87">
        <f t="shared" si="217"/>
        <v>0</v>
      </c>
      <c r="U217" s="87">
        <f t="shared" si="217"/>
        <v>0</v>
      </c>
      <c r="V217" s="87">
        <f t="shared" si="217"/>
        <v>0</v>
      </c>
      <c r="W217" s="88" t="str">
        <f t="shared" si="9"/>
        <v/>
      </c>
      <c r="X217" s="89">
        <f>IFERROR(S217/D217,"")</f>
        <v>0</v>
      </c>
      <c r="Y217" s="90" t="str">
        <f t="shared" si="10"/>
        <v>ERR</v>
      </c>
      <c r="Z217" s="90">
        <f>IF(H217=0,0,CAPITAL!$H$5*Y217)
</f>
        <v>0</v>
      </c>
      <c r="AA217" s="90">
        <f>IF(I217=0,0,CAPITAL!$H$6*Y217)
</f>
        <v>0</v>
      </c>
      <c r="AB217" s="90">
        <f>IF(J217=0,0,CAPITAL!$H$7*Y217)
</f>
        <v>0</v>
      </c>
      <c r="AC217" s="90"/>
    </row>
    <row r="218">
      <c r="A218" s="104"/>
      <c r="B218" s="101">
        <v>213.0</v>
      </c>
      <c r="C218" s="18" t="str">
        <f>ENTRY!B212</f>
        <v>SILVERBEES</v>
      </c>
      <c r="D218" s="93">
        <f>CAPITAL!$C$2</f>
        <v>3350000</v>
      </c>
      <c r="E218" s="94" t="str">
        <f>ENTRY!C212</f>
        <v/>
      </c>
      <c r="F218" s="95" t="str">
        <f>ENTRY!D212</f>
        <v/>
      </c>
      <c r="G218" s="96" t="str">
        <f>ENTRY!E212</f>
        <v/>
      </c>
      <c r="H218" s="97">
        <f>G218*ENTRY!$O212</f>
        <v>0</v>
      </c>
      <c r="I218" s="97">
        <f>G218*ENTRY!$P212</f>
        <v>0</v>
      </c>
      <c r="J218" s="97">
        <f>G218*ENTRY!$Q212</f>
        <v>0</v>
      </c>
      <c r="K218" s="95">
        <f t="shared" si="2"/>
        <v>0</v>
      </c>
      <c r="L218" s="95" t="str">
        <f>ENTRY!F212</f>
        <v/>
      </c>
      <c r="M218" s="94" t="str">
        <f>ENTRY!G212</f>
        <v/>
      </c>
      <c r="N218" s="98" t="str">
        <f t="shared" si="3"/>
        <v/>
      </c>
      <c r="O218" s="99">
        <f t="shared" si="4"/>
        <v>0</v>
      </c>
      <c r="P218" s="99">
        <f t="shared" si="5"/>
        <v>0</v>
      </c>
      <c r="Q218" s="99">
        <f t="shared" si="6"/>
        <v>0</v>
      </c>
      <c r="R218" s="99">
        <f t="shared" si="7"/>
        <v>0</v>
      </c>
      <c r="S218" s="100" t="str">
        <f t="shared" ref="S218:V218" si="218">IFERROR(O218-Y218,"")
</f>
        <v/>
      </c>
      <c r="T218" s="100">
        <f t="shared" si="218"/>
        <v>0</v>
      </c>
      <c r="U218" s="100">
        <f t="shared" si="218"/>
        <v>0</v>
      </c>
      <c r="V218" s="100">
        <f t="shared" si="218"/>
        <v>0</v>
      </c>
      <c r="W218" s="88" t="str">
        <f t="shared" si="9"/>
        <v/>
      </c>
      <c r="X218" s="89">
        <f>S218/D218</f>
        <v>0</v>
      </c>
      <c r="Y218" s="90" t="str">
        <f t="shared" si="10"/>
        <v>ERR</v>
      </c>
      <c r="Z218" s="90">
        <f>IF(H218=0,0,CAPITAL!$H$5*Y218)
</f>
        <v>0</v>
      </c>
      <c r="AA218" s="90">
        <f>IF(I218=0,0,CAPITAL!$H$6*Y218)
</f>
        <v>0</v>
      </c>
      <c r="AB218" s="90">
        <f>IF(J218=0,0,CAPITAL!$H$7*Y218)
</f>
        <v>0</v>
      </c>
      <c r="AC218" s="90"/>
    </row>
    <row r="219">
      <c r="A219" s="104"/>
      <c r="B219" s="101">
        <v>214.0</v>
      </c>
      <c r="C219" s="79" t="str">
        <f>ENTRY!B213</f>
        <v>SILVERBEES</v>
      </c>
      <c r="D219" s="80">
        <f>CAPITAL!$C$2</f>
        <v>3350000</v>
      </c>
      <c r="E219" s="81" t="str">
        <f>ENTRY!C213</f>
        <v/>
      </c>
      <c r="F219" s="82" t="str">
        <f>ENTRY!D213</f>
        <v/>
      </c>
      <c r="G219" s="83" t="str">
        <f>ENTRY!E213</f>
        <v/>
      </c>
      <c r="H219" s="84">
        <f>G219*ENTRY!$O213</f>
        <v>0</v>
      </c>
      <c r="I219" s="84">
        <f>G219*ENTRY!$P213</f>
        <v>0</v>
      </c>
      <c r="J219" s="84">
        <f>G219*ENTRY!$Q213</f>
        <v>0</v>
      </c>
      <c r="K219" s="82">
        <f t="shared" si="2"/>
        <v>0</v>
      </c>
      <c r="L219" s="82" t="str">
        <f>ENTRY!F213</f>
        <v/>
      </c>
      <c r="M219" s="81" t="str">
        <f>ENTRY!G213</f>
        <v/>
      </c>
      <c r="N219" s="85" t="str">
        <f t="shared" si="3"/>
        <v/>
      </c>
      <c r="O219" s="86">
        <f t="shared" si="4"/>
        <v>0</v>
      </c>
      <c r="P219" s="86">
        <f t="shared" si="5"/>
        <v>0</v>
      </c>
      <c r="Q219" s="86">
        <f t="shared" si="6"/>
        <v>0</v>
      </c>
      <c r="R219" s="86">
        <f t="shared" si="7"/>
        <v>0</v>
      </c>
      <c r="S219" s="87" t="str">
        <f t="shared" ref="S219:V219" si="219">IFERROR(O219-Y219,"")
</f>
        <v/>
      </c>
      <c r="T219" s="87">
        <f t="shared" si="219"/>
        <v>0</v>
      </c>
      <c r="U219" s="87">
        <f t="shared" si="219"/>
        <v>0</v>
      </c>
      <c r="V219" s="87">
        <f t="shared" si="219"/>
        <v>0</v>
      </c>
      <c r="W219" s="88" t="str">
        <f t="shared" si="9"/>
        <v/>
      </c>
      <c r="X219" s="89">
        <f>IFERROR(S219/D219,"")</f>
        <v>0</v>
      </c>
      <c r="Y219" s="90" t="str">
        <f t="shared" si="10"/>
        <v>ERR</v>
      </c>
      <c r="Z219" s="90">
        <f>IF(H219=0,0,CAPITAL!$H$5*Y219)
</f>
        <v>0</v>
      </c>
      <c r="AA219" s="90">
        <f>IF(I219=0,0,CAPITAL!$H$6*Y219)
</f>
        <v>0</v>
      </c>
      <c r="AB219" s="90">
        <f>IF(J219=0,0,CAPITAL!$H$7*Y219)
</f>
        <v>0</v>
      </c>
      <c r="AC219" s="90"/>
    </row>
    <row r="220">
      <c r="A220" s="104"/>
      <c r="B220" s="101">
        <v>215.0</v>
      </c>
      <c r="C220" s="18" t="str">
        <f>ENTRY!B214</f>
        <v>SILVERBEES</v>
      </c>
      <c r="D220" s="93">
        <f>CAPITAL!$C$2</f>
        <v>3350000</v>
      </c>
      <c r="E220" s="94" t="str">
        <f>ENTRY!C214</f>
        <v/>
      </c>
      <c r="F220" s="95" t="str">
        <f>ENTRY!D214</f>
        <v/>
      </c>
      <c r="G220" s="96" t="str">
        <f>ENTRY!E214</f>
        <v/>
      </c>
      <c r="H220" s="97">
        <f>G220*ENTRY!$O214</f>
        <v>0</v>
      </c>
      <c r="I220" s="97">
        <f>G220*ENTRY!$P214</f>
        <v>0</v>
      </c>
      <c r="J220" s="97">
        <f>G220*ENTRY!$Q214</f>
        <v>0</v>
      </c>
      <c r="K220" s="95">
        <f t="shared" si="2"/>
        <v>0</v>
      </c>
      <c r="L220" s="95" t="str">
        <f>ENTRY!F214</f>
        <v/>
      </c>
      <c r="M220" s="94" t="str">
        <f>ENTRY!G214</f>
        <v/>
      </c>
      <c r="N220" s="98" t="str">
        <f t="shared" si="3"/>
        <v/>
      </c>
      <c r="O220" s="99">
        <f t="shared" si="4"/>
        <v>0</v>
      </c>
      <c r="P220" s="99">
        <f t="shared" si="5"/>
        <v>0</v>
      </c>
      <c r="Q220" s="99">
        <f t="shared" si="6"/>
        <v>0</v>
      </c>
      <c r="R220" s="99">
        <f t="shared" si="7"/>
        <v>0</v>
      </c>
      <c r="S220" s="100" t="str">
        <f t="shared" ref="S220:V220" si="220">IFERROR(O220-Y220,"")
</f>
        <v/>
      </c>
      <c r="T220" s="100">
        <f t="shared" si="220"/>
        <v>0</v>
      </c>
      <c r="U220" s="100">
        <f t="shared" si="220"/>
        <v>0</v>
      </c>
      <c r="V220" s="100">
        <f t="shared" si="220"/>
        <v>0</v>
      </c>
      <c r="W220" s="88" t="str">
        <f t="shared" si="9"/>
        <v/>
      </c>
      <c r="X220" s="89">
        <f>S220/D220</f>
        <v>0</v>
      </c>
      <c r="Y220" s="90" t="str">
        <f t="shared" si="10"/>
        <v>ERR</v>
      </c>
      <c r="Z220" s="90">
        <f>IF(H220=0,0,CAPITAL!$H$5*Y220)
</f>
        <v>0</v>
      </c>
      <c r="AA220" s="90">
        <f>IF(I220=0,0,CAPITAL!$H$6*Y220)
</f>
        <v>0</v>
      </c>
      <c r="AB220" s="90">
        <f>IF(J220=0,0,CAPITAL!$H$7*Y220)
</f>
        <v>0</v>
      </c>
      <c r="AC220" s="90"/>
    </row>
    <row r="221">
      <c r="A221" s="104"/>
      <c r="B221" s="101">
        <v>216.0</v>
      </c>
      <c r="C221" s="79" t="str">
        <f>ENTRY!B215</f>
        <v>SILVERBEES</v>
      </c>
      <c r="D221" s="80">
        <f>CAPITAL!$C$2</f>
        <v>3350000</v>
      </c>
      <c r="E221" s="81" t="str">
        <f>ENTRY!C215</f>
        <v/>
      </c>
      <c r="F221" s="82" t="str">
        <f>ENTRY!D215</f>
        <v/>
      </c>
      <c r="G221" s="83" t="str">
        <f>ENTRY!E215</f>
        <v/>
      </c>
      <c r="H221" s="84">
        <f>G221*ENTRY!$O215</f>
        <v>0</v>
      </c>
      <c r="I221" s="84">
        <f>G221*ENTRY!$P215</f>
        <v>0</v>
      </c>
      <c r="J221" s="84">
        <f>G221*ENTRY!$Q215</f>
        <v>0</v>
      </c>
      <c r="K221" s="82">
        <f t="shared" si="2"/>
        <v>0</v>
      </c>
      <c r="L221" s="82" t="str">
        <f>ENTRY!F215</f>
        <v/>
      </c>
      <c r="M221" s="81" t="str">
        <f>ENTRY!G215</f>
        <v/>
      </c>
      <c r="N221" s="85" t="str">
        <f t="shared" si="3"/>
        <v/>
      </c>
      <c r="O221" s="86">
        <f t="shared" si="4"/>
        <v>0</v>
      </c>
      <c r="P221" s="86">
        <f t="shared" si="5"/>
        <v>0</v>
      </c>
      <c r="Q221" s="86">
        <f t="shared" si="6"/>
        <v>0</v>
      </c>
      <c r="R221" s="86">
        <f t="shared" si="7"/>
        <v>0</v>
      </c>
      <c r="S221" s="87" t="str">
        <f t="shared" ref="S221:V221" si="221">IFERROR(O221-Y221,"")
</f>
        <v/>
      </c>
      <c r="T221" s="87">
        <f t="shared" si="221"/>
        <v>0</v>
      </c>
      <c r="U221" s="87">
        <f t="shared" si="221"/>
        <v>0</v>
      </c>
      <c r="V221" s="87">
        <f t="shared" si="221"/>
        <v>0</v>
      </c>
      <c r="W221" s="88" t="str">
        <f t="shared" si="9"/>
        <v/>
      </c>
      <c r="X221" s="89">
        <f>IFERROR(S221/D221,"")</f>
        <v>0</v>
      </c>
      <c r="Y221" s="90" t="str">
        <f t="shared" si="10"/>
        <v>ERR</v>
      </c>
      <c r="Z221" s="90">
        <f>IF(H221=0,0,CAPITAL!$H$5*Y221)
</f>
        <v>0</v>
      </c>
      <c r="AA221" s="90">
        <f>IF(I221=0,0,CAPITAL!$H$6*Y221)
</f>
        <v>0</v>
      </c>
      <c r="AB221" s="90">
        <f>IF(J221=0,0,CAPITAL!$H$7*Y221)
</f>
        <v>0</v>
      </c>
      <c r="AC221" s="90"/>
    </row>
    <row r="222">
      <c r="A222" s="104"/>
      <c r="B222" s="101">
        <v>217.0</v>
      </c>
      <c r="C222" s="18" t="str">
        <f>ENTRY!B216</f>
        <v>SILVERBEES</v>
      </c>
      <c r="D222" s="93">
        <f>CAPITAL!$C$2</f>
        <v>3350000</v>
      </c>
      <c r="E222" s="94" t="str">
        <f>ENTRY!C216</f>
        <v/>
      </c>
      <c r="F222" s="95" t="str">
        <f>ENTRY!D216</f>
        <v/>
      </c>
      <c r="G222" s="96" t="str">
        <f>ENTRY!E216</f>
        <v/>
      </c>
      <c r="H222" s="97">
        <f>G222*ENTRY!$O216</f>
        <v>0</v>
      </c>
      <c r="I222" s="97">
        <f>G222*ENTRY!$P216</f>
        <v>0</v>
      </c>
      <c r="J222" s="97">
        <f>G222*ENTRY!$Q216</f>
        <v>0</v>
      </c>
      <c r="K222" s="95">
        <f t="shared" si="2"/>
        <v>0</v>
      </c>
      <c r="L222" s="95" t="str">
        <f>ENTRY!F216</f>
        <v/>
      </c>
      <c r="M222" s="94" t="str">
        <f>ENTRY!G216</f>
        <v/>
      </c>
      <c r="N222" s="98" t="str">
        <f t="shared" si="3"/>
        <v/>
      </c>
      <c r="O222" s="99">
        <f t="shared" si="4"/>
        <v>0</v>
      </c>
      <c r="P222" s="99">
        <f t="shared" si="5"/>
        <v>0</v>
      </c>
      <c r="Q222" s="99">
        <f t="shared" si="6"/>
        <v>0</v>
      </c>
      <c r="R222" s="99">
        <f t="shared" si="7"/>
        <v>0</v>
      </c>
      <c r="S222" s="100" t="str">
        <f t="shared" ref="S222:V222" si="222">IFERROR(O222-Y222,"")
</f>
        <v/>
      </c>
      <c r="T222" s="100">
        <f t="shared" si="222"/>
        <v>0</v>
      </c>
      <c r="U222" s="100">
        <f t="shared" si="222"/>
        <v>0</v>
      </c>
      <c r="V222" s="100">
        <f t="shared" si="222"/>
        <v>0</v>
      </c>
      <c r="W222" s="88" t="str">
        <f t="shared" si="9"/>
        <v/>
      </c>
      <c r="X222" s="89">
        <f>S222/D222</f>
        <v>0</v>
      </c>
      <c r="Y222" s="90" t="str">
        <f t="shared" si="10"/>
        <v>ERR</v>
      </c>
      <c r="Z222" s="90">
        <f>IF(H222=0,0,CAPITAL!$H$5*Y222)
</f>
        <v>0</v>
      </c>
      <c r="AA222" s="90">
        <f>IF(I222=0,0,CAPITAL!$H$6*Y222)
</f>
        <v>0</v>
      </c>
      <c r="AB222" s="90">
        <f>IF(J222=0,0,CAPITAL!$H$7*Y222)
</f>
        <v>0</v>
      </c>
      <c r="AC222" s="90"/>
    </row>
    <row r="223">
      <c r="A223" s="104"/>
      <c r="B223" s="101">
        <v>218.0</v>
      </c>
      <c r="C223" s="79" t="str">
        <f>ENTRY!B217</f>
        <v>SILVERBEES</v>
      </c>
      <c r="D223" s="80">
        <f>CAPITAL!$C$2</f>
        <v>3350000</v>
      </c>
      <c r="E223" s="81" t="str">
        <f>ENTRY!C217</f>
        <v/>
      </c>
      <c r="F223" s="82" t="str">
        <f>ENTRY!D217</f>
        <v/>
      </c>
      <c r="G223" s="83" t="str">
        <f>ENTRY!E217</f>
        <v/>
      </c>
      <c r="H223" s="84">
        <f>G223*ENTRY!$O217</f>
        <v>0</v>
      </c>
      <c r="I223" s="84">
        <f>G223*ENTRY!$P217</f>
        <v>0</v>
      </c>
      <c r="J223" s="84">
        <f>G223*ENTRY!$Q217</f>
        <v>0</v>
      </c>
      <c r="K223" s="82">
        <f t="shared" si="2"/>
        <v>0</v>
      </c>
      <c r="L223" s="82" t="str">
        <f>ENTRY!F217</f>
        <v/>
      </c>
      <c r="M223" s="81" t="str">
        <f>ENTRY!G217</f>
        <v/>
      </c>
      <c r="N223" s="85" t="str">
        <f t="shared" si="3"/>
        <v/>
      </c>
      <c r="O223" s="86">
        <f t="shared" si="4"/>
        <v>0</v>
      </c>
      <c r="P223" s="86">
        <f t="shared" si="5"/>
        <v>0</v>
      </c>
      <c r="Q223" s="86">
        <f t="shared" si="6"/>
        <v>0</v>
      </c>
      <c r="R223" s="86">
        <f t="shared" si="7"/>
        <v>0</v>
      </c>
      <c r="S223" s="87" t="str">
        <f t="shared" ref="S223:V223" si="223">IFERROR(O223-Y223,"")
</f>
        <v/>
      </c>
      <c r="T223" s="87">
        <f t="shared" si="223"/>
        <v>0</v>
      </c>
      <c r="U223" s="87">
        <f t="shared" si="223"/>
        <v>0</v>
      </c>
      <c r="V223" s="87">
        <f t="shared" si="223"/>
        <v>0</v>
      </c>
      <c r="W223" s="88" t="str">
        <f t="shared" si="9"/>
        <v/>
      </c>
      <c r="X223" s="89">
        <f>IFERROR(S223/D223,"")</f>
        <v>0</v>
      </c>
      <c r="Y223" s="90" t="str">
        <f t="shared" si="10"/>
        <v>ERR</v>
      </c>
      <c r="Z223" s="90">
        <f>IF(H223=0,0,CAPITAL!$H$5*Y223)
</f>
        <v>0</v>
      </c>
      <c r="AA223" s="90">
        <f>IF(I223=0,0,CAPITAL!$H$6*Y223)
</f>
        <v>0</v>
      </c>
      <c r="AB223" s="90">
        <f>IF(J223=0,0,CAPITAL!$H$7*Y223)
</f>
        <v>0</v>
      </c>
      <c r="AC223" s="90"/>
    </row>
    <row r="224">
      <c r="A224" s="104"/>
      <c r="B224" s="101">
        <v>219.0</v>
      </c>
      <c r="C224" s="18" t="str">
        <f>ENTRY!B218</f>
        <v>SILVERBEES</v>
      </c>
      <c r="D224" s="93">
        <f>CAPITAL!$C$2</f>
        <v>3350000</v>
      </c>
      <c r="E224" s="94" t="str">
        <f>ENTRY!C218</f>
        <v/>
      </c>
      <c r="F224" s="95" t="str">
        <f>ENTRY!D218</f>
        <v/>
      </c>
      <c r="G224" s="96" t="str">
        <f>ENTRY!E218</f>
        <v/>
      </c>
      <c r="H224" s="97">
        <f>G224*ENTRY!$O218</f>
        <v>0</v>
      </c>
      <c r="I224" s="97">
        <f>G224*ENTRY!$P218</f>
        <v>0</v>
      </c>
      <c r="J224" s="97">
        <f>G224*ENTRY!$Q218</f>
        <v>0</v>
      </c>
      <c r="K224" s="95">
        <f t="shared" si="2"/>
        <v>0</v>
      </c>
      <c r="L224" s="95" t="str">
        <f>ENTRY!F218</f>
        <v/>
      </c>
      <c r="M224" s="94" t="str">
        <f>ENTRY!G218</f>
        <v/>
      </c>
      <c r="N224" s="98" t="str">
        <f t="shared" si="3"/>
        <v/>
      </c>
      <c r="O224" s="99">
        <f t="shared" si="4"/>
        <v>0</v>
      </c>
      <c r="P224" s="99">
        <f t="shared" si="5"/>
        <v>0</v>
      </c>
      <c r="Q224" s="99">
        <f t="shared" si="6"/>
        <v>0</v>
      </c>
      <c r="R224" s="99">
        <f t="shared" si="7"/>
        <v>0</v>
      </c>
      <c r="S224" s="100" t="str">
        <f t="shared" ref="S224:V224" si="224">IFERROR(O224-Y224,"")
</f>
        <v/>
      </c>
      <c r="T224" s="100">
        <f t="shared" si="224"/>
        <v>0</v>
      </c>
      <c r="U224" s="100">
        <f t="shared" si="224"/>
        <v>0</v>
      </c>
      <c r="V224" s="100">
        <f t="shared" si="224"/>
        <v>0</v>
      </c>
      <c r="W224" s="88" t="str">
        <f t="shared" si="9"/>
        <v/>
      </c>
      <c r="X224" s="89">
        <f>S224/D224</f>
        <v>0</v>
      </c>
      <c r="Y224" s="90" t="str">
        <f t="shared" si="10"/>
        <v>ERR</v>
      </c>
      <c r="Z224" s="90">
        <f>IF(H224=0,0,CAPITAL!$H$5*Y224)
</f>
        <v>0</v>
      </c>
      <c r="AA224" s="90">
        <f>IF(I224=0,0,CAPITAL!$H$6*Y224)
</f>
        <v>0</v>
      </c>
      <c r="AB224" s="90">
        <f>IF(J224=0,0,CAPITAL!$H$7*Y224)
</f>
        <v>0</v>
      </c>
      <c r="AC224" s="90"/>
    </row>
    <row r="225">
      <c r="A225" s="104"/>
      <c r="B225" s="101">
        <v>220.0</v>
      </c>
      <c r="C225" s="79" t="str">
        <f>ENTRY!B219</f>
        <v>SILVERBEES</v>
      </c>
      <c r="D225" s="80">
        <f>CAPITAL!$C$2</f>
        <v>3350000</v>
      </c>
      <c r="E225" s="81" t="str">
        <f>ENTRY!C219</f>
        <v/>
      </c>
      <c r="F225" s="82" t="str">
        <f>ENTRY!D219</f>
        <v/>
      </c>
      <c r="G225" s="83" t="str">
        <f>ENTRY!E219</f>
        <v/>
      </c>
      <c r="H225" s="84">
        <f>G225*ENTRY!$O219</f>
        <v>0</v>
      </c>
      <c r="I225" s="84">
        <f>G225*ENTRY!$P219</f>
        <v>0</v>
      </c>
      <c r="J225" s="84">
        <f>G225*ENTRY!$Q219</f>
        <v>0</v>
      </c>
      <c r="K225" s="82">
        <f t="shared" si="2"/>
        <v>0</v>
      </c>
      <c r="L225" s="82" t="str">
        <f>ENTRY!F219</f>
        <v/>
      </c>
      <c r="M225" s="81" t="str">
        <f>ENTRY!G219</f>
        <v/>
      </c>
      <c r="N225" s="85" t="str">
        <f t="shared" si="3"/>
        <v/>
      </c>
      <c r="O225" s="86">
        <f t="shared" si="4"/>
        <v>0</v>
      </c>
      <c r="P225" s="86">
        <f t="shared" si="5"/>
        <v>0</v>
      </c>
      <c r="Q225" s="86">
        <f t="shared" si="6"/>
        <v>0</v>
      </c>
      <c r="R225" s="86">
        <f t="shared" si="7"/>
        <v>0</v>
      </c>
      <c r="S225" s="87" t="str">
        <f t="shared" ref="S225:V225" si="225">IFERROR(O225-Y225,"")
</f>
        <v/>
      </c>
      <c r="T225" s="87">
        <f t="shared" si="225"/>
        <v>0</v>
      </c>
      <c r="U225" s="87">
        <f t="shared" si="225"/>
        <v>0</v>
      </c>
      <c r="V225" s="87">
        <f t="shared" si="225"/>
        <v>0</v>
      </c>
      <c r="W225" s="88" t="str">
        <f t="shared" si="9"/>
        <v/>
      </c>
      <c r="X225" s="89">
        <f>IFERROR(S225/D225,"")</f>
        <v>0</v>
      </c>
      <c r="Y225" s="90" t="str">
        <f t="shared" si="10"/>
        <v>ERR</v>
      </c>
      <c r="Z225" s="90">
        <f>IF(H225=0,0,CAPITAL!$H$5*Y225)
</f>
        <v>0</v>
      </c>
      <c r="AA225" s="90">
        <f>IF(I225=0,0,CAPITAL!$H$6*Y225)
</f>
        <v>0</v>
      </c>
      <c r="AB225" s="90">
        <f>IF(J225=0,0,CAPITAL!$H$7*Y225)
</f>
        <v>0</v>
      </c>
      <c r="AC225" s="90"/>
    </row>
    <row r="226">
      <c r="A226" s="104"/>
      <c r="B226" s="101">
        <v>221.0</v>
      </c>
      <c r="C226" s="18" t="str">
        <f>ENTRY!B220</f>
        <v>SILVERBEES</v>
      </c>
      <c r="D226" s="93">
        <f>CAPITAL!$C$2</f>
        <v>3350000</v>
      </c>
      <c r="E226" s="94" t="str">
        <f>ENTRY!C220</f>
        <v/>
      </c>
      <c r="F226" s="95" t="str">
        <f>ENTRY!D220</f>
        <v/>
      </c>
      <c r="G226" s="96" t="str">
        <f>ENTRY!E220</f>
        <v/>
      </c>
      <c r="H226" s="97">
        <f>G226*ENTRY!$O220</f>
        <v>0</v>
      </c>
      <c r="I226" s="97">
        <f>G226*ENTRY!$P220</f>
        <v>0</v>
      </c>
      <c r="J226" s="97">
        <f>G226*ENTRY!$Q220</f>
        <v>0</v>
      </c>
      <c r="K226" s="95">
        <f t="shared" si="2"/>
        <v>0</v>
      </c>
      <c r="L226" s="95" t="str">
        <f>ENTRY!F220</f>
        <v/>
      </c>
      <c r="M226" s="94" t="str">
        <f>ENTRY!G220</f>
        <v/>
      </c>
      <c r="N226" s="98" t="str">
        <f t="shared" si="3"/>
        <v/>
      </c>
      <c r="O226" s="99">
        <f t="shared" si="4"/>
        <v>0</v>
      </c>
      <c r="P226" s="99">
        <f t="shared" si="5"/>
        <v>0</v>
      </c>
      <c r="Q226" s="99">
        <f t="shared" si="6"/>
        <v>0</v>
      </c>
      <c r="R226" s="99">
        <f t="shared" si="7"/>
        <v>0</v>
      </c>
      <c r="S226" s="100" t="str">
        <f t="shared" ref="S226:V226" si="226">IFERROR(O226-Y226,"")
</f>
        <v/>
      </c>
      <c r="T226" s="100">
        <f t="shared" si="226"/>
        <v>0</v>
      </c>
      <c r="U226" s="100">
        <f t="shared" si="226"/>
        <v>0</v>
      </c>
      <c r="V226" s="100">
        <f t="shared" si="226"/>
        <v>0</v>
      </c>
      <c r="W226" s="88" t="str">
        <f t="shared" si="9"/>
        <v/>
      </c>
      <c r="X226" s="89">
        <f>S226/D226</f>
        <v>0</v>
      </c>
      <c r="Y226" s="90" t="str">
        <f t="shared" si="10"/>
        <v>ERR</v>
      </c>
      <c r="Z226" s="90">
        <f>IF(H226=0,0,CAPITAL!$H$5*Y226)
</f>
        <v>0</v>
      </c>
      <c r="AA226" s="90">
        <f>IF(I226=0,0,CAPITAL!$H$6*Y226)
</f>
        <v>0</v>
      </c>
      <c r="AB226" s="90">
        <f>IF(J226=0,0,CAPITAL!$H$7*Y226)
</f>
        <v>0</v>
      </c>
      <c r="AC226" s="90"/>
    </row>
    <row r="227">
      <c r="A227" s="104"/>
      <c r="B227" s="101">
        <v>222.0</v>
      </c>
      <c r="C227" s="79" t="str">
        <f>ENTRY!B221</f>
        <v>SILVERBEES</v>
      </c>
      <c r="D227" s="80">
        <f>CAPITAL!$C$2</f>
        <v>3350000</v>
      </c>
      <c r="E227" s="81" t="str">
        <f>ENTRY!C221</f>
        <v/>
      </c>
      <c r="F227" s="82" t="str">
        <f>ENTRY!D221</f>
        <v/>
      </c>
      <c r="G227" s="83" t="str">
        <f>ENTRY!E221</f>
        <v/>
      </c>
      <c r="H227" s="84">
        <f>G227*ENTRY!$O221</f>
        <v>0</v>
      </c>
      <c r="I227" s="84">
        <f>G227*ENTRY!$P221</f>
        <v>0</v>
      </c>
      <c r="J227" s="84">
        <f>G227*ENTRY!$Q221</f>
        <v>0</v>
      </c>
      <c r="K227" s="82">
        <f t="shared" si="2"/>
        <v>0</v>
      </c>
      <c r="L227" s="82" t="str">
        <f>ENTRY!F221</f>
        <v/>
      </c>
      <c r="M227" s="81" t="str">
        <f>ENTRY!G221</f>
        <v/>
      </c>
      <c r="N227" s="85" t="str">
        <f t="shared" si="3"/>
        <v/>
      </c>
      <c r="O227" s="86">
        <f t="shared" si="4"/>
        <v>0</v>
      </c>
      <c r="P227" s="86">
        <f t="shared" si="5"/>
        <v>0</v>
      </c>
      <c r="Q227" s="86">
        <f t="shared" si="6"/>
        <v>0</v>
      </c>
      <c r="R227" s="86">
        <f t="shared" si="7"/>
        <v>0</v>
      </c>
      <c r="S227" s="87" t="str">
        <f t="shared" ref="S227:V227" si="227">IFERROR(O227-Y227,"")
</f>
        <v/>
      </c>
      <c r="T227" s="87">
        <f t="shared" si="227"/>
        <v>0</v>
      </c>
      <c r="U227" s="87">
        <f t="shared" si="227"/>
        <v>0</v>
      </c>
      <c r="V227" s="87">
        <f t="shared" si="227"/>
        <v>0</v>
      </c>
      <c r="W227" s="88" t="str">
        <f t="shared" si="9"/>
        <v/>
      </c>
      <c r="X227" s="89">
        <f>IFERROR(S227/D227,"")</f>
        <v>0</v>
      </c>
      <c r="Y227" s="90" t="str">
        <f t="shared" si="10"/>
        <v>ERR</v>
      </c>
      <c r="Z227" s="90">
        <f>IF(H227=0,0,CAPITAL!$H$5*Y227)
</f>
        <v>0</v>
      </c>
      <c r="AA227" s="90">
        <f>IF(I227=0,0,CAPITAL!$H$6*Y227)
</f>
        <v>0</v>
      </c>
      <c r="AB227" s="90">
        <f>IF(J227=0,0,CAPITAL!$H$7*Y227)
</f>
        <v>0</v>
      </c>
      <c r="AC227" s="90"/>
    </row>
    <row r="228">
      <c r="A228" s="104"/>
      <c r="B228" s="101">
        <v>223.0</v>
      </c>
      <c r="C228" s="18" t="str">
        <f>ENTRY!B222</f>
        <v>SILVERBEES</v>
      </c>
      <c r="D228" s="93">
        <f>CAPITAL!$C$2</f>
        <v>3350000</v>
      </c>
      <c r="E228" s="94" t="str">
        <f>ENTRY!C222</f>
        <v/>
      </c>
      <c r="F228" s="95" t="str">
        <f>ENTRY!D222</f>
        <v/>
      </c>
      <c r="G228" s="96" t="str">
        <f>ENTRY!E222</f>
        <v/>
      </c>
      <c r="H228" s="97">
        <f>G228*ENTRY!$O222</f>
        <v>0</v>
      </c>
      <c r="I228" s="97">
        <f>G228*ENTRY!$P222</f>
        <v>0</v>
      </c>
      <c r="J228" s="97">
        <f>G228*ENTRY!$Q222</f>
        <v>0</v>
      </c>
      <c r="K228" s="95">
        <f t="shared" si="2"/>
        <v>0</v>
      </c>
      <c r="L228" s="95" t="str">
        <f>ENTRY!F222</f>
        <v/>
      </c>
      <c r="M228" s="94" t="str">
        <f>ENTRY!G222</f>
        <v/>
      </c>
      <c r="N228" s="98" t="str">
        <f t="shared" si="3"/>
        <v/>
      </c>
      <c r="O228" s="99">
        <f t="shared" si="4"/>
        <v>0</v>
      </c>
      <c r="P228" s="99">
        <f t="shared" si="5"/>
        <v>0</v>
      </c>
      <c r="Q228" s="99">
        <f t="shared" si="6"/>
        <v>0</v>
      </c>
      <c r="R228" s="99">
        <f t="shared" si="7"/>
        <v>0</v>
      </c>
      <c r="S228" s="100" t="str">
        <f t="shared" ref="S228:V228" si="228">IFERROR(O228-Y228,"")
</f>
        <v/>
      </c>
      <c r="T228" s="100">
        <f t="shared" si="228"/>
        <v>0</v>
      </c>
      <c r="U228" s="100">
        <f t="shared" si="228"/>
        <v>0</v>
      </c>
      <c r="V228" s="100">
        <f t="shared" si="228"/>
        <v>0</v>
      </c>
      <c r="W228" s="88" t="str">
        <f t="shared" si="9"/>
        <v/>
      </c>
      <c r="X228" s="89">
        <f>S228/D228</f>
        <v>0</v>
      </c>
      <c r="Y228" s="90" t="str">
        <f t="shared" si="10"/>
        <v>ERR</v>
      </c>
      <c r="Z228" s="90">
        <f>IF(H228=0,0,CAPITAL!$H$5*Y228)
</f>
        <v>0</v>
      </c>
      <c r="AA228" s="90">
        <f>IF(I228=0,0,CAPITAL!$H$6*Y228)
</f>
        <v>0</v>
      </c>
      <c r="AB228" s="90">
        <f>IF(J228=0,0,CAPITAL!$H$7*Y228)
</f>
        <v>0</v>
      </c>
      <c r="AC228" s="90"/>
    </row>
    <row r="229">
      <c r="A229" s="104"/>
      <c r="B229" s="101">
        <v>224.0</v>
      </c>
      <c r="C229" s="79" t="str">
        <f>ENTRY!B223</f>
        <v>SILVERBEES</v>
      </c>
      <c r="D229" s="80">
        <f>CAPITAL!$C$2</f>
        <v>3350000</v>
      </c>
      <c r="E229" s="81" t="str">
        <f>ENTRY!C223</f>
        <v/>
      </c>
      <c r="F229" s="82" t="str">
        <f>ENTRY!D223</f>
        <v/>
      </c>
      <c r="G229" s="83" t="str">
        <f>ENTRY!E223</f>
        <v/>
      </c>
      <c r="H229" s="84">
        <f>G229*ENTRY!$O223</f>
        <v>0</v>
      </c>
      <c r="I229" s="84">
        <f>G229*ENTRY!$P223</f>
        <v>0</v>
      </c>
      <c r="J229" s="84">
        <f>G229*ENTRY!$Q223</f>
        <v>0</v>
      </c>
      <c r="K229" s="82">
        <f t="shared" si="2"/>
        <v>0</v>
      </c>
      <c r="L229" s="82" t="str">
        <f>ENTRY!F223</f>
        <v/>
      </c>
      <c r="M229" s="81" t="str">
        <f>ENTRY!G223</f>
        <v/>
      </c>
      <c r="N229" s="85" t="str">
        <f t="shared" si="3"/>
        <v/>
      </c>
      <c r="O229" s="86">
        <f t="shared" si="4"/>
        <v>0</v>
      </c>
      <c r="P229" s="86">
        <f t="shared" si="5"/>
        <v>0</v>
      </c>
      <c r="Q229" s="86">
        <f t="shared" si="6"/>
        <v>0</v>
      </c>
      <c r="R229" s="86">
        <f t="shared" si="7"/>
        <v>0</v>
      </c>
      <c r="S229" s="87" t="str">
        <f t="shared" ref="S229:V229" si="229">IFERROR(O229-Y229,"")
</f>
        <v/>
      </c>
      <c r="T229" s="87">
        <f t="shared" si="229"/>
        <v>0</v>
      </c>
      <c r="U229" s="87">
        <f t="shared" si="229"/>
        <v>0</v>
      </c>
      <c r="V229" s="87">
        <f t="shared" si="229"/>
        <v>0</v>
      </c>
      <c r="W229" s="88" t="str">
        <f t="shared" si="9"/>
        <v/>
      </c>
      <c r="X229" s="89">
        <f>IFERROR(S229/D229,"")</f>
        <v>0</v>
      </c>
      <c r="Y229" s="90" t="str">
        <f t="shared" si="10"/>
        <v>ERR</v>
      </c>
      <c r="Z229" s="90">
        <f>IF(H229=0,0,CAPITAL!$H$5*Y229)
</f>
        <v>0</v>
      </c>
      <c r="AA229" s="90">
        <f>IF(I229=0,0,CAPITAL!$H$6*Y229)
</f>
        <v>0</v>
      </c>
      <c r="AB229" s="90">
        <f>IF(J229=0,0,CAPITAL!$H$7*Y229)
</f>
        <v>0</v>
      </c>
      <c r="AC229" s="90"/>
    </row>
    <row r="230">
      <c r="A230" s="104"/>
      <c r="B230" s="101">
        <v>225.0</v>
      </c>
      <c r="C230" s="18" t="str">
        <f>ENTRY!B224</f>
        <v>SILVERBEES</v>
      </c>
      <c r="D230" s="93">
        <f>CAPITAL!$C$2</f>
        <v>3350000</v>
      </c>
      <c r="E230" s="94" t="str">
        <f>ENTRY!C224</f>
        <v/>
      </c>
      <c r="F230" s="95" t="str">
        <f>ENTRY!D224</f>
        <v/>
      </c>
      <c r="G230" s="96" t="str">
        <f>ENTRY!E224</f>
        <v/>
      </c>
      <c r="H230" s="97">
        <f>G230*ENTRY!$O224</f>
        <v>0</v>
      </c>
      <c r="I230" s="97">
        <f>G230*ENTRY!$P224</f>
        <v>0</v>
      </c>
      <c r="J230" s="97">
        <f>G230*ENTRY!$Q224</f>
        <v>0</v>
      </c>
      <c r="K230" s="95">
        <f t="shared" si="2"/>
        <v>0</v>
      </c>
      <c r="L230" s="95" t="str">
        <f>ENTRY!F224</f>
        <v/>
      </c>
      <c r="M230" s="94" t="str">
        <f>ENTRY!G224</f>
        <v/>
      </c>
      <c r="N230" s="98" t="str">
        <f t="shared" si="3"/>
        <v/>
      </c>
      <c r="O230" s="99">
        <f t="shared" si="4"/>
        <v>0</v>
      </c>
      <c r="P230" s="99">
        <f t="shared" si="5"/>
        <v>0</v>
      </c>
      <c r="Q230" s="99">
        <f t="shared" si="6"/>
        <v>0</v>
      </c>
      <c r="R230" s="99">
        <f t="shared" si="7"/>
        <v>0</v>
      </c>
      <c r="S230" s="100" t="str">
        <f t="shared" ref="S230:V230" si="230">IFERROR(O230-Y230,"")
</f>
        <v/>
      </c>
      <c r="T230" s="100">
        <f t="shared" si="230"/>
        <v>0</v>
      </c>
      <c r="U230" s="100">
        <f t="shared" si="230"/>
        <v>0</v>
      </c>
      <c r="V230" s="100">
        <f t="shared" si="230"/>
        <v>0</v>
      </c>
      <c r="W230" s="88" t="str">
        <f t="shared" si="9"/>
        <v/>
      </c>
      <c r="X230" s="89">
        <f>S230/D230</f>
        <v>0</v>
      </c>
      <c r="Y230" s="90" t="str">
        <f t="shared" si="10"/>
        <v>ERR</v>
      </c>
      <c r="Z230" s="90">
        <f>IF(H230=0,0,CAPITAL!$H$5*Y230)
</f>
        <v>0</v>
      </c>
      <c r="AA230" s="90">
        <f>IF(I230=0,0,CAPITAL!$H$6*Y230)
</f>
        <v>0</v>
      </c>
      <c r="AB230" s="90">
        <f>IF(J230=0,0,CAPITAL!$H$7*Y230)
</f>
        <v>0</v>
      </c>
      <c r="AC230" s="90"/>
    </row>
    <row r="231">
      <c r="A231" s="104"/>
      <c r="B231" s="101">
        <v>226.0</v>
      </c>
      <c r="C231" s="79" t="str">
        <f>ENTRY!B225</f>
        <v>SILVERBEES</v>
      </c>
      <c r="D231" s="80">
        <f>CAPITAL!$C$2</f>
        <v>3350000</v>
      </c>
      <c r="E231" s="81" t="str">
        <f>ENTRY!C225</f>
        <v/>
      </c>
      <c r="F231" s="82" t="str">
        <f>ENTRY!D225</f>
        <v/>
      </c>
      <c r="G231" s="83" t="str">
        <f>ENTRY!E225</f>
        <v/>
      </c>
      <c r="H231" s="84">
        <f>G231*ENTRY!$O225</f>
        <v>0</v>
      </c>
      <c r="I231" s="84">
        <f>G231*ENTRY!$P225</f>
        <v>0</v>
      </c>
      <c r="J231" s="84">
        <f>G231*ENTRY!$Q225</f>
        <v>0</v>
      </c>
      <c r="K231" s="82">
        <f t="shared" si="2"/>
        <v>0</v>
      </c>
      <c r="L231" s="82" t="str">
        <f>ENTRY!F225</f>
        <v/>
      </c>
      <c r="M231" s="81" t="str">
        <f>ENTRY!G225</f>
        <v/>
      </c>
      <c r="N231" s="85" t="str">
        <f t="shared" si="3"/>
        <v/>
      </c>
      <c r="O231" s="86">
        <f t="shared" si="4"/>
        <v>0</v>
      </c>
      <c r="P231" s="86">
        <f t="shared" si="5"/>
        <v>0</v>
      </c>
      <c r="Q231" s="86">
        <f t="shared" si="6"/>
        <v>0</v>
      </c>
      <c r="R231" s="86">
        <f t="shared" si="7"/>
        <v>0</v>
      </c>
      <c r="S231" s="87" t="str">
        <f t="shared" ref="S231:V231" si="231">IFERROR(O231-Y231,"")
</f>
        <v/>
      </c>
      <c r="T231" s="87">
        <f t="shared" si="231"/>
        <v>0</v>
      </c>
      <c r="U231" s="87">
        <f t="shared" si="231"/>
        <v>0</v>
      </c>
      <c r="V231" s="87">
        <f t="shared" si="231"/>
        <v>0</v>
      </c>
      <c r="W231" s="88" t="str">
        <f t="shared" si="9"/>
        <v/>
      </c>
      <c r="X231" s="89">
        <f>IFERROR(S231/D231,"")</f>
        <v>0</v>
      </c>
      <c r="Y231" s="90" t="str">
        <f t="shared" si="10"/>
        <v>ERR</v>
      </c>
      <c r="Z231" s="90">
        <f>IF(H231=0,0,CAPITAL!$H$5*Y231)
</f>
        <v>0</v>
      </c>
      <c r="AA231" s="90">
        <f>IF(I231=0,0,CAPITAL!$H$6*Y231)
</f>
        <v>0</v>
      </c>
      <c r="AB231" s="90">
        <f>IF(J231=0,0,CAPITAL!$H$7*Y231)
</f>
        <v>0</v>
      </c>
      <c r="AC231" s="90"/>
    </row>
    <row r="232">
      <c r="A232" s="104"/>
      <c r="B232" s="101">
        <v>227.0</v>
      </c>
      <c r="C232" s="18" t="str">
        <f>ENTRY!B226</f>
        <v>SILVERBEES</v>
      </c>
      <c r="D232" s="93">
        <f>CAPITAL!$C$2</f>
        <v>3350000</v>
      </c>
      <c r="E232" s="94" t="str">
        <f>ENTRY!C226</f>
        <v/>
      </c>
      <c r="F232" s="95" t="str">
        <f>ENTRY!D226</f>
        <v/>
      </c>
      <c r="G232" s="96" t="str">
        <f>ENTRY!E226</f>
        <v/>
      </c>
      <c r="H232" s="97">
        <f>G232*ENTRY!$O226</f>
        <v>0</v>
      </c>
      <c r="I232" s="97">
        <f>G232*ENTRY!$P226</f>
        <v>0</v>
      </c>
      <c r="J232" s="97">
        <f>G232*ENTRY!$Q226</f>
        <v>0</v>
      </c>
      <c r="K232" s="95">
        <f t="shared" si="2"/>
        <v>0</v>
      </c>
      <c r="L232" s="95" t="str">
        <f>ENTRY!F226</f>
        <v/>
      </c>
      <c r="M232" s="94" t="str">
        <f>ENTRY!G226</f>
        <v/>
      </c>
      <c r="N232" s="98" t="str">
        <f t="shared" si="3"/>
        <v/>
      </c>
      <c r="O232" s="99">
        <f t="shared" si="4"/>
        <v>0</v>
      </c>
      <c r="P232" s="99">
        <f t="shared" si="5"/>
        <v>0</v>
      </c>
      <c r="Q232" s="99">
        <f t="shared" si="6"/>
        <v>0</v>
      </c>
      <c r="R232" s="99">
        <f t="shared" si="7"/>
        <v>0</v>
      </c>
      <c r="S232" s="100" t="str">
        <f t="shared" ref="S232:V232" si="232">IFERROR(O232-Y232,"")
</f>
        <v/>
      </c>
      <c r="T232" s="100">
        <f t="shared" si="232"/>
        <v>0</v>
      </c>
      <c r="U232" s="100">
        <f t="shared" si="232"/>
        <v>0</v>
      </c>
      <c r="V232" s="100">
        <f t="shared" si="232"/>
        <v>0</v>
      </c>
      <c r="W232" s="88" t="str">
        <f t="shared" si="9"/>
        <v/>
      </c>
      <c r="X232" s="89">
        <f>S232/D232</f>
        <v>0</v>
      </c>
      <c r="Y232" s="90" t="str">
        <f t="shared" si="10"/>
        <v>ERR</v>
      </c>
      <c r="Z232" s="90">
        <f>IF(H232=0,0,CAPITAL!$H$5*Y232)
</f>
        <v>0</v>
      </c>
      <c r="AA232" s="90">
        <f>IF(I232=0,0,CAPITAL!$H$6*Y232)
</f>
        <v>0</v>
      </c>
      <c r="AB232" s="90">
        <f>IF(J232=0,0,CAPITAL!$H$7*Y232)
</f>
        <v>0</v>
      </c>
      <c r="AC232" s="90"/>
    </row>
    <row r="233">
      <c r="A233" s="104"/>
      <c r="B233" s="101">
        <v>228.0</v>
      </c>
      <c r="C233" s="79" t="str">
        <f>ENTRY!B227</f>
        <v>SILVERBEES</v>
      </c>
      <c r="D233" s="80">
        <f>CAPITAL!$C$2</f>
        <v>3350000</v>
      </c>
      <c r="E233" s="81" t="str">
        <f>ENTRY!C227</f>
        <v/>
      </c>
      <c r="F233" s="82" t="str">
        <f>ENTRY!D227</f>
        <v/>
      </c>
      <c r="G233" s="83" t="str">
        <f>ENTRY!E227</f>
        <v/>
      </c>
      <c r="H233" s="84">
        <f>G233*ENTRY!$O227</f>
        <v>0</v>
      </c>
      <c r="I233" s="84">
        <f>G233*ENTRY!$P227</f>
        <v>0</v>
      </c>
      <c r="J233" s="84">
        <f>G233*ENTRY!$Q227</f>
        <v>0</v>
      </c>
      <c r="K233" s="82">
        <f t="shared" si="2"/>
        <v>0</v>
      </c>
      <c r="L233" s="82" t="str">
        <f>ENTRY!F227</f>
        <v/>
      </c>
      <c r="M233" s="81" t="str">
        <f>ENTRY!G227</f>
        <v/>
      </c>
      <c r="N233" s="85" t="str">
        <f t="shared" si="3"/>
        <v/>
      </c>
      <c r="O233" s="86">
        <f t="shared" si="4"/>
        <v>0</v>
      </c>
      <c r="P233" s="86">
        <f t="shared" si="5"/>
        <v>0</v>
      </c>
      <c r="Q233" s="86">
        <f t="shared" si="6"/>
        <v>0</v>
      </c>
      <c r="R233" s="86">
        <f t="shared" si="7"/>
        <v>0</v>
      </c>
      <c r="S233" s="87" t="str">
        <f t="shared" ref="S233:V233" si="233">IFERROR(O233-Y233,"")
</f>
        <v/>
      </c>
      <c r="T233" s="87">
        <f t="shared" si="233"/>
        <v>0</v>
      </c>
      <c r="U233" s="87">
        <f t="shared" si="233"/>
        <v>0</v>
      </c>
      <c r="V233" s="87">
        <f t="shared" si="233"/>
        <v>0</v>
      </c>
      <c r="W233" s="88" t="str">
        <f t="shared" si="9"/>
        <v/>
      </c>
      <c r="X233" s="89">
        <f>IFERROR(S233/D233,"")</f>
        <v>0</v>
      </c>
      <c r="Y233" s="90" t="str">
        <f t="shared" si="10"/>
        <v>ERR</v>
      </c>
      <c r="Z233" s="90">
        <f>IF(H233=0,0,CAPITAL!$H$5*Y233)
</f>
        <v>0</v>
      </c>
      <c r="AA233" s="90">
        <f>IF(I233=0,0,CAPITAL!$H$6*Y233)
</f>
        <v>0</v>
      </c>
      <c r="AB233" s="90">
        <f>IF(J233=0,0,CAPITAL!$H$7*Y233)
</f>
        <v>0</v>
      </c>
      <c r="AC233" s="90"/>
    </row>
    <row r="234">
      <c r="A234" s="104"/>
      <c r="B234" s="101">
        <v>229.0</v>
      </c>
      <c r="C234" s="18" t="str">
        <f>ENTRY!B228</f>
        <v>SILVERBEES</v>
      </c>
      <c r="D234" s="93">
        <f>CAPITAL!$C$2</f>
        <v>3350000</v>
      </c>
      <c r="E234" s="94" t="str">
        <f>ENTRY!C228</f>
        <v/>
      </c>
      <c r="F234" s="95" t="str">
        <f>ENTRY!D228</f>
        <v/>
      </c>
      <c r="G234" s="96" t="str">
        <f>ENTRY!E228</f>
        <v/>
      </c>
      <c r="H234" s="97">
        <f>G234*ENTRY!$O228</f>
        <v>0</v>
      </c>
      <c r="I234" s="97">
        <f>G234*ENTRY!$P228</f>
        <v>0</v>
      </c>
      <c r="J234" s="97">
        <f>G234*ENTRY!$Q228</f>
        <v>0</v>
      </c>
      <c r="K234" s="95">
        <f t="shared" si="2"/>
        <v>0</v>
      </c>
      <c r="L234" s="95" t="str">
        <f>ENTRY!F228</f>
        <v/>
      </c>
      <c r="M234" s="94" t="str">
        <f>ENTRY!G228</f>
        <v/>
      </c>
      <c r="N234" s="98" t="str">
        <f t="shared" si="3"/>
        <v/>
      </c>
      <c r="O234" s="99">
        <f t="shared" si="4"/>
        <v>0</v>
      </c>
      <c r="P234" s="99">
        <f t="shared" si="5"/>
        <v>0</v>
      </c>
      <c r="Q234" s="99">
        <f t="shared" si="6"/>
        <v>0</v>
      </c>
      <c r="R234" s="99">
        <f t="shared" si="7"/>
        <v>0</v>
      </c>
      <c r="S234" s="100" t="str">
        <f t="shared" ref="S234:V234" si="234">IFERROR(O234-Y234,"")
</f>
        <v/>
      </c>
      <c r="T234" s="100">
        <f t="shared" si="234"/>
        <v>0</v>
      </c>
      <c r="U234" s="100">
        <f t="shared" si="234"/>
        <v>0</v>
      </c>
      <c r="V234" s="100">
        <f t="shared" si="234"/>
        <v>0</v>
      </c>
      <c r="W234" s="88" t="str">
        <f t="shared" si="9"/>
        <v/>
      </c>
      <c r="X234" s="89">
        <f>S234/D234</f>
        <v>0</v>
      </c>
      <c r="Y234" s="90" t="str">
        <f t="shared" si="10"/>
        <v>ERR</v>
      </c>
      <c r="Z234" s="90">
        <f>IF(H234=0,0,CAPITAL!$H$5*Y234)
</f>
        <v>0</v>
      </c>
      <c r="AA234" s="90">
        <f>IF(I234=0,0,CAPITAL!$H$6*Y234)
</f>
        <v>0</v>
      </c>
      <c r="AB234" s="90">
        <f>IF(J234=0,0,CAPITAL!$H$7*Y234)
</f>
        <v>0</v>
      </c>
      <c r="AC234" s="90"/>
    </row>
    <row r="235">
      <c r="A235" s="104"/>
      <c r="B235" s="101">
        <v>230.0</v>
      </c>
      <c r="C235" s="79" t="str">
        <f>ENTRY!B229</f>
        <v>SILVERBEES</v>
      </c>
      <c r="D235" s="80">
        <f>CAPITAL!$C$2</f>
        <v>3350000</v>
      </c>
      <c r="E235" s="81" t="str">
        <f>ENTRY!C229</f>
        <v/>
      </c>
      <c r="F235" s="82" t="str">
        <f>ENTRY!D229</f>
        <v/>
      </c>
      <c r="G235" s="83" t="str">
        <f>ENTRY!E229</f>
        <v/>
      </c>
      <c r="H235" s="84">
        <f>G235*ENTRY!$O229</f>
        <v>0</v>
      </c>
      <c r="I235" s="84">
        <f>G235*ENTRY!$P229</f>
        <v>0</v>
      </c>
      <c r="J235" s="84">
        <f>G235*ENTRY!$Q229</f>
        <v>0</v>
      </c>
      <c r="K235" s="82">
        <f t="shared" si="2"/>
        <v>0</v>
      </c>
      <c r="L235" s="82" t="str">
        <f>ENTRY!F229</f>
        <v/>
      </c>
      <c r="M235" s="81" t="str">
        <f>ENTRY!G229</f>
        <v/>
      </c>
      <c r="N235" s="85" t="str">
        <f t="shared" si="3"/>
        <v/>
      </c>
      <c r="O235" s="86">
        <f t="shared" si="4"/>
        <v>0</v>
      </c>
      <c r="P235" s="86">
        <f t="shared" si="5"/>
        <v>0</v>
      </c>
      <c r="Q235" s="86">
        <f t="shared" si="6"/>
        <v>0</v>
      </c>
      <c r="R235" s="86">
        <f t="shared" si="7"/>
        <v>0</v>
      </c>
      <c r="S235" s="87" t="str">
        <f t="shared" ref="S235:V235" si="235">IFERROR(O235-Y235,"")
</f>
        <v/>
      </c>
      <c r="T235" s="87">
        <f t="shared" si="235"/>
        <v>0</v>
      </c>
      <c r="U235" s="87">
        <f t="shared" si="235"/>
        <v>0</v>
      </c>
      <c r="V235" s="87">
        <f t="shared" si="235"/>
        <v>0</v>
      </c>
      <c r="W235" s="88" t="str">
        <f t="shared" si="9"/>
        <v/>
      </c>
      <c r="X235" s="89">
        <f>IFERROR(S235/D235,"")</f>
        <v>0</v>
      </c>
      <c r="Y235" s="90" t="str">
        <f t="shared" si="10"/>
        <v>ERR</v>
      </c>
      <c r="Z235" s="90">
        <f>IF(H235=0,0,CAPITAL!$H$5*Y235)
</f>
        <v>0</v>
      </c>
      <c r="AA235" s="90">
        <f>IF(I235=0,0,CAPITAL!$H$6*Y235)
</f>
        <v>0</v>
      </c>
      <c r="AB235" s="90">
        <f>IF(J235=0,0,CAPITAL!$H$7*Y235)
</f>
        <v>0</v>
      </c>
      <c r="AC235" s="90"/>
    </row>
    <row r="236">
      <c r="A236" s="104"/>
      <c r="B236" s="101">
        <v>231.0</v>
      </c>
      <c r="C236" s="18" t="str">
        <f>ENTRY!B230</f>
        <v>SILVERBEES</v>
      </c>
      <c r="D236" s="93">
        <f>CAPITAL!$C$2</f>
        <v>3350000</v>
      </c>
      <c r="E236" s="94" t="str">
        <f>ENTRY!C230</f>
        <v/>
      </c>
      <c r="F236" s="95" t="str">
        <f>ENTRY!D230</f>
        <v/>
      </c>
      <c r="G236" s="96" t="str">
        <f>ENTRY!E230</f>
        <v/>
      </c>
      <c r="H236" s="97">
        <f>G236*ENTRY!$O230</f>
        <v>0</v>
      </c>
      <c r="I236" s="97">
        <f>G236*ENTRY!$P230</f>
        <v>0</v>
      </c>
      <c r="J236" s="97">
        <f>G236*ENTRY!$Q230</f>
        <v>0</v>
      </c>
      <c r="K236" s="95">
        <f t="shared" si="2"/>
        <v>0</v>
      </c>
      <c r="L236" s="95" t="str">
        <f>ENTRY!F230</f>
        <v/>
      </c>
      <c r="M236" s="94" t="str">
        <f>ENTRY!G230</f>
        <v/>
      </c>
      <c r="N236" s="98" t="str">
        <f t="shared" si="3"/>
        <v/>
      </c>
      <c r="O236" s="99">
        <f t="shared" si="4"/>
        <v>0</v>
      </c>
      <c r="P236" s="99">
        <f t="shared" si="5"/>
        <v>0</v>
      </c>
      <c r="Q236" s="99">
        <f t="shared" si="6"/>
        <v>0</v>
      </c>
      <c r="R236" s="99">
        <f t="shared" si="7"/>
        <v>0</v>
      </c>
      <c r="S236" s="100" t="str">
        <f t="shared" ref="S236:V236" si="236">IFERROR(O236-Y236,"")
</f>
        <v/>
      </c>
      <c r="T236" s="100">
        <f t="shared" si="236"/>
        <v>0</v>
      </c>
      <c r="U236" s="100">
        <f t="shared" si="236"/>
        <v>0</v>
      </c>
      <c r="V236" s="100">
        <f t="shared" si="236"/>
        <v>0</v>
      </c>
      <c r="W236" s="88" t="str">
        <f t="shared" si="9"/>
        <v/>
      </c>
      <c r="X236" s="89">
        <f>S236/D236</f>
        <v>0</v>
      </c>
      <c r="Y236" s="90" t="str">
        <f t="shared" si="10"/>
        <v>ERR</v>
      </c>
      <c r="Z236" s="90">
        <f>IF(H236=0,0,CAPITAL!$H$5*Y236)
</f>
        <v>0</v>
      </c>
      <c r="AA236" s="90">
        <f>IF(I236=0,0,CAPITAL!$H$6*Y236)
</f>
        <v>0</v>
      </c>
      <c r="AB236" s="90">
        <f>IF(J236=0,0,CAPITAL!$H$7*Y236)
</f>
        <v>0</v>
      </c>
      <c r="AC236" s="90"/>
    </row>
    <row r="237">
      <c r="A237" s="104"/>
      <c r="B237" s="101">
        <v>232.0</v>
      </c>
      <c r="C237" s="79" t="str">
        <f>ENTRY!B231</f>
        <v>SILVERBEES</v>
      </c>
      <c r="D237" s="80">
        <f>CAPITAL!$C$2</f>
        <v>3350000</v>
      </c>
      <c r="E237" s="81" t="str">
        <f>ENTRY!C231</f>
        <v/>
      </c>
      <c r="F237" s="82" t="str">
        <f>ENTRY!D231</f>
        <v/>
      </c>
      <c r="G237" s="83" t="str">
        <f>ENTRY!E231</f>
        <v/>
      </c>
      <c r="H237" s="84">
        <f>G237*ENTRY!$O231</f>
        <v>0</v>
      </c>
      <c r="I237" s="84">
        <f>G237*ENTRY!$P231</f>
        <v>0</v>
      </c>
      <c r="J237" s="84">
        <f>G237*ENTRY!$Q231</f>
        <v>0</v>
      </c>
      <c r="K237" s="82">
        <f t="shared" si="2"/>
        <v>0</v>
      </c>
      <c r="L237" s="82" t="str">
        <f>ENTRY!F231</f>
        <v/>
      </c>
      <c r="M237" s="81" t="str">
        <f>ENTRY!G231</f>
        <v/>
      </c>
      <c r="N237" s="85" t="str">
        <f t="shared" si="3"/>
        <v/>
      </c>
      <c r="O237" s="86">
        <f t="shared" si="4"/>
        <v>0</v>
      </c>
      <c r="P237" s="86">
        <f t="shared" si="5"/>
        <v>0</v>
      </c>
      <c r="Q237" s="86">
        <f t="shared" si="6"/>
        <v>0</v>
      </c>
      <c r="R237" s="86">
        <f t="shared" si="7"/>
        <v>0</v>
      </c>
      <c r="S237" s="87" t="str">
        <f t="shared" ref="S237:V237" si="237">IFERROR(O237-Y237,"")
</f>
        <v/>
      </c>
      <c r="T237" s="87">
        <f t="shared" si="237"/>
        <v>0</v>
      </c>
      <c r="U237" s="87">
        <f t="shared" si="237"/>
        <v>0</v>
      </c>
      <c r="V237" s="87">
        <f t="shared" si="237"/>
        <v>0</v>
      </c>
      <c r="W237" s="88" t="str">
        <f t="shared" si="9"/>
        <v/>
      </c>
      <c r="X237" s="89">
        <f>IFERROR(S237/D237,"")</f>
        <v>0</v>
      </c>
      <c r="Y237" s="90" t="str">
        <f t="shared" si="10"/>
        <v>ERR</v>
      </c>
      <c r="Z237" s="90">
        <f>IF(H237=0,0,CAPITAL!$H$5*Y237)
</f>
        <v>0</v>
      </c>
      <c r="AA237" s="90">
        <f>IF(I237=0,0,CAPITAL!$H$6*Y237)
</f>
        <v>0</v>
      </c>
      <c r="AB237" s="90">
        <f>IF(J237=0,0,CAPITAL!$H$7*Y237)
</f>
        <v>0</v>
      </c>
      <c r="AC237" s="90"/>
    </row>
    <row r="238">
      <c r="A238" s="104"/>
      <c r="B238" s="101">
        <v>233.0</v>
      </c>
      <c r="C238" s="18" t="str">
        <f>ENTRY!B232</f>
        <v>SILVERBEES</v>
      </c>
      <c r="D238" s="93">
        <f>CAPITAL!$C$2</f>
        <v>3350000</v>
      </c>
      <c r="E238" s="94" t="str">
        <f>ENTRY!C232</f>
        <v/>
      </c>
      <c r="F238" s="95" t="str">
        <f>ENTRY!D232</f>
        <v/>
      </c>
      <c r="G238" s="96" t="str">
        <f>ENTRY!E232</f>
        <v/>
      </c>
      <c r="H238" s="97">
        <f>G238*ENTRY!$O232</f>
        <v>0</v>
      </c>
      <c r="I238" s="97">
        <f>G238*ENTRY!$P232</f>
        <v>0</v>
      </c>
      <c r="J238" s="97">
        <f>G238*ENTRY!$Q232</f>
        <v>0</v>
      </c>
      <c r="K238" s="95">
        <f t="shared" si="2"/>
        <v>0</v>
      </c>
      <c r="L238" s="95" t="str">
        <f>ENTRY!F232</f>
        <v/>
      </c>
      <c r="M238" s="94" t="str">
        <f>ENTRY!G232</f>
        <v/>
      </c>
      <c r="N238" s="98" t="str">
        <f t="shared" si="3"/>
        <v/>
      </c>
      <c r="O238" s="99">
        <f t="shared" si="4"/>
        <v>0</v>
      </c>
      <c r="P238" s="99">
        <f t="shared" si="5"/>
        <v>0</v>
      </c>
      <c r="Q238" s="99">
        <f t="shared" si="6"/>
        <v>0</v>
      </c>
      <c r="R238" s="99">
        <f t="shared" si="7"/>
        <v>0</v>
      </c>
      <c r="S238" s="100" t="str">
        <f t="shared" ref="S238:V238" si="238">IFERROR(O238-Y238,"")
</f>
        <v/>
      </c>
      <c r="T238" s="100">
        <f t="shared" si="238"/>
        <v>0</v>
      </c>
      <c r="U238" s="100">
        <f t="shared" si="238"/>
        <v>0</v>
      </c>
      <c r="V238" s="100">
        <f t="shared" si="238"/>
        <v>0</v>
      </c>
      <c r="W238" s="88" t="str">
        <f t="shared" si="9"/>
        <v/>
      </c>
      <c r="X238" s="89">
        <f>S238/D238</f>
        <v>0</v>
      </c>
      <c r="Y238" s="90" t="str">
        <f t="shared" si="10"/>
        <v>ERR</v>
      </c>
      <c r="Z238" s="90">
        <f>IF(H238=0,0,CAPITAL!$H$5*Y238)
</f>
        <v>0</v>
      </c>
      <c r="AA238" s="90">
        <f>IF(I238=0,0,CAPITAL!$H$6*Y238)
</f>
        <v>0</v>
      </c>
      <c r="AB238" s="90">
        <f>IF(J238=0,0,CAPITAL!$H$7*Y238)
</f>
        <v>0</v>
      </c>
      <c r="AC238" s="90"/>
    </row>
    <row r="239">
      <c r="A239" s="104"/>
      <c r="B239" s="101">
        <v>234.0</v>
      </c>
      <c r="C239" s="79" t="str">
        <f>ENTRY!B233</f>
        <v>SILVERBEES</v>
      </c>
      <c r="D239" s="80">
        <f>CAPITAL!$C$2</f>
        <v>3350000</v>
      </c>
      <c r="E239" s="81" t="str">
        <f>ENTRY!C233</f>
        <v/>
      </c>
      <c r="F239" s="82" t="str">
        <f>ENTRY!D233</f>
        <v/>
      </c>
      <c r="G239" s="83" t="str">
        <f>ENTRY!E233</f>
        <v/>
      </c>
      <c r="H239" s="84">
        <f>G239*ENTRY!$O233</f>
        <v>0</v>
      </c>
      <c r="I239" s="84">
        <f>G239*ENTRY!$P233</f>
        <v>0</v>
      </c>
      <c r="J239" s="84">
        <f>G239*ENTRY!$Q233</f>
        <v>0</v>
      </c>
      <c r="K239" s="82">
        <f t="shared" si="2"/>
        <v>0</v>
      </c>
      <c r="L239" s="82" t="str">
        <f>ENTRY!F233</f>
        <v/>
      </c>
      <c r="M239" s="81" t="str">
        <f>ENTRY!G233</f>
        <v/>
      </c>
      <c r="N239" s="85" t="str">
        <f t="shared" si="3"/>
        <v/>
      </c>
      <c r="O239" s="86">
        <f t="shared" si="4"/>
        <v>0</v>
      </c>
      <c r="P239" s="86">
        <f t="shared" si="5"/>
        <v>0</v>
      </c>
      <c r="Q239" s="86">
        <f t="shared" si="6"/>
        <v>0</v>
      </c>
      <c r="R239" s="86">
        <f t="shared" si="7"/>
        <v>0</v>
      </c>
      <c r="S239" s="87" t="str">
        <f t="shared" ref="S239:V239" si="239">IFERROR(O239-Y239,"")
</f>
        <v/>
      </c>
      <c r="T239" s="87">
        <f t="shared" si="239"/>
        <v>0</v>
      </c>
      <c r="U239" s="87">
        <f t="shared" si="239"/>
        <v>0</v>
      </c>
      <c r="V239" s="87">
        <f t="shared" si="239"/>
        <v>0</v>
      </c>
      <c r="W239" s="88" t="str">
        <f t="shared" si="9"/>
        <v/>
      </c>
      <c r="X239" s="89">
        <f>IFERROR(S239/D239,"")</f>
        <v>0</v>
      </c>
      <c r="Y239" s="90" t="str">
        <f t="shared" si="10"/>
        <v>ERR</v>
      </c>
      <c r="Z239" s="90">
        <f>IF(H239=0,0,CAPITAL!$H$5*Y239)
</f>
        <v>0</v>
      </c>
      <c r="AA239" s="90">
        <f>IF(I239=0,0,CAPITAL!$H$6*Y239)
</f>
        <v>0</v>
      </c>
      <c r="AB239" s="90">
        <f>IF(J239=0,0,CAPITAL!$H$7*Y239)
</f>
        <v>0</v>
      </c>
      <c r="AC239" s="90"/>
    </row>
    <row r="240">
      <c r="A240" s="104"/>
      <c r="B240" s="101">
        <v>235.0</v>
      </c>
      <c r="C240" s="18" t="str">
        <f>ENTRY!B234</f>
        <v>SILVERBEES</v>
      </c>
      <c r="D240" s="93">
        <f>CAPITAL!$C$2</f>
        <v>3350000</v>
      </c>
      <c r="E240" s="94" t="str">
        <f>ENTRY!C234</f>
        <v/>
      </c>
      <c r="F240" s="95" t="str">
        <f>ENTRY!D234</f>
        <v/>
      </c>
      <c r="G240" s="96" t="str">
        <f>ENTRY!E234</f>
        <v/>
      </c>
      <c r="H240" s="97">
        <f>G240*ENTRY!$O234</f>
        <v>0</v>
      </c>
      <c r="I240" s="97">
        <f>G240*ENTRY!$P234</f>
        <v>0</v>
      </c>
      <c r="J240" s="97">
        <f>G240*ENTRY!$Q234</f>
        <v>0</v>
      </c>
      <c r="K240" s="95">
        <f t="shared" si="2"/>
        <v>0</v>
      </c>
      <c r="L240" s="95" t="str">
        <f>ENTRY!F234</f>
        <v/>
      </c>
      <c r="M240" s="94" t="str">
        <f>ENTRY!G234</f>
        <v/>
      </c>
      <c r="N240" s="98" t="str">
        <f t="shared" si="3"/>
        <v/>
      </c>
      <c r="O240" s="99">
        <f t="shared" si="4"/>
        <v>0</v>
      </c>
      <c r="P240" s="99">
        <f t="shared" si="5"/>
        <v>0</v>
      </c>
      <c r="Q240" s="99">
        <f t="shared" si="6"/>
        <v>0</v>
      </c>
      <c r="R240" s="99">
        <f t="shared" si="7"/>
        <v>0</v>
      </c>
      <c r="S240" s="100" t="str">
        <f t="shared" ref="S240:V240" si="240">IFERROR(O240-Y240,"")
</f>
        <v/>
      </c>
      <c r="T240" s="100">
        <f t="shared" si="240"/>
        <v>0</v>
      </c>
      <c r="U240" s="100">
        <f t="shared" si="240"/>
        <v>0</v>
      </c>
      <c r="V240" s="100">
        <f t="shared" si="240"/>
        <v>0</v>
      </c>
      <c r="W240" s="88" t="str">
        <f t="shared" si="9"/>
        <v/>
      </c>
      <c r="X240" s="89">
        <f>S240/D240</f>
        <v>0</v>
      </c>
      <c r="Y240" s="90" t="str">
        <f t="shared" si="10"/>
        <v>ERR</v>
      </c>
      <c r="Z240" s="90">
        <f>IF(H240=0,0,CAPITAL!$H$5*Y240)
</f>
        <v>0</v>
      </c>
      <c r="AA240" s="90">
        <f>IF(I240=0,0,CAPITAL!$H$6*Y240)
</f>
        <v>0</v>
      </c>
      <c r="AB240" s="90">
        <f>IF(J240=0,0,CAPITAL!$H$7*Y240)
</f>
        <v>0</v>
      </c>
      <c r="AC240" s="90"/>
    </row>
    <row r="241">
      <c r="A241" s="104"/>
      <c r="B241" s="101">
        <v>236.0</v>
      </c>
      <c r="C241" s="79" t="str">
        <f>ENTRY!B235</f>
        <v>SILVERBEES</v>
      </c>
      <c r="D241" s="80">
        <f>CAPITAL!$C$2</f>
        <v>3350000</v>
      </c>
      <c r="E241" s="81" t="str">
        <f>ENTRY!C235</f>
        <v/>
      </c>
      <c r="F241" s="82" t="str">
        <f>ENTRY!D235</f>
        <v/>
      </c>
      <c r="G241" s="83" t="str">
        <f>ENTRY!E235</f>
        <v/>
      </c>
      <c r="H241" s="84">
        <f>G241*ENTRY!$O235</f>
        <v>0</v>
      </c>
      <c r="I241" s="84">
        <f>G241*ENTRY!$P235</f>
        <v>0</v>
      </c>
      <c r="J241" s="84">
        <f>G241*ENTRY!$Q235</f>
        <v>0</v>
      </c>
      <c r="K241" s="82">
        <f t="shared" si="2"/>
        <v>0</v>
      </c>
      <c r="L241" s="82" t="str">
        <f>ENTRY!F235</f>
        <v/>
      </c>
      <c r="M241" s="81" t="str">
        <f>ENTRY!G235</f>
        <v/>
      </c>
      <c r="N241" s="85" t="str">
        <f t="shared" si="3"/>
        <v/>
      </c>
      <c r="O241" s="86">
        <f t="shared" si="4"/>
        <v>0</v>
      </c>
      <c r="P241" s="86">
        <f t="shared" si="5"/>
        <v>0</v>
      </c>
      <c r="Q241" s="86">
        <f t="shared" si="6"/>
        <v>0</v>
      </c>
      <c r="R241" s="86">
        <f t="shared" si="7"/>
        <v>0</v>
      </c>
      <c r="S241" s="87" t="str">
        <f t="shared" ref="S241:V241" si="241">IFERROR(O241-Y241,"")
</f>
        <v/>
      </c>
      <c r="T241" s="87">
        <f t="shared" si="241"/>
        <v>0</v>
      </c>
      <c r="U241" s="87">
        <f t="shared" si="241"/>
        <v>0</v>
      </c>
      <c r="V241" s="87">
        <f t="shared" si="241"/>
        <v>0</v>
      </c>
      <c r="W241" s="88" t="str">
        <f t="shared" si="9"/>
        <v/>
      </c>
      <c r="X241" s="89">
        <f>IFERROR(S241/D241,"")</f>
        <v>0</v>
      </c>
      <c r="Y241" s="90" t="str">
        <f t="shared" si="10"/>
        <v>ERR</v>
      </c>
      <c r="Z241" s="90">
        <f>IF(H241=0,0,CAPITAL!$H$5*Y241)
</f>
        <v>0</v>
      </c>
      <c r="AA241" s="90">
        <f>IF(I241=0,0,CAPITAL!$H$6*Y241)
</f>
        <v>0</v>
      </c>
      <c r="AB241" s="90">
        <f>IF(J241=0,0,CAPITAL!$H$7*Y241)
</f>
        <v>0</v>
      </c>
      <c r="AC241" s="90"/>
    </row>
    <row r="242">
      <c r="A242" s="104"/>
      <c r="B242" s="101">
        <v>237.0</v>
      </c>
      <c r="C242" s="18" t="str">
        <f>ENTRY!B236</f>
        <v>SILVERBEES</v>
      </c>
      <c r="D242" s="93">
        <f>CAPITAL!$C$2</f>
        <v>3350000</v>
      </c>
      <c r="E242" s="94" t="str">
        <f>ENTRY!C236</f>
        <v/>
      </c>
      <c r="F242" s="95" t="str">
        <f>ENTRY!D236</f>
        <v/>
      </c>
      <c r="G242" s="96" t="str">
        <f>ENTRY!E236</f>
        <v/>
      </c>
      <c r="H242" s="97">
        <f>G242*ENTRY!$O236</f>
        <v>0</v>
      </c>
      <c r="I242" s="97">
        <f>G242*ENTRY!$P236</f>
        <v>0</v>
      </c>
      <c r="J242" s="97">
        <f>G242*ENTRY!$Q236</f>
        <v>0</v>
      </c>
      <c r="K242" s="95">
        <f t="shared" si="2"/>
        <v>0</v>
      </c>
      <c r="L242" s="95" t="str">
        <f>ENTRY!F236</f>
        <v/>
      </c>
      <c r="M242" s="94" t="str">
        <f>ENTRY!G236</f>
        <v/>
      </c>
      <c r="N242" s="98" t="str">
        <f t="shared" si="3"/>
        <v/>
      </c>
      <c r="O242" s="99">
        <f t="shared" si="4"/>
        <v>0</v>
      </c>
      <c r="P242" s="99">
        <f t="shared" si="5"/>
        <v>0</v>
      </c>
      <c r="Q242" s="99">
        <f t="shared" si="6"/>
        <v>0</v>
      </c>
      <c r="R242" s="99">
        <f t="shared" si="7"/>
        <v>0</v>
      </c>
      <c r="S242" s="100" t="str">
        <f t="shared" ref="S242:V242" si="242">IFERROR(O242-Y242,"")
</f>
        <v/>
      </c>
      <c r="T242" s="100">
        <f t="shared" si="242"/>
        <v>0</v>
      </c>
      <c r="U242" s="100">
        <f t="shared" si="242"/>
        <v>0</v>
      </c>
      <c r="V242" s="100">
        <f t="shared" si="242"/>
        <v>0</v>
      </c>
      <c r="W242" s="88" t="str">
        <f t="shared" si="9"/>
        <v/>
      </c>
      <c r="X242" s="89">
        <f>S242/D242</f>
        <v>0</v>
      </c>
      <c r="Y242" s="90" t="str">
        <f t="shared" si="10"/>
        <v>ERR</v>
      </c>
      <c r="Z242" s="90">
        <f>IF(H242=0,0,CAPITAL!$H$5*Y242)
</f>
        <v>0</v>
      </c>
      <c r="AA242" s="90">
        <f>IF(I242=0,0,CAPITAL!$H$6*Y242)
</f>
        <v>0</v>
      </c>
      <c r="AB242" s="90">
        <f>IF(J242=0,0,CAPITAL!$H$7*Y242)
</f>
        <v>0</v>
      </c>
      <c r="AC242" s="90"/>
    </row>
    <row r="243">
      <c r="A243" s="104"/>
      <c r="B243" s="101">
        <v>238.0</v>
      </c>
      <c r="C243" s="79" t="str">
        <f>ENTRY!B237</f>
        <v>SILVERBEES</v>
      </c>
      <c r="D243" s="80">
        <f>CAPITAL!$C$2</f>
        <v>3350000</v>
      </c>
      <c r="E243" s="81" t="str">
        <f>ENTRY!C237</f>
        <v/>
      </c>
      <c r="F243" s="82" t="str">
        <f>ENTRY!D237</f>
        <v/>
      </c>
      <c r="G243" s="83" t="str">
        <f>ENTRY!E237</f>
        <v/>
      </c>
      <c r="H243" s="84">
        <f>G243*ENTRY!$O237</f>
        <v>0</v>
      </c>
      <c r="I243" s="84">
        <f>G243*ENTRY!$P237</f>
        <v>0</v>
      </c>
      <c r="J243" s="84">
        <f>G243*ENTRY!$Q237</f>
        <v>0</v>
      </c>
      <c r="K243" s="82">
        <f t="shared" si="2"/>
        <v>0</v>
      </c>
      <c r="L243" s="82" t="str">
        <f>ENTRY!F237</f>
        <v/>
      </c>
      <c r="M243" s="81" t="str">
        <f>ENTRY!G237</f>
        <v/>
      </c>
      <c r="N243" s="85" t="str">
        <f t="shared" si="3"/>
        <v/>
      </c>
      <c r="O243" s="86">
        <f t="shared" si="4"/>
        <v>0</v>
      </c>
      <c r="P243" s="86">
        <f t="shared" si="5"/>
        <v>0</v>
      </c>
      <c r="Q243" s="86">
        <f t="shared" si="6"/>
        <v>0</v>
      </c>
      <c r="R243" s="86">
        <f t="shared" si="7"/>
        <v>0</v>
      </c>
      <c r="S243" s="87" t="str">
        <f t="shared" ref="S243:V243" si="243">IFERROR(O243-Y243,"")
</f>
        <v/>
      </c>
      <c r="T243" s="87">
        <f t="shared" si="243"/>
        <v>0</v>
      </c>
      <c r="U243" s="87">
        <f t="shared" si="243"/>
        <v>0</v>
      </c>
      <c r="V243" s="87">
        <f t="shared" si="243"/>
        <v>0</v>
      </c>
      <c r="W243" s="88" t="str">
        <f t="shared" si="9"/>
        <v/>
      </c>
      <c r="X243" s="89">
        <f>IFERROR(S243/D243,"")</f>
        <v>0</v>
      </c>
      <c r="Y243" s="90" t="str">
        <f t="shared" si="10"/>
        <v>ERR</v>
      </c>
      <c r="Z243" s="90">
        <f>IF(H243=0,0,CAPITAL!$H$5*Y243)
</f>
        <v>0</v>
      </c>
      <c r="AA243" s="90">
        <f>IF(I243=0,0,CAPITAL!$H$6*Y243)
</f>
        <v>0</v>
      </c>
      <c r="AB243" s="90">
        <f>IF(J243=0,0,CAPITAL!$H$7*Y243)
</f>
        <v>0</v>
      </c>
      <c r="AC243" s="90"/>
    </row>
    <row r="244">
      <c r="A244" s="104"/>
      <c r="B244" s="101">
        <v>239.0</v>
      </c>
      <c r="C244" s="18" t="str">
        <f>ENTRY!B238</f>
        <v>SILVERBEES</v>
      </c>
      <c r="D244" s="93">
        <f>CAPITAL!$C$2</f>
        <v>3350000</v>
      </c>
      <c r="E244" s="94" t="str">
        <f>ENTRY!C238</f>
        <v/>
      </c>
      <c r="F244" s="95" t="str">
        <f>ENTRY!D238</f>
        <v/>
      </c>
      <c r="G244" s="96" t="str">
        <f>ENTRY!E238</f>
        <v/>
      </c>
      <c r="H244" s="97">
        <f>G244*ENTRY!$O238</f>
        <v>0</v>
      </c>
      <c r="I244" s="97">
        <f>G244*ENTRY!$P238</f>
        <v>0</v>
      </c>
      <c r="J244" s="97">
        <f>G244*ENTRY!$Q238</f>
        <v>0</v>
      </c>
      <c r="K244" s="95">
        <f t="shared" si="2"/>
        <v>0</v>
      </c>
      <c r="L244" s="95" t="str">
        <f>ENTRY!F238</f>
        <v/>
      </c>
      <c r="M244" s="94" t="str">
        <f>ENTRY!G238</f>
        <v/>
      </c>
      <c r="N244" s="98" t="str">
        <f t="shared" si="3"/>
        <v/>
      </c>
      <c r="O244" s="99">
        <f t="shared" si="4"/>
        <v>0</v>
      </c>
      <c r="P244" s="99">
        <f t="shared" si="5"/>
        <v>0</v>
      </c>
      <c r="Q244" s="99">
        <f t="shared" si="6"/>
        <v>0</v>
      </c>
      <c r="R244" s="99">
        <f t="shared" si="7"/>
        <v>0</v>
      </c>
      <c r="S244" s="100" t="str">
        <f t="shared" ref="S244:V244" si="244">IFERROR(O244-Y244,"")
</f>
        <v/>
      </c>
      <c r="T244" s="100">
        <f t="shared" si="244"/>
        <v>0</v>
      </c>
      <c r="U244" s="100">
        <f t="shared" si="244"/>
        <v>0</v>
      </c>
      <c r="V244" s="100">
        <f t="shared" si="244"/>
        <v>0</v>
      </c>
      <c r="W244" s="88" t="str">
        <f t="shared" si="9"/>
        <v/>
      </c>
      <c r="X244" s="89">
        <f>S244/D244</f>
        <v>0</v>
      </c>
      <c r="Y244" s="90" t="str">
        <f t="shared" si="10"/>
        <v>ERR</v>
      </c>
      <c r="Z244" s="90">
        <f>IF(H244=0,0,CAPITAL!$H$5*Y244)
</f>
        <v>0</v>
      </c>
      <c r="AA244" s="90">
        <f>IF(I244=0,0,CAPITAL!$H$6*Y244)
</f>
        <v>0</v>
      </c>
      <c r="AB244" s="90">
        <f>IF(J244=0,0,CAPITAL!$H$7*Y244)
</f>
        <v>0</v>
      </c>
      <c r="AC244" s="90"/>
    </row>
    <row r="245">
      <c r="A245" s="104"/>
      <c r="B245" s="101">
        <v>240.0</v>
      </c>
      <c r="C245" s="79" t="str">
        <f>ENTRY!B239</f>
        <v>SILVERBEES</v>
      </c>
      <c r="D245" s="80">
        <f>CAPITAL!$C$2</f>
        <v>3350000</v>
      </c>
      <c r="E245" s="81" t="str">
        <f>ENTRY!C239</f>
        <v/>
      </c>
      <c r="F245" s="82" t="str">
        <f>ENTRY!D239</f>
        <v/>
      </c>
      <c r="G245" s="83" t="str">
        <f>ENTRY!E239</f>
        <v/>
      </c>
      <c r="H245" s="84">
        <f>G245*ENTRY!$O239</f>
        <v>0</v>
      </c>
      <c r="I245" s="84">
        <f>G245*ENTRY!$P239</f>
        <v>0</v>
      </c>
      <c r="J245" s="84">
        <f>G245*ENTRY!$Q239</f>
        <v>0</v>
      </c>
      <c r="K245" s="82">
        <f t="shared" si="2"/>
        <v>0</v>
      </c>
      <c r="L245" s="82" t="str">
        <f>ENTRY!F239</f>
        <v/>
      </c>
      <c r="M245" s="81" t="str">
        <f>ENTRY!G239</f>
        <v/>
      </c>
      <c r="N245" s="85" t="str">
        <f t="shared" si="3"/>
        <v/>
      </c>
      <c r="O245" s="86">
        <f t="shared" si="4"/>
        <v>0</v>
      </c>
      <c r="P245" s="86">
        <f t="shared" si="5"/>
        <v>0</v>
      </c>
      <c r="Q245" s="86">
        <f t="shared" si="6"/>
        <v>0</v>
      </c>
      <c r="R245" s="86">
        <f t="shared" si="7"/>
        <v>0</v>
      </c>
      <c r="S245" s="87" t="str">
        <f t="shared" ref="S245:V245" si="245">IFERROR(O245-Y245,"")
</f>
        <v/>
      </c>
      <c r="T245" s="87">
        <f t="shared" si="245"/>
        <v>0</v>
      </c>
      <c r="U245" s="87">
        <f t="shared" si="245"/>
        <v>0</v>
      </c>
      <c r="V245" s="87">
        <f t="shared" si="245"/>
        <v>0</v>
      </c>
      <c r="W245" s="88" t="str">
        <f t="shared" si="9"/>
        <v/>
      </c>
      <c r="X245" s="89">
        <f>IFERROR(S245/D245,"")</f>
        <v>0</v>
      </c>
      <c r="Y245" s="90" t="str">
        <f t="shared" si="10"/>
        <v>ERR</v>
      </c>
      <c r="Z245" s="90">
        <f>IF(H245=0,0,CAPITAL!$H$5*Y245)
</f>
        <v>0</v>
      </c>
      <c r="AA245" s="90">
        <f>IF(I245=0,0,CAPITAL!$H$6*Y245)
</f>
        <v>0</v>
      </c>
      <c r="AB245" s="90">
        <f>IF(J245=0,0,CAPITAL!$H$7*Y245)
</f>
        <v>0</v>
      </c>
      <c r="AC245" s="90"/>
    </row>
    <row r="246">
      <c r="A246" s="104"/>
      <c r="B246" s="101">
        <v>241.0</v>
      </c>
      <c r="C246" s="18" t="str">
        <f>ENTRY!B240</f>
        <v>SILVERBEES</v>
      </c>
      <c r="D246" s="93">
        <f>CAPITAL!$C$2</f>
        <v>3350000</v>
      </c>
      <c r="E246" s="94" t="str">
        <f>ENTRY!C240</f>
        <v/>
      </c>
      <c r="F246" s="95" t="str">
        <f>ENTRY!D240</f>
        <v/>
      </c>
      <c r="G246" s="96" t="str">
        <f>ENTRY!E240</f>
        <v/>
      </c>
      <c r="H246" s="97">
        <f>G246*ENTRY!$O240</f>
        <v>0</v>
      </c>
      <c r="I246" s="97">
        <f>G246*ENTRY!$P240</f>
        <v>0</v>
      </c>
      <c r="J246" s="97">
        <f>G246*ENTRY!$Q240</f>
        <v>0</v>
      </c>
      <c r="K246" s="95">
        <f t="shared" si="2"/>
        <v>0</v>
      </c>
      <c r="L246" s="95" t="str">
        <f>ENTRY!F240</f>
        <v/>
      </c>
      <c r="M246" s="94" t="str">
        <f>ENTRY!G240</f>
        <v/>
      </c>
      <c r="N246" s="98" t="str">
        <f t="shared" si="3"/>
        <v/>
      </c>
      <c r="O246" s="99">
        <f t="shared" si="4"/>
        <v>0</v>
      </c>
      <c r="P246" s="99">
        <f t="shared" si="5"/>
        <v>0</v>
      </c>
      <c r="Q246" s="99">
        <f t="shared" si="6"/>
        <v>0</v>
      </c>
      <c r="R246" s="99">
        <f t="shared" si="7"/>
        <v>0</v>
      </c>
      <c r="S246" s="100" t="str">
        <f t="shared" ref="S246:V246" si="246">IFERROR(O246-Y246,"")
</f>
        <v/>
      </c>
      <c r="T246" s="100">
        <f t="shared" si="246"/>
        <v>0</v>
      </c>
      <c r="U246" s="100">
        <f t="shared" si="246"/>
        <v>0</v>
      </c>
      <c r="V246" s="100">
        <f t="shared" si="246"/>
        <v>0</v>
      </c>
      <c r="W246" s="88" t="str">
        <f t="shared" si="9"/>
        <v/>
      </c>
      <c r="X246" s="89">
        <f>S246/D246</f>
        <v>0</v>
      </c>
      <c r="Y246" s="90" t="str">
        <f t="shared" si="10"/>
        <v>ERR</v>
      </c>
      <c r="Z246" s="90">
        <f>IF(H246=0,0,CAPITAL!$H$5*Y246)
</f>
        <v>0</v>
      </c>
      <c r="AA246" s="90">
        <f>IF(I246=0,0,CAPITAL!$H$6*Y246)
</f>
        <v>0</v>
      </c>
      <c r="AB246" s="90">
        <f>IF(J246=0,0,CAPITAL!$H$7*Y246)
</f>
        <v>0</v>
      </c>
      <c r="AC246" s="90"/>
    </row>
    <row r="247">
      <c r="A247" s="104"/>
      <c r="B247" s="101">
        <v>242.0</v>
      </c>
      <c r="C247" s="79" t="str">
        <f>ENTRY!B241</f>
        <v>SILVERBEES</v>
      </c>
      <c r="D247" s="80">
        <f>CAPITAL!$C$2</f>
        <v>3350000</v>
      </c>
      <c r="E247" s="81" t="str">
        <f>ENTRY!C241</f>
        <v/>
      </c>
      <c r="F247" s="82" t="str">
        <f>ENTRY!D241</f>
        <v/>
      </c>
      <c r="G247" s="83" t="str">
        <f>ENTRY!E241</f>
        <v/>
      </c>
      <c r="H247" s="84">
        <f>G247*ENTRY!$O241</f>
        <v>0</v>
      </c>
      <c r="I247" s="84">
        <f>G247*ENTRY!$P241</f>
        <v>0</v>
      </c>
      <c r="J247" s="84">
        <f>G247*ENTRY!$Q241</f>
        <v>0</v>
      </c>
      <c r="K247" s="82">
        <f t="shared" si="2"/>
        <v>0</v>
      </c>
      <c r="L247" s="82" t="str">
        <f>ENTRY!F241</f>
        <v/>
      </c>
      <c r="M247" s="81" t="str">
        <f>ENTRY!G241</f>
        <v/>
      </c>
      <c r="N247" s="85" t="str">
        <f t="shared" si="3"/>
        <v/>
      </c>
      <c r="O247" s="86">
        <f t="shared" si="4"/>
        <v>0</v>
      </c>
      <c r="P247" s="86">
        <f t="shared" si="5"/>
        <v>0</v>
      </c>
      <c r="Q247" s="86">
        <f t="shared" si="6"/>
        <v>0</v>
      </c>
      <c r="R247" s="86">
        <f t="shared" si="7"/>
        <v>0</v>
      </c>
      <c r="S247" s="87" t="str">
        <f t="shared" ref="S247:V247" si="247">IFERROR(O247-Y247,"")
</f>
        <v/>
      </c>
      <c r="T247" s="87">
        <f t="shared" si="247"/>
        <v>0</v>
      </c>
      <c r="U247" s="87">
        <f t="shared" si="247"/>
        <v>0</v>
      </c>
      <c r="V247" s="87">
        <f t="shared" si="247"/>
        <v>0</v>
      </c>
      <c r="W247" s="88" t="str">
        <f t="shared" si="9"/>
        <v/>
      </c>
      <c r="X247" s="89">
        <f>IFERROR(S247/D247,"")</f>
        <v>0</v>
      </c>
      <c r="Y247" s="90" t="str">
        <f t="shared" si="10"/>
        <v>ERR</v>
      </c>
      <c r="Z247" s="90">
        <f>IF(H247=0,0,CAPITAL!$H$5*Y247)
</f>
        <v>0</v>
      </c>
      <c r="AA247" s="90">
        <f>IF(I247=0,0,CAPITAL!$H$6*Y247)
</f>
        <v>0</v>
      </c>
      <c r="AB247" s="90">
        <f>IF(J247=0,0,CAPITAL!$H$7*Y247)
</f>
        <v>0</v>
      </c>
      <c r="AC247" s="90"/>
    </row>
    <row r="248">
      <c r="A248" s="104"/>
      <c r="B248" s="101">
        <v>243.0</v>
      </c>
      <c r="C248" s="18" t="str">
        <f>ENTRY!B242</f>
        <v>SILVERBEES</v>
      </c>
      <c r="D248" s="93">
        <f>CAPITAL!$C$2</f>
        <v>3350000</v>
      </c>
      <c r="E248" s="94" t="str">
        <f>ENTRY!C242</f>
        <v/>
      </c>
      <c r="F248" s="95" t="str">
        <f>ENTRY!D242</f>
        <v/>
      </c>
      <c r="G248" s="96" t="str">
        <f>ENTRY!E242</f>
        <v/>
      </c>
      <c r="H248" s="97">
        <f>G248*ENTRY!$O242</f>
        <v>0</v>
      </c>
      <c r="I248" s="97">
        <f>G248*ENTRY!$P242</f>
        <v>0</v>
      </c>
      <c r="J248" s="97">
        <f>G248*ENTRY!$Q242</f>
        <v>0</v>
      </c>
      <c r="K248" s="95">
        <f t="shared" si="2"/>
        <v>0</v>
      </c>
      <c r="L248" s="95" t="str">
        <f>ENTRY!F242</f>
        <v/>
      </c>
      <c r="M248" s="94" t="str">
        <f>ENTRY!G242</f>
        <v/>
      </c>
      <c r="N248" s="98" t="str">
        <f t="shared" si="3"/>
        <v/>
      </c>
      <c r="O248" s="99">
        <f t="shared" si="4"/>
        <v>0</v>
      </c>
      <c r="P248" s="99">
        <f t="shared" si="5"/>
        <v>0</v>
      </c>
      <c r="Q248" s="99">
        <f t="shared" si="6"/>
        <v>0</v>
      </c>
      <c r="R248" s="99">
        <f t="shared" si="7"/>
        <v>0</v>
      </c>
      <c r="S248" s="100" t="str">
        <f t="shared" ref="S248:V248" si="248">IFERROR(O248-Y248,"")
</f>
        <v/>
      </c>
      <c r="T248" s="100">
        <f t="shared" si="248"/>
        <v>0</v>
      </c>
      <c r="U248" s="100">
        <f t="shared" si="248"/>
        <v>0</v>
      </c>
      <c r="V248" s="100">
        <f t="shared" si="248"/>
        <v>0</v>
      </c>
      <c r="W248" s="88" t="str">
        <f t="shared" si="9"/>
        <v/>
      </c>
      <c r="X248" s="89">
        <f>S248/D248</f>
        <v>0</v>
      </c>
      <c r="Y248" s="90" t="str">
        <f t="shared" si="10"/>
        <v>ERR</v>
      </c>
      <c r="Z248" s="90">
        <f>IF(H248=0,0,CAPITAL!$H$5*Y248)
</f>
        <v>0</v>
      </c>
      <c r="AA248" s="90">
        <f>IF(I248=0,0,CAPITAL!$H$6*Y248)
</f>
        <v>0</v>
      </c>
      <c r="AB248" s="90">
        <f>IF(J248=0,0,CAPITAL!$H$7*Y248)
</f>
        <v>0</v>
      </c>
      <c r="AC248" s="90"/>
    </row>
    <row r="249">
      <c r="A249" s="104"/>
      <c r="B249" s="101">
        <v>244.0</v>
      </c>
      <c r="C249" s="79" t="str">
        <f>ENTRY!B243</f>
        <v>SILVERBEES</v>
      </c>
      <c r="D249" s="80">
        <f>CAPITAL!$C$2</f>
        <v>3350000</v>
      </c>
      <c r="E249" s="81" t="str">
        <f>ENTRY!C243</f>
        <v/>
      </c>
      <c r="F249" s="82" t="str">
        <f>ENTRY!D243</f>
        <v/>
      </c>
      <c r="G249" s="83" t="str">
        <f>ENTRY!E243</f>
        <v/>
      </c>
      <c r="H249" s="84">
        <f>G249*ENTRY!$O243</f>
        <v>0</v>
      </c>
      <c r="I249" s="84">
        <f>G249*ENTRY!$P243</f>
        <v>0</v>
      </c>
      <c r="J249" s="84">
        <f>G249*ENTRY!$Q243</f>
        <v>0</v>
      </c>
      <c r="K249" s="82">
        <f t="shared" si="2"/>
        <v>0</v>
      </c>
      <c r="L249" s="82" t="str">
        <f>ENTRY!F243</f>
        <v/>
      </c>
      <c r="M249" s="81" t="str">
        <f>ENTRY!G243</f>
        <v/>
      </c>
      <c r="N249" s="85" t="str">
        <f t="shared" si="3"/>
        <v/>
      </c>
      <c r="O249" s="86">
        <f t="shared" si="4"/>
        <v>0</v>
      </c>
      <c r="P249" s="86">
        <f t="shared" si="5"/>
        <v>0</v>
      </c>
      <c r="Q249" s="86">
        <f t="shared" si="6"/>
        <v>0</v>
      </c>
      <c r="R249" s="86">
        <f t="shared" si="7"/>
        <v>0</v>
      </c>
      <c r="S249" s="87" t="str">
        <f t="shared" ref="S249:V249" si="249">IFERROR(O249-Y249,"")
</f>
        <v/>
      </c>
      <c r="T249" s="87">
        <f t="shared" si="249"/>
        <v>0</v>
      </c>
      <c r="U249" s="87">
        <f t="shared" si="249"/>
        <v>0</v>
      </c>
      <c r="V249" s="87">
        <f t="shared" si="249"/>
        <v>0</v>
      </c>
      <c r="W249" s="88" t="str">
        <f t="shared" si="9"/>
        <v/>
      </c>
      <c r="X249" s="89">
        <f>IFERROR(S249/D249,"")</f>
        <v>0</v>
      </c>
      <c r="Y249" s="90" t="str">
        <f t="shared" si="10"/>
        <v>ERR</v>
      </c>
      <c r="Z249" s="90">
        <f>IF(H249=0,0,CAPITAL!$H$5*Y249)
</f>
        <v>0</v>
      </c>
      <c r="AA249" s="90">
        <f>IF(I249=0,0,CAPITAL!$H$6*Y249)
</f>
        <v>0</v>
      </c>
      <c r="AB249" s="90">
        <f>IF(J249=0,0,CAPITAL!$H$7*Y249)
</f>
        <v>0</v>
      </c>
      <c r="AC249" s="90"/>
    </row>
    <row r="250">
      <c r="A250" s="104"/>
      <c r="B250" s="101">
        <v>245.0</v>
      </c>
      <c r="C250" s="18" t="str">
        <f>ENTRY!B244</f>
        <v>SILVERBEES</v>
      </c>
      <c r="D250" s="93">
        <f>CAPITAL!$C$2</f>
        <v>3350000</v>
      </c>
      <c r="E250" s="94" t="str">
        <f>ENTRY!C244</f>
        <v/>
      </c>
      <c r="F250" s="95" t="str">
        <f>ENTRY!D244</f>
        <v/>
      </c>
      <c r="G250" s="96" t="str">
        <f>ENTRY!E244</f>
        <v/>
      </c>
      <c r="H250" s="97">
        <f>G250*ENTRY!$O244</f>
        <v>0</v>
      </c>
      <c r="I250" s="97">
        <f>G250*ENTRY!$P244</f>
        <v>0</v>
      </c>
      <c r="J250" s="97">
        <f>G250*ENTRY!$Q244</f>
        <v>0</v>
      </c>
      <c r="K250" s="95">
        <f t="shared" si="2"/>
        <v>0</v>
      </c>
      <c r="L250" s="95" t="str">
        <f>ENTRY!F244</f>
        <v/>
      </c>
      <c r="M250" s="94" t="str">
        <f>ENTRY!G244</f>
        <v/>
      </c>
      <c r="N250" s="98" t="str">
        <f t="shared" si="3"/>
        <v/>
      </c>
      <c r="O250" s="99">
        <f t="shared" si="4"/>
        <v>0</v>
      </c>
      <c r="P250" s="99">
        <f t="shared" si="5"/>
        <v>0</v>
      </c>
      <c r="Q250" s="99">
        <f t="shared" si="6"/>
        <v>0</v>
      </c>
      <c r="R250" s="99">
        <f t="shared" si="7"/>
        <v>0</v>
      </c>
      <c r="S250" s="100" t="str">
        <f t="shared" ref="S250:V250" si="250">IFERROR(O250-Y250,"")
</f>
        <v/>
      </c>
      <c r="T250" s="100">
        <f t="shared" si="250"/>
        <v>0</v>
      </c>
      <c r="U250" s="100">
        <f t="shared" si="250"/>
        <v>0</v>
      </c>
      <c r="V250" s="100">
        <f t="shared" si="250"/>
        <v>0</v>
      </c>
      <c r="W250" s="88" t="str">
        <f t="shared" si="9"/>
        <v/>
      </c>
      <c r="X250" s="89">
        <f>S250/D250</f>
        <v>0</v>
      </c>
      <c r="Y250" s="90" t="str">
        <f t="shared" si="10"/>
        <v>ERR</v>
      </c>
      <c r="Z250" s="90">
        <f>IF(H250=0,0,CAPITAL!$H$5*Y250)
</f>
        <v>0</v>
      </c>
      <c r="AA250" s="90">
        <f>IF(I250=0,0,CAPITAL!$H$6*Y250)
</f>
        <v>0</v>
      </c>
      <c r="AB250" s="90">
        <f>IF(J250=0,0,CAPITAL!$H$7*Y250)
</f>
        <v>0</v>
      </c>
      <c r="AC250" s="90"/>
    </row>
    <row r="251">
      <c r="A251" s="104"/>
      <c r="B251" s="101">
        <v>246.0</v>
      </c>
      <c r="C251" s="79" t="str">
        <f>ENTRY!B245</f>
        <v>SILVERBEES</v>
      </c>
      <c r="D251" s="80">
        <f>CAPITAL!$C$2</f>
        <v>3350000</v>
      </c>
      <c r="E251" s="81" t="str">
        <f>ENTRY!C245</f>
        <v/>
      </c>
      <c r="F251" s="82" t="str">
        <f>ENTRY!D245</f>
        <v/>
      </c>
      <c r="G251" s="83" t="str">
        <f>ENTRY!E245</f>
        <v/>
      </c>
      <c r="H251" s="84">
        <f>G251*ENTRY!$O245</f>
        <v>0</v>
      </c>
      <c r="I251" s="84">
        <f>G251*ENTRY!$P245</f>
        <v>0</v>
      </c>
      <c r="J251" s="84">
        <f>G251*ENTRY!$Q245</f>
        <v>0</v>
      </c>
      <c r="K251" s="82">
        <f t="shared" si="2"/>
        <v>0</v>
      </c>
      <c r="L251" s="82" t="str">
        <f>ENTRY!F245</f>
        <v/>
      </c>
      <c r="M251" s="81" t="str">
        <f>ENTRY!G245</f>
        <v/>
      </c>
      <c r="N251" s="85" t="str">
        <f t="shared" si="3"/>
        <v/>
      </c>
      <c r="O251" s="86">
        <f t="shared" si="4"/>
        <v>0</v>
      </c>
      <c r="P251" s="86">
        <f t="shared" si="5"/>
        <v>0</v>
      </c>
      <c r="Q251" s="86">
        <f t="shared" si="6"/>
        <v>0</v>
      </c>
      <c r="R251" s="86">
        <f t="shared" si="7"/>
        <v>0</v>
      </c>
      <c r="S251" s="87" t="str">
        <f t="shared" ref="S251:V251" si="251">IFERROR(O251-Y251,"")
</f>
        <v/>
      </c>
      <c r="T251" s="87">
        <f t="shared" si="251"/>
        <v>0</v>
      </c>
      <c r="U251" s="87">
        <f t="shared" si="251"/>
        <v>0</v>
      </c>
      <c r="V251" s="87">
        <f t="shared" si="251"/>
        <v>0</v>
      </c>
      <c r="W251" s="88" t="str">
        <f t="shared" si="9"/>
        <v/>
      </c>
      <c r="X251" s="89">
        <f>IFERROR(S251/D251,"")</f>
        <v>0</v>
      </c>
      <c r="Y251" s="90" t="str">
        <f t="shared" si="10"/>
        <v>ERR</v>
      </c>
      <c r="Z251" s="90">
        <f>IF(H251=0,0,CAPITAL!$H$5*Y251)
</f>
        <v>0</v>
      </c>
      <c r="AA251" s="90">
        <f>IF(I251=0,0,CAPITAL!$H$6*Y251)
</f>
        <v>0</v>
      </c>
      <c r="AB251" s="90">
        <f>IF(J251=0,0,CAPITAL!$H$7*Y251)
</f>
        <v>0</v>
      </c>
      <c r="AC251" s="90"/>
    </row>
    <row r="252">
      <c r="A252" s="104"/>
      <c r="B252" s="101">
        <v>247.0</v>
      </c>
      <c r="C252" s="18" t="str">
        <f>ENTRY!B246</f>
        <v>SILVERBEES</v>
      </c>
      <c r="D252" s="93">
        <f>CAPITAL!$C$2</f>
        <v>3350000</v>
      </c>
      <c r="E252" s="94" t="str">
        <f>ENTRY!C246</f>
        <v/>
      </c>
      <c r="F252" s="95" t="str">
        <f>ENTRY!D246</f>
        <v/>
      </c>
      <c r="G252" s="96" t="str">
        <f>ENTRY!E246</f>
        <v/>
      </c>
      <c r="H252" s="97">
        <f>G252*ENTRY!$O246</f>
        <v>0</v>
      </c>
      <c r="I252" s="97">
        <f>G252*ENTRY!$P246</f>
        <v>0</v>
      </c>
      <c r="J252" s="97">
        <f>G252*ENTRY!$Q246</f>
        <v>0</v>
      </c>
      <c r="K252" s="95">
        <f t="shared" si="2"/>
        <v>0</v>
      </c>
      <c r="L252" s="95" t="str">
        <f>ENTRY!F246</f>
        <v/>
      </c>
      <c r="M252" s="94" t="str">
        <f>ENTRY!G246</f>
        <v/>
      </c>
      <c r="N252" s="98" t="str">
        <f t="shared" si="3"/>
        <v/>
      </c>
      <c r="O252" s="99">
        <f t="shared" si="4"/>
        <v>0</v>
      </c>
      <c r="P252" s="99">
        <f t="shared" si="5"/>
        <v>0</v>
      </c>
      <c r="Q252" s="99">
        <f t="shared" si="6"/>
        <v>0</v>
      </c>
      <c r="R252" s="99">
        <f t="shared" si="7"/>
        <v>0</v>
      </c>
      <c r="S252" s="100" t="str">
        <f t="shared" ref="S252:V252" si="252">IFERROR(O252-Y252,"")
</f>
        <v/>
      </c>
      <c r="T252" s="100">
        <f t="shared" si="252"/>
        <v>0</v>
      </c>
      <c r="U252" s="100">
        <f t="shared" si="252"/>
        <v>0</v>
      </c>
      <c r="V252" s="100">
        <f t="shared" si="252"/>
        <v>0</v>
      </c>
      <c r="W252" s="88" t="str">
        <f t="shared" si="9"/>
        <v/>
      </c>
      <c r="X252" s="89">
        <f>S252/D252</f>
        <v>0</v>
      </c>
      <c r="Y252" s="90" t="str">
        <f t="shared" si="10"/>
        <v>ERR</v>
      </c>
      <c r="Z252" s="90">
        <f>IF(H252=0,0,CAPITAL!$H$5*Y252)
</f>
        <v>0</v>
      </c>
      <c r="AA252" s="90">
        <f>IF(I252=0,0,CAPITAL!$H$6*Y252)
</f>
        <v>0</v>
      </c>
      <c r="AB252" s="90">
        <f>IF(J252=0,0,CAPITAL!$H$7*Y252)
</f>
        <v>0</v>
      </c>
      <c r="AC252" s="90"/>
    </row>
    <row r="253">
      <c r="A253" s="104"/>
      <c r="B253" s="101">
        <v>248.0</v>
      </c>
      <c r="C253" s="79" t="str">
        <f>ENTRY!B247</f>
        <v>SILVERBEES</v>
      </c>
      <c r="D253" s="80">
        <f>CAPITAL!$C$2</f>
        <v>3350000</v>
      </c>
      <c r="E253" s="81" t="str">
        <f>ENTRY!C247</f>
        <v/>
      </c>
      <c r="F253" s="82" t="str">
        <f>ENTRY!D247</f>
        <v/>
      </c>
      <c r="G253" s="83" t="str">
        <f>ENTRY!E247</f>
        <v/>
      </c>
      <c r="H253" s="84">
        <f>G253*ENTRY!$O247</f>
        <v>0</v>
      </c>
      <c r="I253" s="84">
        <f>G253*ENTRY!$P247</f>
        <v>0</v>
      </c>
      <c r="J253" s="84">
        <f>G253*ENTRY!$Q247</f>
        <v>0</v>
      </c>
      <c r="K253" s="82">
        <f t="shared" si="2"/>
        <v>0</v>
      </c>
      <c r="L253" s="82" t="str">
        <f>ENTRY!F247</f>
        <v/>
      </c>
      <c r="M253" s="81" t="str">
        <f>ENTRY!G247</f>
        <v/>
      </c>
      <c r="N253" s="85" t="str">
        <f t="shared" si="3"/>
        <v/>
      </c>
      <c r="O253" s="86">
        <f t="shared" si="4"/>
        <v>0</v>
      </c>
      <c r="P253" s="86">
        <f t="shared" si="5"/>
        <v>0</v>
      </c>
      <c r="Q253" s="86">
        <f t="shared" si="6"/>
        <v>0</v>
      </c>
      <c r="R253" s="86">
        <f t="shared" si="7"/>
        <v>0</v>
      </c>
      <c r="S253" s="87" t="str">
        <f t="shared" ref="S253:V253" si="253">IFERROR(O253-Y253,"")
</f>
        <v/>
      </c>
      <c r="T253" s="87">
        <f t="shared" si="253"/>
        <v>0</v>
      </c>
      <c r="U253" s="87">
        <f t="shared" si="253"/>
        <v>0</v>
      </c>
      <c r="V253" s="87">
        <f t="shared" si="253"/>
        <v>0</v>
      </c>
      <c r="W253" s="88" t="str">
        <f t="shared" si="9"/>
        <v/>
      </c>
      <c r="X253" s="89">
        <f>IFERROR(S253/D253,"")</f>
        <v>0</v>
      </c>
      <c r="Y253" s="90" t="str">
        <f t="shared" si="10"/>
        <v>ERR</v>
      </c>
      <c r="Z253" s="90">
        <f>IF(H253=0,0,CAPITAL!$H$5*Y253)
</f>
        <v>0</v>
      </c>
      <c r="AA253" s="90">
        <f>IF(I253=0,0,CAPITAL!$H$6*Y253)
</f>
        <v>0</v>
      </c>
      <c r="AB253" s="90">
        <f>IF(J253=0,0,CAPITAL!$H$7*Y253)
</f>
        <v>0</v>
      </c>
      <c r="AC253" s="90"/>
    </row>
    <row r="254">
      <c r="A254" s="104"/>
      <c r="B254" s="101">
        <v>249.0</v>
      </c>
      <c r="C254" s="18" t="str">
        <f>ENTRY!B248</f>
        <v>SILVERBEES</v>
      </c>
      <c r="D254" s="93">
        <f>CAPITAL!$C$2</f>
        <v>3350000</v>
      </c>
      <c r="E254" s="94" t="str">
        <f>ENTRY!C248</f>
        <v/>
      </c>
      <c r="F254" s="95" t="str">
        <f>ENTRY!D248</f>
        <v/>
      </c>
      <c r="G254" s="96" t="str">
        <f>ENTRY!E248</f>
        <v/>
      </c>
      <c r="H254" s="97">
        <f>G254*ENTRY!$O248</f>
        <v>0</v>
      </c>
      <c r="I254" s="97">
        <f>G254*ENTRY!$P248</f>
        <v>0</v>
      </c>
      <c r="J254" s="97">
        <f>G254*ENTRY!$Q248</f>
        <v>0</v>
      </c>
      <c r="K254" s="95">
        <f t="shared" si="2"/>
        <v>0</v>
      </c>
      <c r="L254" s="95" t="str">
        <f>ENTRY!F248</f>
        <v/>
      </c>
      <c r="M254" s="94" t="str">
        <f>ENTRY!G248</f>
        <v/>
      </c>
      <c r="N254" s="98" t="str">
        <f t="shared" si="3"/>
        <v/>
      </c>
      <c r="O254" s="99">
        <f t="shared" si="4"/>
        <v>0</v>
      </c>
      <c r="P254" s="99">
        <f t="shared" si="5"/>
        <v>0</v>
      </c>
      <c r="Q254" s="99">
        <f t="shared" si="6"/>
        <v>0</v>
      </c>
      <c r="R254" s="99">
        <f t="shared" si="7"/>
        <v>0</v>
      </c>
      <c r="S254" s="100" t="str">
        <f t="shared" ref="S254:V254" si="254">IFERROR(O254-Y254,"")
</f>
        <v/>
      </c>
      <c r="T254" s="100">
        <f t="shared" si="254"/>
        <v>0</v>
      </c>
      <c r="U254" s="100">
        <f t="shared" si="254"/>
        <v>0</v>
      </c>
      <c r="V254" s="100">
        <f t="shared" si="254"/>
        <v>0</v>
      </c>
      <c r="W254" s="88" t="str">
        <f t="shared" si="9"/>
        <v/>
      </c>
      <c r="X254" s="89">
        <f>S254/D254</f>
        <v>0</v>
      </c>
      <c r="Y254" s="90" t="str">
        <f t="shared" si="10"/>
        <v>ERR</v>
      </c>
      <c r="Z254" s="90">
        <f>IF(H254=0,0,CAPITAL!$H$5*Y254)
</f>
        <v>0</v>
      </c>
      <c r="AA254" s="90">
        <f>IF(I254=0,0,CAPITAL!$H$6*Y254)
</f>
        <v>0</v>
      </c>
      <c r="AB254" s="90">
        <f>IF(J254=0,0,CAPITAL!$H$7*Y254)
</f>
        <v>0</v>
      </c>
      <c r="AC254" s="90"/>
    </row>
    <row r="255">
      <c r="A255" s="104"/>
      <c r="B255" s="101">
        <v>250.0</v>
      </c>
      <c r="C255" s="79" t="str">
        <f>ENTRY!B249</f>
        <v>SILVERBEES</v>
      </c>
      <c r="D255" s="80">
        <f>CAPITAL!$C$2</f>
        <v>3350000</v>
      </c>
      <c r="E255" s="81" t="str">
        <f>ENTRY!C249</f>
        <v/>
      </c>
      <c r="F255" s="82" t="str">
        <f>ENTRY!D249</f>
        <v/>
      </c>
      <c r="G255" s="83" t="str">
        <f>ENTRY!E249</f>
        <v/>
      </c>
      <c r="H255" s="84">
        <f>G255*ENTRY!$O249</f>
        <v>0</v>
      </c>
      <c r="I255" s="84">
        <f>G255*ENTRY!$P249</f>
        <v>0</v>
      </c>
      <c r="J255" s="84">
        <f>G255*ENTRY!$Q249</f>
        <v>0</v>
      </c>
      <c r="K255" s="82">
        <f t="shared" si="2"/>
        <v>0</v>
      </c>
      <c r="L255" s="82" t="str">
        <f>ENTRY!F249</f>
        <v/>
      </c>
      <c r="M255" s="81" t="str">
        <f>ENTRY!G249</f>
        <v/>
      </c>
      <c r="N255" s="85" t="str">
        <f t="shared" si="3"/>
        <v/>
      </c>
      <c r="O255" s="86">
        <f t="shared" si="4"/>
        <v>0</v>
      </c>
      <c r="P255" s="86">
        <f t="shared" si="5"/>
        <v>0</v>
      </c>
      <c r="Q255" s="86">
        <f t="shared" si="6"/>
        <v>0</v>
      </c>
      <c r="R255" s="86">
        <f t="shared" si="7"/>
        <v>0</v>
      </c>
      <c r="S255" s="87" t="str">
        <f t="shared" ref="S255:V255" si="255">IFERROR(O255-Y255,"")
</f>
        <v/>
      </c>
      <c r="T255" s="87">
        <f t="shared" si="255"/>
        <v>0</v>
      </c>
      <c r="U255" s="87">
        <f t="shared" si="255"/>
        <v>0</v>
      </c>
      <c r="V255" s="87">
        <f t="shared" si="255"/>
        <v>0</v>
      </c>
      <c r="W255" s="88" t="str">
        <f t="shared" si="9"/>
        <v/>
      </c>
      <c r="X255" s="89">
        <f>IFERROR(S255/D255,"")</f>
        <v>0</v>
      </c>
      <c r="Y255" s="90" t="str">
        <f t="shared" si="10"/>
        <v>ERR</v>
      </c>
      <c r="Z255" s="90">
        <f>IF(H255=0,0,CAPITAL!$H$5*Y255)
</f>
        <v>0</v>
      </c>
      <c r="AA255" s="90">
        <f>IF(I255=0,0,CAPITAL!$H$6*Y255)
</f>
        <v>0</v>
      </c>
      <c r="AB255" s="90">
        <f>IF(J255=0,0,CAPITAL!$H$7*Y255)
</f>
        <v>0</v>
      </c>
      <c r="AC255" s="90"/>
    </row>
    <row r="256">
      <c r="A256" s="104"/>
      <c r="B256" s="101">
        <v>251.0</v>
      </c>
      <c r="C256" s="18" t="str">
        <f>ENTRY!B250</f>
        <v>SILVERBEES</v>
      </c>
      <c r="D256" s="93">
        <f>CAPITAL!$C$2</f>
        <v>3350000</v>
      </c>
      <c r="E256" s="94" t="str">
        <f>ENTRY!C250</f>
        <v/>
      </c>
      <c r="F256" s="95" t="str">
        <f>ENTRY!D250</f>
        <v/>
      </c>
      <c r="G256" s="96" t="str">
        <f>ENTRY!E250</f>
        <v/>
      </c>
      <c r="H256" s="97">
        <f>G256*ENTRY!$O250</f>
        <v>0</v>
      </c>
      <c r="I256" s="97">
        <f>G256*ENTRY!$P250</f>
        <v>0</v>
      </c>
      <c r="J256" s="97">
        <f>G256*ENTRY!$Q250</f>
        <v>0</v>
      </c>
      <c r="K256" s="95">
        <f t="shared" si="2"/>
        <v>0</v>
      </c>
      <c r="L256" s="95" t="str">
        <f>ENTRY!F250</f>
        <v/>
      </c>
      <c r="M256" s="94" t="str">
        <f>ENTRY!G250</f>
        <v/>
      </c>
      <c r="N256" s="98" t="str">
        <f t="shared" si="3"/>
        <v/>
      </c>
      <c r="O256" s="99">
        <f t="shared" si="4"/>
        <v>0</v>
      </c>
      <c r="P256" s="99">
        <f t="shared" si="5"/>
        <v>0</v>
      </c>
      <c r="Q256" s="99">
        <f t="shared" si="6"/>
        <v>0</v>
      </c>
      <c r="R256" s="99">
        <f t="shared" si="7"/>
        <v>0</v>
      </c>
      <c r="S256" s="100" t="str">
        <f t="shared" ref="S256:V256" si="256">IFERROR(O256-Y256,"")
</f>
        <v/>
      </c>
      <c r="T256" s="100">
        <f t="shared" si="256"/>
        <v>0</v>
      </c>
      <c r="U256" s="100">
        <f t="shared" si="256"/>
        <v>0</v>
      </c>
      <c r="V256" s="100">
        <f t="shared" si="256"/>
        <v>0</v>
      </c>
      <c r="W256" s="88" t="str">
        <f t="shared" si="9"/>
        <v/>
      </c>
      <c r="X256" s="89">
        <f>S256/D256</f>
        <v>0</v>
      </c>
      <c r="Y256" s="90" t="str">
        <f t="shared" si="10"/>
        <v>ERR</v>
      </c>
      <c r="Z256" s="90">
        <f>IF(H256=0,0,CAPITAL!$H$5*Y256)
</f>
        <v>0</v>
      </c>
      <c r="AA256" s="90">
        <f>IF(I256=0,0,CAPITAL!$H$6*Y256)
</f>
        <v>0</v>
      </c>
      <c r="AB256" s="90">
        <f>IF(J256=0,0,CAPITAL!$H$7*Y256)
</f>
        <v>0</v>
      </c>
      <c r="AC256" s="90"/>
    </row>
    <row r="257">
      <c r="A257" s="104"/>
      <c r="B257" s="101">
        <v>252.0</v>
      </c>
      <c r="C257" s="79" t="str">
        <f>ENTRY!B251</f>
        <v>SILVERBEES</v>
      </c>
      <c r="D257" s="80">
        <f>CAPITAL!$C$2</f>
        <v>3350000</v>
      </c>
      <c r="E257" s="81" t="str">
        <f>ENTRY!C251</f>
        <v/>
      </c>
      <c r="F257" s="82" t="str">
        <f>ENTRY!D251</f>
        <v/>
      </c>
      <c r="G257" s="83" t="str">
        <f>ENTRY!E251</f>
        <v/>
      </c>
      <c r="H257" s="84">
        <f>G257*ENTRY!$O251</f>
        <v>0</v>
      </c>
      <c r="I257" s="84">
        <f>G257*ENTRY!$P251</f>
        <v>0</v>
      </c>
      <c r="J257" s="84">
        <f>G257*ENTRY!$Q251</f>
        <v>0</v>
      </c>
      <c r="K257" s="82">
        <f t="shared" si="2"/>
        <v>0</v>
      </c>
      <c r="L257" s="82" t="str">
        <f>ENTRY!F251</f>
        <v/>
      </c>
      <c r="M257" s="81" t="str">
        <f>ENTRY!G251</f>
        <v/>
      </c>
      <c r="N257" s="85" t="str">
        <f t="shared" si="3"/>
        <v/>
      </c>
      <c r="O257" s="86">
        <f t="shared" si="4"/>
        <v>0</v>
      </c>
      <c r="P257" s="86">
        <f t="shared" si="5"/>
        <v>0</v>
      </c>
      <c r="Q257" s="86">
        <f t="shared" si="6"/>
        <v>0</v>
      </c>
      <c r="R257" s="86">
        <f t="shared" si="7"/>
        <v>0</v>
      </c>
      <c r="S257" s="87" t="str">
        <f t="shared" ref="S257:V257" si="257">IFERROR(O257-Y257,"")
</f>
        <v/>
      </c>
      <c r="T257" s="87">
        <f t="shared" si="257"/>
        <v>0</v>
      </c>
      <c r="U257" s="87">
        <f t="shared" si="257"/>
        <v>0</v>
      </c>
      <c r="V257" s="87">
        <f t="shared" si="257"/>
        <v>0</v>
      </c>
      <c r="W257" s="88" t="str">
        <f t="shared" si="9"/>
        <v/>
      </c>
      <c r="X257" s="89">
        <f>IFERROR(S257/D257,"")</f>
        <v>0</v>
      </c>
      <c r="Y257" s="90" t="str">
        <f t="shared" si="10"/>
        <v>ERR</v>
      </c>
      <c r="Z257" s="90">
        <f>IF(H257=0,0,CAPITAL!$H$5*Y257)
</f>
        <v>0</v>
      </c>
      <c r="AA257" s="90">
        <f>IF(I257=0,0,CAPITAL!$H$6*Y257)
</f>
        <v>0</v>
      </c>
      <c r="AB257" s="90">
        <f>IF(J257=0,0,CAPITAL!$H$7*Y257)
</f>
        <v>0</v>
      </c>
      <c r="AC257" s="90"/>
    </row>
    <row r="258">
      <c r="A258" s="104"/>
      <c r="B258" s="101">
        <v>253.0</v>
      </c>
      <c r="C258" s="18" t="str">
        <f>ENTRY!B252</f>
        <v>SILVERBEES</v>
      </c>
      <c r="D258" s="93">
        <f>CAPITAL!$C$2</f>
        <v>3350000</v>
      </c>
      <c r="E258" s="94" t="str">
        <f>ENTRY!C252</f>
        <v/>
      </c>
      <c r="F258" s="95" t="str">
        <f>ENTRY!D252</f>
        <v/>
      </c>
      <c r="G258" s="96" t="str">
        <f>ENTRY!E252</f>
        <v/>
      </c>
      <c r="H258" s="97">
        <f>G258*ENTRY!$O252</f>
        <v>0</v>
      </c>
      <c r="I258" s="97">
        <f>G258*ENTRY!$P252</f>
        <v>0</v>
      </c>
      <c r="J258" s="97">
        <f>G258*ENTRY!$Q252</f>
        <v>0</v>
      </c>
      <c r="K258" s="95">
        <f t="shared" si="2"/>
        <v>0</v>
      </c>
      <c r="L258" s="95" t="str">
        <f>ENTRY!F252</f>
        <v/>
      </c>
      <c r="M258" s="94" t="str">
        <f>ENTRY!G252</f>
        <v/>
      </c>
      <c r="N258" s="98" t="str">
        <f t="shared" si="3"/>
        <v/>
      </c>
      <c r="O258" s="99">
        <f t="shared" si="4"/>
        <v>0</v>
      </c>
      <c r="P258" s="99">
        <f t="shared" si="5"/>
        <v>0</v>
      </c>
      <c r="Q258" s="99">
        <f t="shared" si="6"/>
        <v>0</v>
      </c>
      <c r="R258" s="99">
        <f t="shared" si="7"/>
        <v>0</v>
      </c>
      <c r="S258" s="100" t="str">
        <f t="shared" ref="S258:V258" si="258">IFERROR(O258-Y258,"")
</f>
        <v/>
      </c>
      <c r="T258" s="100">
        <f t="shared" si="258"/>
        <v>0</v>
      </c>
      <c r="U258" s="100">
        <f t="shared" si="258"/>
        <v>0</v>
      </c>
      <c r="V258" s="100">
        <f t="shared" si="258"/>
        <v>0</v>
      </c>
      <c r="W258" s="88" t="str">
        <f t="shared" si="9"/>
        <v/>
      </c>
      <c r="X258" s="89">
        <f>S258/D258</f>
        <v>0</v>
      </c>
      <c r="Y258" s="90" t="str">
        <f t="shared" si="10"/>
        <v>ERR</v>
      </c>
      <c r="Z258" s="90">
        <f>IF(H258=0,0,CAPITAL!$H$5*Y258)
</f>
        <v>0</v>
      </c>
      <c r="AA258" s="90">
        <f>IF(I258=0,0,CAPITAL!$H$6*Y258)
</f>
        <v>0</v>
      </c>
      <c r="AB258" s="90">
        <f>IF(J258=0,0,CAPITAL!$H$7*Y258)
</f>
        <v>0</v>
      </c>
      <c r="AC258" s="90"/>
    </row>
    <row r="259">
      <c r="A259" s="104"/>
      <c r="B259" s="101">
        <v>254.0</v>
      </c>
      <c r="C259" s="79" t="str">
        <f>ENTRY!B253</f>
        <v>SILVERBEES</v>
      </c>
      <c r="D259" s="80">
        <f>CAPITAL!$C$2</f>
        <v>3350000</v>
      </c>
      <c r="E259" s="81" t="str">
        <f>ENTRY!C253</f>
        <v/>
      </c>
      <c r="F259" s="82" t="str">
        <f>ENTRY!D253</f>
        <v/>
      </c>
      <c r="G259" s="83" t="str">
        <f>ENTRY!E253</f>
        <v/>
      </c>
      <c r="H259" s="84">
        <f>G259*ENTRY!$O253</f>
        <v>0</v>
      </c>
      <c r="I259" s="84">
        <f>G259*ENTRY!$P253</f>
        <v>0</v>
      </c>
      <c r="J259" s="84">
        <f>G259*ENTRY!$Q253</f>
        <v>0</v>
      </c>
      <c r="K259" s="82">
        <f t="shared" si="2"/>
        <v>0</v>
      </c>
      <c r="L259" s="82" t="str">
        <f>ENTRY!F253</f>
        <v/>
      </c>
      <c r="M259" s="81" t="str">
        <f>ENTRY!G253</f>
        <v/>
      </c>
      <c r="N259" s="85" t="str">
        <f t="shared" si="3"/>
        <v/>
      </c>
      <c r="O259" s="86">
        <f t="shared" si="4"/>
        <v>0</v>
      </c>
      <c r="P259" s="86">
        <f t="shared" si="5"/>
        <v>0</v>
      </c>
      <c r="Q259" s="86">
        <f t="shared" si="6"/>
        <v>0</v>
      </c>
      <c r="R259" s="86">
        <f t="shared" si="7"/>
        <v>0</v>
      </c>
      <c r="S259" s="87" t="str">
        <f t="shared" ref="S259:V259" si="259">IFERROR(O259-Y259,"")
</f>
        <v/>
      </c>
      <c r="T259" s="87">
        <f t="shared" si="259"/>
        <v>0</v>
      </c>
      <c r="U259" s="87">
        <f t="shared" si="259"/>
        <v>0</v>
      </c>
      <c r="V259" s="87">
        <f t="shared" si="259"/>
        <v>0</v>
      </c>
      <c r="W259" s="88" t="str">
        <f t="shared" si="9"/>
        <v/>
      </c>
      <c r="X259" s="89">
        <f>IFERROR(S259/D259,"")</f>
        <v>0</v>
      </c>
      <c r="Y259" s="90" t="str">
        <f t="shared" si="10"/>
        <v>ERR</v>
      </c>
      <c r="Z259" s="90">
        <f>IF(H259=0,0,CAPITAL!$H$5*Y259)
</f>
        <v>0</v>
      </c>
      <c r="AA259" s="90">
        <f>IF(I259=0,0,CAPITAL!$H$6*Y259)
</f>
        <v>0</v>
      </c>
      <c r="AB259" s="90">
        <f>IF(J259=0,0,CAPITAL!$H$7*Y259)
</f>
        <v>0</v>
      </c>
      <c r="AC259" s="90"/>
    </row>
    <row r="260">
      <c r="A260" s="104"/>
      <c r="B260" s="101">
        <v>255.0</v>
      </c>
      <c r="C260" s="18" t="str">
        <f>ENTRY!B254</f>
        <v>SILVERBEES</v>
      </c>
      <c r="D260" s="93">
        <f>CAPITAL!$C$2</f>
        <v>3350000</v>
      </c>
      <c r="E260" s="94" t="str">
        <f>ENTRY!C254</f>
        <v/>
      </c>
      <c r="F260" s="95" t="str">
        <f>ENTRY!D254</f>
        <v/>
      </c>
      <c r="G260" s="96" t="str">
        <f>ENTRY!E254</f>
        <v/>
      </c>
      <c r="H260" s="97">
        <f>G260*ENTRY!$O254</f>
        <v>0</v>
      </c>
      <c r="I260" s="97">
        <f>G260*ENTRY!$P254</f>
        <v>0</v>
      </c>
      <c r="J260" s="97">
        <f>G260*ENTRY!$Q254</f>
        <v>0</v>
      </c>
      <c r="K260" s="95">
        <f t="shared" si="2"/>
        <v>0</v>
      </c>
      <c r="L260" s="95" t="str">
        <f>ENTRY!F254</f>
        <v/>
      </c>
      <c r="M260" s="94" t="str">
        <f>ENTRY!G254</f>
        <v/>
      </c>
      <c r="N260" s="98" t="str">
        <f t="shared" si="3"/>
        <v/>
      </c>
      <c r="O260" s="99">
        <f t="shared" si="4"/>
        <v>0</v>
      </c>
      <c r="P260" s="99">
        <f t="shared" si="5"/>
        <v>0</v>
      </c>
      <c r="Q260" s="99">
        <f t="shared" si="6"/>
        <v>0</v>
      </c>
      <c r="R260" s="99">
        <f t="shared" si="7"/>
        <v>0</v>
      </c>
      <c r="S260" s="100" t="str">
        <f t="shared" ref="S260:V260" si="260">IFERROR(O260-Y260,"")
</f>
        <v/>
      </c>
      <c r="T260" s="100">
        <f t="shared" si="260"/>
        <v>0</v>
      </c>
      <c r="U260" s="100">
        <f t="shared" si="260"/>
        <v>0</v>
      </c>
      <c r="V260" s="100">
        <f t="shared" si="260"/>
        <v>0</v>
      </c>
      <c r="W260" s="88" t="str">
        <f t="shared" si="9"/>
        <v/>
      </c>
      <c r="X260" s="89">
        <f>S260/D260</f>
        <v>0</v>
      </c>
      <c r="Y260" s="90" t="str">
        <f t="shared" si="10"/>
        <v>ERR</v>
      </c>
      <c r="Z260" s="90">
        <f>IF(H260=0,0,CAPITAL!$H$5*Y260)
</f>
        <v>0</v>
      </c>
      <c r="AA260" s="90">
        <f>IF(I260=0,0,CAPITAL!$H$6*Y260)
</f>
        <v>0</v>
      </c>
      <c r="AB260" s="90">
        <f>IF(J260=0,0,CAPITAL!$H$7*Y260)
</f>
        <v>0</v>
      </c>
      <c r="AC260" s="90"/>
    </row>
    <row r="261">
      <c r="A261" s="104"/>
      <c r="B261" s="101">
        <v>256.0</v>
      </c>
      <c r="C261" s="79" t="str">
        <f>ENTRY!B255</f>
        <v>SILVERBEES</v>
      </c>
      <c r="D261" s="80">
        <f>CAPITAL!$C$2</f>
        <v>3350000</v>
      </c>
      <c r="E261" s="81" t="str">
        <f>ENTRY!C255</f>
        <v/>
      </c>
      <c r="F261" s="82" t="str">
        <f>ENTRY!D255</f>
        <v/>
      </c>
      <c r="G261" s="83" t="str">
        <f>ENTRY!E255</f>
        <v/>
      </c>
      <c r="H261" s="84">
        <f>G261*ENTRY!$O255</f>
        <v>0</v>
      </c>
      <c r="I261" s="84">
        <f>G261*ENTRY!$P255</f>
        <v>0</v>
      </c>
      <c r="J261" s="84">
        <f>G261*ENTRY!$Q255</f>
        <v>0</v>
      </c>
      <c r="K261" s="82">
        <f t="shared" si="2"/>
        <v>0</v>
      </c>
      <c r="L261" s="82" t="str">
        <f>ENTRY!F255</f>
        <v/>
      </c>
      <c r="M261" s="81" t="str">
        <f>ENTRY!G255</f>
        <v/>
      </c>
      <c r="N261" s="85" t="str">
        <f t="shared" si="3"/>
        <v/>
      </c>
      <c r="O261" s="86">
        <f t="shared" si="4"/>
        <v>0</v>
      </c>
      <c r="P261" s="86">
        <f t="shared" si="5"/>
        <v>0</v>
      </c>
      <c r="Q261" s="86">
        <f t="shared" si="6"/>
        <v>0</v>
      </c>
      <c r="R261" s="86">
        <f t="shared" si="7"/>
        <v>0</v>
      </c>
      <c r="S261" s="87" t="str">
        <f t="shared" ref="S261:V261" si="261">IFERROR(O261-Y261,"")
</f>
        <v/>
      </c>
      <c r="T261" s="87">
        <f t="shared" si="261"/>
        <v>0</v>
      </c>
      <c r="U261" s="87">
        <f t="shared" si="261"/>
        <v>0</v>
      </c>
      <c r="V261" s="87">
        <f t="shared" si="261"/>
        <v>0</v>
      </c>
      <c r="W261" s="88" t="str">
        <f t="shared" si="9"/>
        <v/>
      </c>
      <c r="X261" s="89">
        <f>IFERROR(S261/D261,"")</f>
        <v>0</v>
      </c>
      <c r="Y261" s="90" t="str">
        <f t="shared" si="10"/>
        <v>ERR</v>
      </c>
      <c r="Z261" s="90">
        <f>IF(H261=0,0,CAPITAL!$H$5*Y261)
</f>
        <v>0</v>
      </c>
      <c r="AA261" s="90">
        <f>IF(I261=0,0,CAPITAL!$H$6*Y261)
</f>
        <v>0</v>
      </c>
      <c r="AB261" s="90">
        <f>IF(J261=0,0,CAPITAL!$H$7*Y261)
</f>
        <v>0</v>
      </c>
      <c r="AC261" s="90"/>
    </row>
    <row r="262">
      <c r="A262" s="104"/>
      <c r="B262" s="101">
        <v>257.0</v>
      </c>
      <c r="C262" s="18" t="str">
        <f>ENTRY!B256</f>
        <v>SILVERBEES</v>
      </c>
      <c r="D262" s="93">
        <f>CAPITAL!$C$2</f>
        <v>3350000</v>
      </c>
      <c r="E262" s="94" t="str">
        <f>ENTRY!C256</f>
        <v/>
      </c>
      <c r="F262" s="95" t="str">
        <f>ENTRY!D256</f>
        <v/>
      </c>
      <c r="G262" s="96" t="str">
        <f>ENTRY!E256</f>
        <v/>
      </c>
      <c r="H262" s="97">
        <f>G262*ENTRY!$O256</f>
        <v>0</v>
      </c>
      <c r="I262" s="97">
        <f>G262*ENTRY!$P256</f>
        <v>0</v>
      </c>
      <c r="J262" s="97">
        <f>G262*ENTRY!$Q256</f>
        <v>0</v>
      </c>
      <c r="K262" s="95">
        <f t="shared" si="2"/>
        <v>0</v>
      </c>
      <c r="L262" s="95" t="str">
        <f>ENTRY!F256</f>
        <v/>
      </c>
      <c r="M262" s="94" t="str">
        <f>ENTRY!G256</f>
        <v/>
      </c>
      <c r="N262" s="98" t="str">
        <f t="shared" si="3"/>
        <v/>
      </c>
      <c r="O262" s="99">
        <f t="shared" si="4"/>
        <v>0</v>
      </c>
      <c r="P262" s="99">
        <f t="shared" si="5"/>
        <v>0</v>
      </c>
      <c r="Q262" s="99">
        <f t="shared" si="6"/>
        <v>0</v>
      </c>
      <c r="R262" s="99">
        <f t="shared" si="7"/>
        <v>0</v>
      </c>
      <c r="S262" s="100" t="str">
        <f t="shared" ref="S262:V262" si="262">IFERROR(O262-Y262,"")
</f>
        <v/>
      </c>
      <c r="T262" s="100">
        <f t="shared" si="262"/>
        <v>0</v>
      </c>
      <c r="U262" s="100">
        <f t="shared" si="262"/>
        <v>0</v>
      </c>
      <c r="V262" s="100">
        <f t="shared" si="262"/>
        <v>0</v>
      </c>
      <c r="W262" s="88" t="str">
        <f t="shared" si="9"/>
        <v/>
      </c>
      <c r="X262" s="89">
        <f>S262/D262</f>
        <v>0</v>
      </c>
      <c r="Y262" s="90" t="str">
        <f t="shared" si="10"/>
        <v>ERR</v>
      </c>
      <c r="Z262" s="90">
        <f>IF(H262=0,0,CAPITAL!$H$5*Y262)
</f>
        <v>0</v>
      </c>
      <c r="AA262" s="90">
        <f>IF(I262=0,0,CAPITAL!$H$6*Y262)
</f>
        <v>0</v>
      </c>
      <c r="AB262" s="90">
        <f>IF(J262=0,0,CAPITAL!$H$7*Y262)
</f>
        <v>0</v>
      </c>
      <c r="AC262" s="90"/>
    </row>
    <row r="263">
      <c r="A263" s="104"/>
      <c r="B263" s="101">
        <v>258.0</v>
      </c>
      <c r="C263" s="79" t="str">
        <f>ENTRY!B257</f>
        <v>SILVERBEES</v>
      </c>
      <c r="D263" s="80">
        <f>CAPITAL!$C$2</f>
        <v>3350000</v>
      </c>
      <c r="E263" s="81" t="str">
        <f>ENTRY!C257</f>
        <v/>
      </c>
      <c r="F263" s="82" t="str">
        <f>ENTRY!D257</f>
        <v/>
      </c>
      <c r="G263" s="83" t="str">
        <f>ENTRY!E257</f>
        <v/>
      </c>
      <c r="H263" s="84">
        <f>G263*ENTRY!$O257</f>
        <v>0</v>
      </c>
      <c r="I263" s="84">
        <f>G263*ENTRY!$P257</f>
        <v>0</v>
      </c>
      <c r="J263" s="84">
        <f>G263*ENTRY!$Q257</f>
        <v>0</v>
      </c>
      <c r="K263" s="82">
        <f t="shared" si="2"/>
        <v>0</v>
      </c>
      <c r="L263" s="82" t="str">
        <f>ENTRY!F257</f>
        <v/>
      </c>
      <c r="M263" s="81" t="str">
        <f>ENTRY!G257</f>
        <v/>
      </c>
      <c r="N263" s="85" t="str">
        <f t="shared" si="3"/>
        <v/>
      </c>
      <c r="O263" s="86">
        <f t="shared" si="4"/>
        <v>0</v>
      </c>
      <c r="P263" s="86">
        <f t="shared" si="5"/>
        <v>0</v>
      </c>
      <c r="Q263" s="86">
        <f t="shared" si="6"/>
        <v>0</v>
      </c>
      <c r="R263" s="86">
        <f t="shared" si="7"/>
        <v>0</v>
      </c>
      <c r="S263" s="87" t="str">
        <f t="shared" ref="S263:V263" si="263">IFERROR(O263-Y263,"")
</f>
        <v/>
      </c>
      <c r="T263" s="87">
        <f t="shared" si="263"/>
        <v>0</v>
      </c>
      <c r="U263" s="87">
        <f t="shared" si="263"/>
        <v>0</v>
      </c>
      <c r="V263" s="87">
        <f t="shared" si="263"/>
        <v>0</v>
      </c>
      <c r="W263" s="88" t="str">
        <f t="shared" si="9"/>
        <v/>
      </c>
      <c r="X263" s="89">
        <f>IFERROR(S263/D263,"")</f>
        <v>0</v>
      </c>
      <c r="Y263" s="90" t="str">
        <f t="shared" si="10"/>
        <v>ERR</v>
      </c>
      <c r="Z263" s="90">
        <f>IF(H263=0,0,CAPITAL!$H$5*Y263)
</f>
        <v>0</v>
      </c>
      <c r="AA263" s="90">
        <f>IF(I263=0,0,CAPITAL!$H$6*Y263)
</f>
        <v>0</v>
      </c>
      <c r="AB263" s="90">
        <f>IF(J263=0,0,CAPITAL!$H$7*Y263)
</f>
        <v>0</v>
      </c>
      <c r="AC263" s="90"/>
    </row>
    <row r="264">
      <c r="A264" s="104"/>
      <c r="B264" s="101">
        <v>259.0</v>
      </c>
      <c r="C264" s="18" t="str">
        <f>ENTRY!B258</f>
        <v>SILVERBEES</v>
      </c>
      <c r="D264" s="93">
        <f>CAPITAL!$C$2</f>
        <v>3350000</v>
      </c>
      <c r="E264" s="94" t="str">
        <f>ENTRY!C258</f>
        <v/>
      </c>
      <c r="F264" s="95" t="str">
        <f>ENTRY!D258</f>
        <v/>
      </c>
      <c r="G264" s="96" t="str">
        <f>ENTRY!E258</f>
        <v/>
      </c>
      <c r="H264" s="97">
        <f>G264*ENTRY!$O258</f>
        <v>0</v>
      </c>
      <c r="I264" s="97">
        <f>G264*ENTRY!$P258</f>
        <v>0</v>
      </c>
      <c r="J264" s="97">
        <f>G264*ENTRY!$Q258</f>
        <v>0</v>
      </c>
      <c r="K264" s="95">
        <f t="shared" si="2"/>
        <v>0</v>
      </c>
      <c r="L264" s="95" t="str">
        <f>ENTRY!F258</f>
        <v/>
      </c>
      <c r="M264" s="94" t="str">
        <f>ENTRY!G258</f>
        <v/>
      </c>
      <c r="N264" s="98" t="str">
        <f t="shared" si="3"/>
        <v/>
      </c>
      <c r="O264" s="99">
        <f t="shared" si="4"/>
        <v>0</v>
      </c>
      <c r="P264" s="99">
        <f t="shared" si="5"/>
        <v>0</v>
      </c>
      <c r="Q264" s="99">
        <f t="shared" si="6"/>
        <v>0</v>
      </c>
      <c r="R264" s="99">
        <f t="shared" si="7"/>
        <v>0</v>
      </c>
      <c r="S264" s="100" t="str">
        <f t="shared" ref="S264:V264" si="264">IFERROR(O264-Y264,"")
</f>
        <v/>
      </c>
      <c r="T264" s="100">
        <f t="shared" si="264"/>
        <v>0</v>
      </c>
      <c r="U264" s="100">
        <f t="shared" si="264"/>
        <v>0</v>
      </c>
      <c r="V264" s="100">
        <f t="shared" si="264"/>
        <v>0</v>
      </c>
      <c r="W264" s="88" t="str">
        <f t="shared" si="9"/>
        <v/>
      </c>
      <c r="X264" s="89">
        <f>S264/D264</f>
        <v>0</v>
      </c>
      <c r="Y264" s="90" t="str">
        <f t="shared" si="10"/>
        <v>ERR</v>
      </c>
      <c r="Z264" s="90">
        <f>IF(H264=0,0,CAPITAL!$H$5*Y264)
</f>
        <v>0</v>
      </c>
      <c r="AA264" s="90">
        <f>IF(I264=0,0,CAPITAL!$H$6*Y264)
</f>
        <v>0</v>
      </c>
      <c r="AB264" s="90">
        <f>IF(J264=0,0,CAPITAL!$H$7*Y264)
</f>
        <v>0</v>
      </c>
      <c r="AC264" s="90"/>
    </row>
    <row r="265">
      <c r="A265" s="104"/>
      <c r="B265" s="101">
        <v>260.0</v>
      </c>
      <c r="C265" s="79" t="str">
        <f>ENTRY!B259</f>
        <v>SILVERBEES</v>
      </c>
      <c r="D265" s="80">
        <f>CAPITAL!$C$2</f>
        <v>3350000</v>
      </c>
      <c r="E265" s="81" t="str">
        <f>ENTRY!C259</f>
        <v/>
      </c>
      <c r="F265" s="82" t="str">
        <f>ENTRY!D259</f>
        <v/>
      </c>
      <c r="G265" s="83" t="str">
        <f>ENTRY!E259</f>
        <v/>
      </c>
      <c r="H265" s="84">
        <f>G265*ENTRY!$O259</f>
        <v>0</v>
      </c>
      <c r="I265" s="84">
        <f>G265*ENTRY!$P259</f>
        <v>0</v>
      </c>
      <c r="J265" s="84">
        <f>G265*ENTRY!$Q259</f>
        <v>0</v>
      </c>
      <c r="K265" s="82">
        <f t="shared" si="2"/>
        <v>0</v>
      </c>
      <c r="L265" s="82" t="str">
        <f>ENTRY!F259</f>
        <v/>
      </c>
      <c r="M265" s="81" t="str">
        <f>ENTRY!G259</f>
        <v/>
      </c>
      <c r="N265" s="85" t="str">
        <f t="shared" si="3"/>
        <v/>
      </c>
      <c r="O265" s="86">
        <f t="shared" si="4"/>
        <v>0</v>
      </c>
      <c r="P265" s="86">
        <f t="shared" si="5"/>
        <v>0</v>
      </c>
      <c r="Q265" s="86">
        <f t="shared" si="6"/>
        <v>0</v>
      </c>
      <c r="R265" s="86">
        <f t="shared" si="7"/>
        <v>0</v>
      </c>
      <c r="S265" s="87" t="str">
        <f t="shared" ref="S265:V265" si="265">IFERROR(O265-Y265,"")
</f>
        <v/>
      </c>
      <c r="T265" s="87">
        <f t="shared" si="265"/>
        <v>0</v>
      </c>
      <c r="U265" s="87">
        <f t="shared" si="265"/>
        <v>0</v>
      </c>
      <c r="V265" s="87">
        <f t="shared" si="265"/>
        <v>0</v>
      </c>
      <c r="W265" s="88" t="str">
        <f t="shared" si="9"/>
        <v/>
      </c>
      <c r="X265" s="89">
        <f>IFERROR(S265/D265,"")</f>
        <v>0</v>
      </c>
      <c r="Y265" s="90" t="str">
        <f t="shared" si="10"/>
        <v>ERR</v>
      </c>
      <c r="Z265" s="90">
        <f>IF(H265=0,0,CAPITAL!$H$5*Y265)
</f>
        <v>0</v>
      </c>
      <c r="AA265" s="90">
        <f>IF(I265=0,0,CAPITAL!$H$6*Y265)
</f>
        <v>0</v>
      </c>
      <c r="AB265" s="90">
        <f>IF(J265=0,0,CAPITAL!$H$7*Y265)
</f>
        <v>0</v>
      </c>
      <c r="AC265" s="90"/>
    </row>
    <row r="266">
      <c r="A266" s="104"/>
      <c r="B266" s="101">
        <v>261.0</v>
      </c>
      <c r="C266" s="18" t="str">
        <f>ENTRY!B260</f>
        <v>SILVERBEES</v>
      </c>
      <c r="D266" s="93">
        <f>CAPITAL!$C$2</f>
        <v>3350000</v>
      </c>
      <c r="E266" s="94" t="str">
        <f>ENTRY!C260</f>
        <v/>
      </c>
      <c r="F266" s="95" t="str">
        <f>ENTRY!D260</f>
        <v/>
      </c>
      <c r="G266" s="96" t="str">
        <f>ENTRY!E260</f>
        <v/>
      </c>
      <c r="H266" s="97">
        <f>G266*ENTRY!$O260</f>
        <v>0</v>
      </c>
      <c r="I266" s="97">
        <f>G266*ENTRY!$P260</f>
        <v>0</v>
      </c>
      <c r="J266" s="97">
        <f>G266*ENTRY!$Q260</f>
        <v>0</v>
      </c>
      <c r="K266" s="95">
        <f t="shared" si="2"/>
        <v>0</v>
      </c>
      <c r="L266" s="95" t="str">
        <f>ENTRY!F260</f>
        <v/>
      </c>
      <c r="M266" s="94" t="str">
        <f>ENTRY!G260</f>
        <v/>
      </c>
      <c r="N266" s="98" t="str">
        <f t="shared" si="3"/>
        <v/>
      </c>
      <c r="O266" s="99">
        <f t="shared" si="4"/>
        <v>0</v>
      </c>
      <c r="P266" s="99">
        <f t="shared" si="5"/>
        <v>0</v>
      </c>
      <c r="Q266" s="99">
        <f t="shared" si="6"/>
        <v>0</v>
      </c>
      <c r="R266" s="99">
        <f t="shared" si="7"/>
        <v>0</v>
      </c>
      <c r="S266" s="100" t="str">
        <f t="shared" ref="S266:V266" si="266">IFERROR(O266-Y266,"")
</f>
        <v/>
      </c>
      <c r="T266" s="100">
        <f t="shared" si="266"/>
        <v>0</v>
      </c>
      <c r="U266" s="100">
        <f t="shared" si="266"/>
        <v>0</v>
      </c>
      <c r="V266" s="100">
        <f t="shared" si="266"/>
        <v>0</v>
      </c>
      <c r="W266" s="88" t="str">
        <f t="shared" si="9"/>
        <v/>
      </c>
      <c r="X266" s="89">
        <f>S266/D266</f>
        <v>0</v>
      </c>
      <c r="Y266" s="90" t="str">
        <f t="shared" si="10"/>
        <v>ERR</v>
      </c>
      <c r="Z266" s="90">
        <f>IF(H266=0,0,CAPITAL!$H$5*Y266)
</f>
        <v>0</v>
      </c>
      <c r="AA266" s="90">
        <f>IF(I266=0,0,CAPITAL!$H$6*Y266)
</f>
        <v>0</v>
      </c>
      <c r="AB266" s="90">
        <f>IF(J266=0,0,CAPITAL!$H$7*Y266)
</f>
        <v>0</v>
      </c>
      <c r="AC266" s="90"/>
    </row>
    <row r="267">
      <c r="A267" s="104"/>
      <c r="B267" s="101">
        <v>262.0</v>
      </c>
      <c r="C267" s="79" t="str">
        <f>ENTRY!B261</f>
        <v>SILVERBEES</v>
      </c>
      <c r="D267" s="80">
        <f>CAPITAL!$C$2</f>
        <v>3350000</v>
      </c>
      <c r="E267" s="81" t="str">
        <f>ENTRY!C261</f>
        <v/>
      </c>
      <c r="F267" s="82" t="str">
        <f>ENTRY!D261</f>
        <v/>
      </c>
      <c r="G267" s="83" t="str">
        <f>ENTRY!E261</f>
        <v/>
      </c>
      <c r="H267" s="84">
        <f>G267*ENTRY!$O261</f>
        <v>0</v>
      </c>
      <c r="I267" s="84">
        <f>G267*ENTRY!$P261</f>
        <v>0</v>
      </c>
      <c r="J267" s="84">
        <f>G267*ENTRY!$Q261</f>
        <v>0</v>
      </c>
      <c r="K267" s="82">
        <f t="shared" si="2"/>
        <v>0</v>
      </c>
      <c r="L267" s="82" t="str">
        <f>ENTRY!F261</f>
        <v/>
      </c>
      <c r="M267" s="81" t="str">
        <f>ENTRY!G261</f>
        <v/>
      </c>
      <c r="N267" s="85" t="str">
        <f t="shared" si="3"/>
        <v/>
      </c>
      <c r="O267" s="86">
        <f t="shared" si="4"/>
        <v>0</v>
      </c>
      <c r="P267" s="86">
        <f t="shared" si="5"/>
        <v>0</v>
      </c>
      <c r="Q267" s="86">
        <f t="shared" si="6"/>
        <v>0</v>
      </c>
      <c r="R267" s="86">
        <f t="shared" si="7"/>
        <v>0</v>
      </c>
      <c r="S267" s="87" t="str">
        <f t="shared" ref="S267:V267" si="267">IFERROR(O267-Y267,"")
</f>
        <v/>
      </c>
      <c r="T267" s="87">
        <f t="shared" si="267"/>
        <v>0</v>
      </c>
      <c r="U267" s="87">
        <f t="shared" si="267"/>
        <v>0</v>
      </c>
      <c r="V267" s="87">
        <f t="shared" si="267"/>
        <v>0</v>
      </c>
      <c r="W267" s="88" t="str">
        <f t="shared" si="9"/>
        <v/>
      </c>
      <c r="X267" s="89">
        <f>IFERROR(S267/D267,"")</f>
        <v>0</v>
      </c>
      <c r="Y267" s="90" t="str">
        <f t="shared" si="10"/>
        <v>ERR</v>
      </c>
      <c r="Z267" s="90">
        <f>IF(H267=0,0,CAPITAL!$H$5*Y267)
</f>
        <v>0</v>
      </c>
      <c r="AA267" s="90">
        <f>IF(I267=0,0,CAPITAL!$H$6*Y267)
</f>
        <v>0</v>
      </c>
      <c r="AB267" s="90">
        <f>IF(J267=0,0,CAPITAL!$H$7*Y267)
</f>
        <v>0</v>
      </c>
      <c r="AC267" s="90"/>
    </row>
    <row r="268">
      <c r="A268" s="104"/>
      <c r="B268" s="101">
        <v>263.0</v>
      </c>
      <c r="C268" s="18" t="str">
        <f>ENTRY!B262</f>
        <v>SILVERBEES</v>
      </c>
      <c r="D268" s="93">
        <f>CAPITAL!$C$2</f>
        <v>3350000</v>
      </c>
      <c r="E268" s="94" t="str">
        <f>ENTRY!C262</f>
        <v/>
      </c>
      <c r="F268" s="95" t="str">
        <f>ENTRY!D262</f>
        <v/>
      </c>
      <c r="G268" s="96" t="str">
        <f>ENTRY!E262</f>
        <v/>
      </c>
      <c r="H268" s="97">
        <f>G268*ENTRY!$O262</f>
        <v>0</v>
      </c>
      <c r="I268" s="97">
        <f>G268*ENTRY!$P262</f>
        <v>0</v>
      </c>
      <c r="J268" s="97">
        <f>G268*ENTRY!$Q262</f>
        <v>0</v>
      </c>
      <c r="K268" s="95">
        <f t="shared" si="2"/>
        <v>0</v>
      </c>
      <c r="L268" s="95" t="str">
        <f>ENTRY!F262</f>
        <v/>
      </c>
      <c r="M268" s="94" t="str">
        <f>ENTRY!G262</f>
        <v/>
      </c>
      <c r="N268" s="98" t="str">
        <f t="shared" si="3"/>
        <v/>
      </c>
      <c r="O268" s="99">
        <f t="shared" si="4"/>
        <v>0</v>
      </c>
      <c r="P268" s="99">
        <f t="shared" si="5"/>
        <v>0</v>
      </c>
      <c r="Q268" s="99">
        <f t="shared" si="6"/>
        <v>0</v>
      </c>
      <c r="R268" s="99">
        <f t="shared" si="7"/>
        <v>0</v>
      </c>
      <c r="S268" s="100" t="str">
        <f t="shared" ref="S268:V268" si="268">IFERROR(O268-Y268,"")
</f>
        <v/>
      </c>
      <c r="T268" s="100">
        <f t="shared" si="268"/>
        <v>0</v>
      </c>
      <c r="U268" s="100">
        <f t="shared" si="268"/>
        <v>0</v>
      </c>
      <c r="V268" s="100">
        <f t="shared" si="268"/>
        <v>0</v>
      </c>
      <c r="W268" s="88" t="str">
        <f t="shared" si="9"/>
        <v/>
      </c>
      <c r="X268" s="89">
        <f>S268/D268</f>
        <v>0</v>
      </c>
      <c r="Y268" s="90" t="str">
        <f t="shared" si="10"/>
        <v>ERR</v>
      </c>
      <c r="Z268" s="90">
        <f>IF(H268=0,0,CAPITAL!$H$5*Y268)
</f>
        <v>0</v>
      </c>
      <c r="AA268" s="90">
        <f>IF(I268=0,0,CAPITAL!$H$6*Y268)
</f>
        <v>0</v>
      </c>
      <c r="AB268" s="90">
        <f>IF(J268=0,0,CAPITAL!$H$7*Y268)
</f>
        <v>0</v>
      </c>
      <c r="AC268" s="90"/>
    </row>
    <row r="269">
      <c r="A269" s="104"/>
      <c r="B269" s="101">
        <v>264.0</v>
      </c>
      <c r="C269" s="79" t="str">
        <f>ENTRY!B263</f>
        <v>SILVERBEES</v>
      </c>
      <c r="D269" s="80">
        <f>CAPITAL!$C$2</f>
        <v>3350000</v>
      </c>
      <c r="E269" s="81" t="str">
        <f>ENTRY!C263</f>
        <v/>
      </c>
      <c r="F269" s="82" t="str">
        <f>ENTRY!D263</f>
        <v/>
      </c>
      <c r="G269" s="83" t="str">
        <f>ENTRY!E263</f>
        <v/>
      </c>
      <c r="H269" s="84">
        <f>G269*ENTRY!$O263</f>
        <v>0</v>
      </c>
      <c r="I269" s="84">
        <f>G269*ENTRY!$P263</f>
        <v>0</v>
      </c>
      <c r="J269" s="84">
        <f>G269*ENTRY!$Q263</f>
        <v>0</v>
      </c>
      <c r="K269" s="82">
        <f t="shared" si="2"/>
        <v>0</v>
      </c>
      <c r="L269" s="82" t="str">
        <f>ENTRY!F263</f>
        <v/>
      </c>
      <c r="M269" s="81" t="str">
        <f>ENTRY!G263</f>
        <v/>
      </c>
      <c r="N269" s="85" t="str">
        <f t="shared" si="3"/>
        <v/>
      </c>
      <c r="O269" s="86">
        <f t="shared" si="4"/>
        <v>0</v>
      </c>
      <c r="P269" s="86">
        <f t="shared" si="5"/>
        <v>0</v>
      </c>
      <c r="Q269" s="86">
        <f t="shared" si="6"/>
        <v>0</v>
      </c>
      <c r="R269" s="86">
        <f t="shared" si="7"/>
        <v>0</v>
      </c>
      <c r="S269" s="87" t="str">
        <f t="shared" ref="S269:V269" si="269">IFERROR(O269-Y269,"")
</f>
        <v/>
      </c>
      <c r="T269" s="87">
        <f t="shared" si="269"/>
        <v>0</v>
      </c>
      <c r="U269" s="87">
        <f t="shared" si="269"/>
        <v>0</v>
      </c>
      <c r="V269" s="87">
        <f t="shared" si="269"/>
        <v>0</v>
      </c>
      <c r="W269" s="88" t="str">
        <f t="shared" si="9"/>
        <v/>
      </c>
      <c r="X269" s="89">
        <f>IFERROR(S269/D269,"")</f>
        <v>0</v>
      </c>
      <c r="Y269" s="90" t="str">
        <f t="shared" si="10"/>
        <v>ERR</v>
      </c>
      <c r="Z269" s="90">
        <f>IF(H269=0,0,CAPITAL!$H$5*Y269)
</f>
        <v>0</v>
      </c>
      <c r="AA269" s="90">
        <f>IF(I269=0,0,CAPITAL!$H$6*Y269)
</f>
        <v>0</v>
      </c>
      <c r="AB269" s="90">
        <f>IF(J269=0,0,CAPITAL!$H$7*Y269)
</f>
        <v>0</v>
      </c>
      <c r="AC269" s="90"/>
    </row>
    <row r="270">
      <c r="A270" s="104"/>
      <c r="B270" s="101">
        <v>265.0</v>
      </c>
      <c r="C270" s="18" t="str">
        <f>ENTRY!B264</f>
        <v>SILVERBEES</v>
      </c>
      <c r="D270" s="93">
        <f>CAPITAL!$C$2</f>
        <v>3350000</v>
      </c>
      <c r="E270" s="94" t="str">
        <f>ENTRY!C264</f>
        <v/>
      </c>
      <c r="F270" s="95" t="str">
        <f>ENTRY!D264</f>
        <v/>
      </c>
      <c r="G270" s="96" t="str">
        <f>ENTRY!E264</f>
        <v/>
      </c>
      <c r="H270" s="97">
        <f>G270*ENTRY!$O264</f>
        <v>0</v>
      </c>
      <c r="I270" s="97">
        <f>G270*ENTRY!$P264</f>
        <v>0</v>
      </c>
      <c r="J270" s="97">
        <f>G270*ENTRY!$Q264</f>
        <v>0</v>
      </c>
      <c r="K270" s="95">
        <f t="shared" si="2"/>
        <v>0</v>
      </c>
      <c r="L270" s="95" t="str">
        <f>ENTRY!F264</f>
        <v/>
      </c>
      <c r="M270" s="94" t="str">
        <f>ENTRY!G264</f>
        <v/>
      </c>
      <c r="N270" s="98" t="str">
        <f t="shared" si="3"/>
        <v/>
      </c>
      <c r="O270" s="99">
        <f t="shared" si="4"/>
        <v>0</v>
      </c>
      <c r="P270" s="99">
        <f t="shared" si="5"/>
        <v>0</v>
      </c>
      <c r="Q270" s="99">
        <f t="shared" si="6"/>
        <v>0</v>
      </c>
      <c r="R270" s="99">
        <f t="shared" si="7"/>
        <v>0</v>
      </c>
      <c r="S270" s="100" t="str">
        <f t="shared" ref="S270:V270" si="270">IFERROR(O270-Y270,"")
</f>
        <v/>
      </c>
      <c r="T270" s="100">
        <f t="shared" si="270"/>
        <v>0</v>
      </c>
      <c r="U270" s="100">
        <f t="shared" si="270"/>
        <v>0</v>
      </c>
      <c r="V270" s="100">
        <f t="shared" si="270"/>
        <v>0</v>
      </c>
      <c r="W270" s="88" t="str">
        <f t="shared" si="9"/>
        <v/>
      </c>
      <c r="X270" s="89">
        <f>S270/D270</f>
        <v>0</v>
      </c>
      <c r="Y270" s="90" t="str">
        <f t="shared" si="10"/>
        <v>ERR</v>
      </c>
      <c r="Z270" s="90">
        <f>IF(H270=0,0,CAPITAL!$H$5*Y270)
</f>
        <v>0</v>
      </c>
      <c r="AA270" s="90">
        <f>IF(I270=0,0,CAPITAL!$H$6*Y270)
</f>
        <v>0</v>
      </c>
      <c r="AB270" s="90">
        <f>IF(J270=0,0,CAPITAL!$H$7*Y270)
</f>
        <v>0</v>
      </c>
      <c r="AC270" s="90"/>
    </row>
    <row r="271">
      <c r="A271" s="104"/>
      <c r="B271" s="101">
        <v>266.0</v>
      </c>
      <c r="C271" s="79" t="str">
        <f>ENTRY!B265</f>
        <v>SILVERBEES</v>
      </c>
      <c r="D271" s="80">
        <f>CAPITAL!$C$2</f>
        <v>3350000</v>
      </c>
      <c r="E271" s="81" t="str">
        <f>ENTRY!C265</f>
        <v/>
      </c>
      <c r="F271" s="82" t="str">
        <f>ENTRY!D265</f>
        <v/>
      </c>
      <c r="G271" s="83" t="str">
        <f>ENTRY!E265</f>
        <v/>
      </c>
      <c r="H271" s="84">
        <f>G271*ENTRY!$O265</f>
        <v>0</v>
      </c>
      <c r="I271" s="84">
        <f>G271*ENTRY!$P265</f>
        <v>0</v>
      </c>
      <c r="J271" s="84">
        <f>G271*ENTRY!$Q265</f>
        <v>0</v>
      </c>
      <c r="K271" s="82">
        <f t="shared" si="2"/>
        <v>0</v>
      </c>
      <c r="L271" s="82" t="str">
        <f>ENTRY!F265</f>
        <v/>
      </c>
      <c r="M271" s="81" t="str">
        <f>ENTRY!G265</f>
        <v/>
      </c>
      <c r="N271" s="85" t="str">
        <f t="shared" si="3"/>
        <v/>
      </c>
      <c r="O271" s="86">
        <f t="shared" si="4"/>
        <v>0</v>
      </c>
      <c r="P271" s="86">
        <f t="shared" si="5"/>
        <v>0</v>
      </c>
      <c r="Q271" s="86">
        <f t="shared" si="6"/>
        <v>0</v>
      </c>
      <c r="R271" s="86">
        <f t="shared" si="7"/>
        <v>0</v>
      </c>
      <c r="S271" s="87" t="str">
        <f t="shared" ref="S271:V271" si="271">IFERROR(O271-Y271,"")
</f>
        <v/>
      </c>
      <c r="T271" s="87">
        <f t="shared" si="271"/>
        <v>0</v>
      </c>
      <c r="U271" s="87">
        <f t="shared" si="271"/>
        <v>0</v>
      </c>
      <c r="V271" s="87">
        <f t="shared" si="271"/>
        <v>0</v>
      </c>
      <c r="W271" s="88" t="str">
        <f t="shared" si="9"/>
        <v/>
      </c>
      <c r="X271" s="89">
        <f>IFERROR(S271/D271,"")</f>
        <v>0</v>
      </c>
      <c r="Y271" s="90" t="str">
        <f t="shared" si="10"/>
        <v>ERR</v>
      </c>
      <c r="Z271" s="90">
        <f>IF(H271=0,0,CAPITAL!$H$5*Y271)
</f>
        <v>0</v>
      </c>
      <c r="AA271" s="90">
        <f>IF(I271=0,0,CAPITAL!$H$6*Y271)
</f>
        <v>0</v>
      </c>
      <c r="AB271" s="90">
        <f>IF(J271=0,0,CAPITAL!$H$7*Y271)
</f>
        <v>0</v>
      </c>
      <c r="AC271" s="90"/>
    </row>
    <row r="272">
      <c r="A272" s="104"/>
      <c r="B272" s="101">
        <v>267.0</v>
      </c>
      <c r="C272" s="18" t="str">
        <f>ENTRY!B266</f>
        <v>SILVERBEES</v>
      </c>
      <c r="D272" s="93">
        <f>CAPITAL!$C$2</f>
        <v>3350000</v>
      </c>
      <c r="E272" s="94" t="str">
        <f>ENTRY!C266</f>
        <v/>
      </c>
      <c r="F272" s="95" t="str">
        <f>ENTRY!D266</f>
        <v/>
      </c>
      <c r="G272" s="96" t="str">
        <f>ENTRY!E266</f>
        <v/>
      </c>
      <c r="H272" s="97">
        <f>G272*ENTRY!$O266</f>
        <v>0</v>
      </c>
      <c r="I272" s="97">
        <f>G272*ENTRY!$P266</f>
        <v>0</v>
      </c>
      <c r="J272" s="97">
        <f>G272*ENTRY!$Q266</f>
        <v>0</v>
      </c>
      <c r="K272" s="95">
        <f t="shared" si="2"/>
        <v>0</v>
      </c>
      <c r="L272" s="95" t="str">
        <f>ENTRY!F266</f>
        <v/>
      </c>
      <c r="M272" s="94" t="str">
        <f>ENTRY!G266</f>
        <v/>
      </c>
      <c r="N272" s="98" t="str">
        <f t="shared" si="3"/>
        <v/>
      </c>
      <c r="O272" s="99">
        <f t="shared" si="4"/>
        <v>0</v>
      </c>
      <c r="P272" s="99">
        <f t="shared" si="5"/>
        <v>0</v>
      </c>
      <c r="Q272" s="99">
        <f t="shared" si="6"/>
        <v>0</v>
      </c>
      <c r="R272" s="99">
        <f t="shared" si="7"/>
        <v>0</v>
      </c>
      <c r="S272" s="100" t="str">
        <f t="shared" ref="S272:V272" si="272">IFERROR(O272-Y272,"")
</f>
        <v/>
      </c>
      <c r="T272" s="100">
        <f t="shared" si="272"/>
        <v>0</v>
      </c>
      <c r="U272" s="100">
        <f t="shared" si="272"/>
        <v>0</v>
      </c>
      <c r="V272" s="100">
        <f t="shared" si="272"/>
        <v>0</v>
      </c>
      <c r="W272" s="88" t="str">
        <f t="shared" si="9"/>
        <v/>
      </c>
      <c r="X272" s="89">
        <f>S272/D272</f>
        <v>0</v>
      </c>
      <c r="Y272" s="90" t="str">
        <f t="shared" si="10"/>
        <v>ERR</v>
      </c>
      <c r="Z272" s="90">
        <f>IF(H272=0,0,CAPITAL!$H$5*Y272)
</f>
        <v>0</v>
      </c>
      <c r="AA272" s="90">
        <f>IF(I272=0,0,CAPITAL!$H$6*Y272)
</f>
        <v>0</v>
      </c>
      <c r="AB272" s="90">
        <f>IF(J272=0,0,CAPITAL!$H$7*Y272)
</f>
        <v>0</v>
      </c>
      <c r="AC272" s="90"/>
    </row>
    <row r="273">
      <c r="A273" s="104"/>
      <c r="B273" s="101">
        <v>268.0</v>
      </c>
      <c r="C273" s="79" t="str">
        <f>ENTRY!B267</f>
        <v>SILVERBEES</v>
      </c>
      <c r="D273" s="80">
        <f>CAPITAL!$C$2</f>
        <v>3350000</v>
      </c>
      <c r="E273" s="81" t="str">
        <f>ENTRY!C267</f>
        <v/>
      </c>
      <c r="F273" s="82" t="str">
        <f>ENTRY!D267</f>
        <v/>
      </c>
      <c r="G273" s="83" t="str">
        <f>ENTRY!E267</f>
        <v/>
      </c>
      <c r="H273" s="84">
        <f>G273*ENTRY!$O267</f>
        <v>0</v>
      </c>
      <c r="I273" s="84">
        <f>G273*ENTRY!$P267</f>
        <v>0</v>
      </c>
      <c r="J273" s="84">
        <f>G273*ENTRY!$Q267</f>
        <v>0</v>
      </c>
      <c r="K273" s="82">
        <f t="shared" si="2"/>
        <v>0</v>
      </c>
      <c r="L273" s="82" t="str">
        <f>ENTRY!F267</f>
        <v/>
      </c>
      <c r="M273" s="81" t="str">
        <f>ENTRY!G267</f>
        <v/>
      </c>
      <c r="N273" s="85" t="str">
        <f t="shared" si="3"/>
        <v/>
      </c>
      <c r="O273" s="86">
        <f t="shared" si="4"/>
        <v>0</v>
      </c>
      <c r="P273" s="86">
        <f t="shared" si="5"/>
        <v>0</v>
      </c>
      <c r="Q273" s="86">
        <f t="shared" si="6"/>
        <v>0</v>
      </c>
      <c r="R273" s="86">
        <f t="shared" si="7"/>
        <v>0</v>
      </c>
      <c r="S273" s="87" t="str">
        <f t="shared" ref="S273:V273" si="273">IFERROR(O273-Y273,"")
</f>
        <v/>
      </c>
      <c r="T273" s="87">
        <f t="shared" si="273"/>
        <v>0</v>
      </c>
      <c r="U273" s="87">
        <f t="shared" si="273"/>
        <v>0</v>
      </c>
      <c r="V273" s="87">
        <f t="shared" si="273"/>
        <v>0</v>
      </c>
      <c r="W273" s="88" t="str">
        <f t="shared" si="9"/>
        <v/>
      </c>
      <c r="X273" s="89">
        <f>IFERROR(S273/D273,"")</f>
        <v>0</v>
      </c>
      <c r="Y273" s="90" t="str">
        <f t="shared" si="10"/>
        <v>ERR</v>
      </c>
      <c r="Z273" s="90">
        <f>IF(H273=0,0,CAPITAL!$H$5*Y273)
</f>
        <v>0</v>
      </c>
      <c r="AA273" s="90">
        <f>IF(I273=0,0,CAPITAL!$H$6*Y273)
</f>
        <v>0</v>
      </c>
      <c r="AB273" s="90">
        <f>IF(J273=0,0,CAPITAL!$H$7*Y273)
</f>
        <v>0</v>
      </c>
      <c r="AC273" s="90"/>
    </row>
    <row r="274">
      <c r="A274" s="104"/>
      <c r="B274" s="101">
        <v>269.0</v>
      </c>
      <c r="C274" s="18" t="str">
        <f>ENTRY!B268</f>
        <v>SILVERBEES</v>
      </c>
      <c r="D274" s="93">
        <f>CAPITAL!$C$2</f>
        <v>3350000</v>
      </c>
      <c r="E274" s="94" t="str">
        <f>ENTRY!C268</f>
        <v/>
      </c>
      <c r="F274" s="95" t="str">
        <f>ENTRY!D268</f>
        <v/>
      </c>
      <c r="G274" s="96" t="str">
        <f>ENTRY!E268</f>
        <v/>
      </c>
      <c r="H274" s="97">
        <f>G274*ENTRY!$O268</f>
        <v>0</v>
      </c>
      <c r="I274" s="97">
        <f>G274*ENTRY!$P268</f>
        <v>0</v>
      </c>
      <c r="J274" s="97">
        <f>G274*ENTRY!$Q268</f>
        <v>0</v>
      </c>
      <c r="K274" s="95">
        <f t="shared" si="2"/>
        <v>0</v>
      </c>
      <c r="L274" s="95" t="str">
        <f>ENTRY!F268</f>
        <v/>
      </c>
      <c r="M274" s="94" t="str">
        <f>ENTRY!G268</f>
        <v/>
      </c>
      <c r="N274" s="98" t="str">
        <f t="shared" si="3"/>
        <v/>
      </c>
      <c r="O274" s="99">
        <f t="shared" si="4"/>
        <v>0</v>
      </c>
      <c r="P274" s="99">
        <f t="shared" si="5"/>
        <v>0</v>
      </c>
      <c r="Q274" s="99">
        <f t="shared" si="6"/>
        <v>0</v>
      </c>
      <c r="R274" s="99">
        <f t="shared" si="7"/>
        <v>0</v>
      </c>
      <c r="S274" s="100" t="str">
        <f t="shared" ref="S274:V274" si="274">IFERROR(O274-Y274,"")
</f>
        <v/>
      </c>
      <c r="T274" s="100">
        <f t="shared" si="274"/>
        <v>0</v>
      </c>
      <c r="U274" s="100">
        <f t="shared" si="274"/>
        <v>0</v>
      </c>
      <c r="V274" s="100">
        <f t="shared" si="274"/>
        <v>0</v>
      </c>
      <c r="W274" s="88" t="str">
        <f t="shared" si="9"/>
        <v/>
      </c>
      <c r="X274" s="89">
        <f>S274/D274</f>
        <v>0</v>
      </c>
      <c r="Y274" s="90" t="str">
        <f t="shared" si="10"/>
        <v>ERR</v>
      </c>
      <c r="Z274" s="90">
        <f>IF(H274=0,0,CAPITAL!$H$5*Y274)
</f>
        <v>0</v>
      </c>
      <c r="AA274" s="90">
        <f>IF(I274=0,0,CAPITAL!$H$6*Y274)
</f>
        <v>0</v>
      </c>
      <c r="AB274" s="90">
        <f>IF(J274=0,0,CAPITAL!$H$7*Y274)
</f>
        <v>0</v>
      </c>
      <c r="AC274" s="90"/>
    </row>
    <row r="275">
      <c r="A275" s="104"/>
      <c r="B275" s="101">
        <v>270.0</v>
      </c>
      <c r="C275" s="79" t="str">
        <f>ENTRY!B269</f>
        <v>SILVERBEES</v>
      </c>
      <c r="D275" s="80">
        <f>CAPITAL!$C$2</f>
        <v>3350000</v>
      </c>
      <c r="E275" s="81" t="str">
        <f>ENTRY!C269</f>
        <v/>
      </c>
      <c r="F275" s="82" t="str">
        <f>ENTRY!D269</f>
        <v/>
      </c>
      <c r="G275" s="83" t="str">
        <f>ENTRY!E269</f>
        <v/>
      </c>
      <c r="H275" s="84">
        <f>G275*ENTRY!$O269</f>
        <v>0</v>
      </c>
      <c r="I275" s="84">
        <f>G275*ENTRY!$P269</f>
        <v>0</v>
      </c>
      <c r="J275" s="84">
        <f>G275*ENTRY!$Q269</f>
        <v>0</v>
      </c>
      <c r="K275" s="82">
        <f t="shared" si="2"/>
        <v>0</v>
      </c>
      <c r="L275" s="82" t="str">
        <f>ENTRY!F269</f>
        <v/>
      </c>
      <c r="M275" s="81" t="str">
        <f>ENTRY!G269</f>
        <v/>
      </c>
      <c r="N275" s="85" t="str">
        <f t="shared" si="3"/>
        <v/>
      </c>
      <c r="O275" s="86">
        <f t="shared" si="4"/>
        <v>0</v>
      </c>
      <c r="P275" s="86">
        <f t="shared" si="5"/>
        <v>0</v>
      </c>
      <c r="Q275" s="86">
        <f t="shared" si="6"/>
        <v>0</v>
      </c>
      <c r="R275" s="86">
        <f t="shared" si="7"/>
        <v>0</v>
      </c>
      <c r="S275" s="87" t="str">
        <f t="shared" ref="S275:V275" si="275">IFERROR(O275-Y275,"")
</f>
        <v/>
      </c>
      <c r="T275" s="87">
        <f t="shared" si="275"/>
        <v>0</v>
      </c>
      <c r="U275" s="87">
        <f t="shared" si="275"/>
        <v>0</v>
      </c>
      <c r="V275" s="87">
        <f t="shared" si="275"/>
        <v>0</v>
      </c>
      <c r="W275" s="88" t="str">
        <f t="shared" si="9"/>
        <v/>
      </c>
      <c r="X275" s="89">
        <f>IFERROR(S275/D275,"")</f>
        <v>0</v>
      </c>
      <c r="Y275" s="90" t="str">
        <f t="shared" si="10"/>
        <v>ERR</v>
      </c>
      <c r="Z275" s="90">
        <f>IF(H275=0,0,CAPITAL!$H$5*Y275)
</f>
        <v>0</v>
      </c>
      <c r="AA275" s="90">
        <f>IF(I275=0,0,CAPITAL!$H$6*Y275)
</f>
        <v>0</v>
      </c>
      <c r="AB275" s="90">
        <f>IF(J275=0,0,CAPITAL!$H$7*Y275)
</f>
        <v>0</v>
      </c>
      <c r="AC275" s="90"/>
    </row>
    <row r="276">
      <c r="A276" s="104"/>
      <c r="B276" s="101">
        <v>271.0</v>
      </c>
      <c r="C276" s="18" t="str">
        <f>ENTRY!B270</f>
        <v>SILVERBEES</v>
      </c>
      <c r="D276" s="93">
        <f>CAPITAL!$C$2</f>
        <v>3350000</v>
      </c>
      <c r="E276" s="94" t="str">
        <f>ENTRY!C270</f>
        <v/>
      </c>
      <c r="F276" s="95" t="str">
        <f>ENTRY!D270</f>
        <v/>
      </c>
      <c r="G276" s="96" t="str">
        <f>ENTRY!E270</f>
        <v/>
      </c>
      <c r="H276" s="97">
        <f>G276*ENTRY!$O270</f>
        <v>0</v>
      </c>
      <c r="I276" s="97">
        <f>G276*ENTRY!$P270</f>
        <v>0</v>
      </c>
      <c r="J276" s="97">
        <f>G276*ENTRY!$Q270</f>
        <v>0</v>
      </c>
      <c r="K276" s="95">
        <f t="shared" si="2"/>
        <v>0</v>
      </c>
      <c r="L276" s="95" t="str">
        <f>ENTRY!F270</f>
        <v/>
      </c>
      <c r="M276" s="94" t="str">
        <f>ENTRY!G270</f>
        <v/>
      </c>
      <c r="N276" s="98" t="str">
        <f t="shared" si="3"/>
        <v/>
      </c>
      <c r="O276" s="99">
        <f t="shared" si="4"/>
        <v>0</v>
      </c>
      <c r="P276" s="99">
        <f t="shared" si="5"/>
        <v>0</v>
      </c>
      <c r="Q276" s="99">
        <f t="shared" si="6"/>
        <v>0</v>
      </c>
      <c r="R276" s="99">
        <f t="shared" si="7"/>
        <v>0</v>
      </c>
      <c r="S276" s="100" t="str">
        <f t="shared" ref="S276:V276" si="276">IFERROR(O276-Y276,"")
</f>
        <v/>
      </c>
      <c r="T276" s="100">
        <f t="shared" si="276"/>
        <v>0</v>
      </c>
      <c r="U276" s="100">
        <f t="shared" si="276"/>
        <v>0</v>
      </c>
      <c r="V276" s="100">
        <f t="shared" si="276"/>
        <v>0</v>
      </c>
      <c r="W276" s="88" t="str">
        <f t="shared" si="9"/>
        <v/>
      </c>
      <c r="X276" s="89">
        <f>S276/D276</f>
        <v>0</v>
      </c>
      <c r="Y276" s="90" t="str">
        <f t="shared" si="10"/>
        <v>ERR</v>
      </c>
      <c r="Z276" s="90">
        <f>IF(H276=0,0,CAPITAL!$H$5*Y276)
</f>
        <v>0</v>
      </c>
      <c r="AA276" s="90">
        <f>IF(I276=0,0,CAPITAL!$H$6*Y276)
</f>
        <v>0</v>
      </c>
      <c r="AB276" s="90">
        <f>IF(J276=0,0,CAPITAL!$H$7*Y276)
</f>
        <v>0</v>
      </c>
      <c r="AC276" s="90"/>
    </row>
    <row r="277">
      <c r="A277" s="104"/>
      <c r="B277" s="101">
        <v>272.0</v>
      </c>
      <c r="C277" s="79" t="str">
        <f>ENTRY!B271</f>
        <v>SILVERBEES</v>
      </c>
      <c r="D277" s="80">
        <f>CAPITAL!$C$2</f>
        <v>3350000</v>
      </c>
      <c r="E277" s="81" t="str">
        <f>ENTRY!C271</f>
        <v/>
      </c>
      <c r="F277" s="82" t="str">
        <f>ENTRY!D271</f>
        <v/>
      </c>
      <c r="G277" s="83" t="str">
        <f>ENTRY!E271</f>
        <v/>
      </c>
      <c r="H277" s="84">
        <f>G277*ENTRY!$O271</f>
        <v>0</v>
      </c>
      <c r="I277" s="84">
        <f>G277*ENTRY!$P271</f>
        <v>0</v>
      </c>
      <c r="J277" s="84">
        <f>G277*ENTRY!$Q271</f>
        <v>0</v>
      </c>
      <c r="K277" s="82">
        <f t="shared" si="2"/>
        <v>0</v>
      </c>
      <c r="L277" s="82" t="str">
        <f>ENTRY!F271</f>
        <v/>
      </c>
      <c r="M277" s="81" t="str">
        <f>ENTRY!G271</f>
        <v/>
      </c>
      <c r="N277" s="85" t="str">
        <f t="shared" si="3"/>
        <v/>
      </c>
      <c r="O277" s="86">
        <f t="shared" si="4"/>
        <v>0</v>
      </c>
      <c r="P277" s="86">
        <f t="shared" si="5"/>
        <v>0</v>
      </c>
      <c r="Q277" s="86">
        <f t="shared" si="6"/>
        <v>0</v>
      </c>
      <c r="R277" s="86">
        <f t="shared" si="7"/>
        <v>0</v>
      </c>
      <c r="S277" s="87" t="str">
        <f t="shared" ref="S277:V277" si="277">IFERROR(O277-Y277,"")
</f>
        <v/>
      </c>
      <c r="T277" s="87">
        <f t="shared" si="277"/>
        <v>0</v>
      </c>
      <c r="U277" s="87">
        <f t="shared" si="277"/>
        <v>0</v>
      </c>
      <c r="V277" s="87">
        <f t="shared" si="277"/>
        <v>0</v>
      </c>
      <c r="W277" s="88" t="str">
        <f t="shared" si="9"/>
        <v/>
      </c>
      <c r="X277" s="89">
        <f>IFERROR(S277/D277,"")</f>
        <v>0</v>
      </c>
      <c r="Y277" s="90" t="str">
        <f t="shared" si="10"/>
        <v>ERR</v>
      </c>
      <c r="Z277" s="90">
        <f>IF(H277=0,0,CAPITAL!$H$5*Y277)
</f>
        <v>0</v>
      </c>
      <c r="AA277" s="90">
        <f>IF(I277=0,0,CAPITAL!$H$6*Y277)
</f>
        <v>0</v>
      </c>
      <c r="AB277" s="90">
        <f>IF(J277=0,0,CAPITAL!$H$7*Y277)
</f>
        <v>0</v>
      </c>
      <c r="AC277" s="90"/>
    </row>
    <row r="278">
      <c r="A278" s="104"/>
      <c r="B278" s="101">
        <v>273.0</v>
      </c>
      <c r="C278" s="18" t="str">
        <f>ENTRY!B272</f>
        <v>SILVERBEES</v>
      </c>
      <c r="D278" s="93">
        <f>CAPITAL!$C$2</f>
        <v>3350000</v>
      </c>
      <c r="E278" s="94" t="str">
        <f>ENTRY!C272</f>
        <v/>
      </c>
      <c r="F278" s="95" t="str">
        <f>ENTRY!D272</f>
        <v/>
      </c>
      <c r="G278" s="96" t="str">
        <f>ENTRY!E272</f>
        <v/>
      </c>
      <c r="H278" s="97">
        <f>G278*ENTRY!$O272</f>
        <v>0</v>
      </c>
      <c r="I278" s="97">
        <f>G278*ENTRY!$P272</f>
        <v>0</v>
      </c>
      <c r="J278" s="97">
        <f>G278*ENTRY!$Q272</f>
        <v>0</v>
      </c>
      <c r="K278" s="95">
        <f t="shared" si="2"/>
        <v>0</v>
      </c>
      <c r="L278" s="95" t="str">
        <f>ENTRY!F272</f>
        <v/>
      </c>
      <c r="M278" s="94" t="str">
        <f>ENTRY!G272</f>
        <v/>
      </c>
      <c r="N278" s="98" t="str">
        <f t="shared" si="3"/>
        <v/>
      </c>
      <c r="O278" s="99">
        <f t="shared" si="4"/>
        <v>0</v>
      </c>
      <c r="P278" s="99">
        <f t="shared" si="5"/>
        <v>0</v>
      </c>
      <c r="Q278" s="99">
        <f t="shared" si="6"/>
        <v>0</v>
      </c>
      <c r="R278" s="99">
        <f t="shared" si="7"/>
        <v>0</v>
      </c>
      <c r="S278" s="100" t="str">
        <f t="shared" ref="S278:V278" si="278">IFERROR(O278-Y278,"")
</f>
        <v/>
      </c>
      <c r="T278" s="100">
        <f t="shared" si="278"/>
        <v>0</v>
      </c>
      <c r="U278" s="100">
        <f t="shared" si="278"/>
        <v>0</v>
      </c>
      <c r="V278" s="100">
        <f t="shared" si="278"/>
        <v>0</v>
      </c>
      <c r="W278" s="88" t="str">
        <f t="shared" si="9"/>
        <v/>
      </c>
      <c r="X278" s="89">
        <f>S278/D278</f>
        <v>0</v>
      </c>
      <c r="Y278" s="90" t="str">
        <f t="shared" si="10"/>
        <v>ERR</v>
      </c>
      <c r="Z278" s="90">
        <f>IF(H278=0,0,CAPITAL!$H$5*Y278)
</f>
        <v>0</v>
      </c>
      <c r="AA278" s="90">
        <f>IF(I278=0,0,CAPITAL!$H$6*Y278)
</f>
        <v>0</v>
      </c>
      <c r="AB278" s="90">
        <f>IF(J278=0,0,CAPITAL!$H$7*Y278)
</f>
        <v>0</v>
      </c>
      <c r="AC278" s="90"/>
    </row>
    <row r="279">
      <c r="A279" s="104"/>
      <c r="B279" s="101">
        <v>274.0</v>
      </c>
      <c r="C279" s="79" t="str">
        <f>ENTRY!B273</f>
        <v>SILVERBEES</v>
      </c>
      <c r="D279" s="80">
        <f>CAPITAL!$C$2</f>
        <v>3350000</v>
      </c>
      <c r="E279" s="81" t="str">
        <f>ENTRY!C273</f>
        <v/>
      </c>
      <c r="F279" s="82" t="str">
        <f>ENTRY!D273</f>
        <v/>
      </c>
      <c r="G279" s="83" t="str">
        <f>ENTRY!E273</f>
        <v/>
      </c>
      <c r="H279" s="84">
        <f>G279*ENTRY!$O273</f>
        <v>0</v>
      </c>
      <c r="I279" s="84">
        <f>G279*ENTRY!$P273</f>
        <v>0</v>
      </c>
      <c r="J279" s="84">
        <f>G279*ENTRY!$Q273</f>
        <v>0</v>
      </c>
      <c r="K279" s="82">
        <f t="shared" si="2"/>
        <v>0</v>
      </c>
      <c r="L279" s="82" t="str">
        <f>ENTRY!F273</f>
        <v/>
      </c>
      <c r="M279" s="81" t="str">
        <f>ENTRY!G273</f>
        <v/>
      </c>
      <c r="N279" s="85" t="str">
        <f t="shared" si="3"/>
        <v/>
      </c>
      <c r="O279" s="86">
        <f t="shared" si="4"/>
        <v>0</v>
      </c>
      <c r="P279" s="86">
        <f t="shared" si="5"/>
        <v>0</v>
      </c>
      <c r="Q279" s="86">
        <f t="shared" si="6"/>
        <v>0</v>
      </c>
      <c r="R279" s="86">
        <f t="shared" si="7"/>
        <v>0</v>
      </c>
      <c r="S279" s="87" t="str">
        <f t="shared" ref="S279:V279" si="279">IFERROR(O279-Y279,"")
</f>
        <v/>
      </c>
      <c r="T279" s="87">
        <f t="shared" si="279"/>
        <v>0</v>
      </c>
      <c r="U279" s="87">
        <f t="shared" si="279"/>
        <v>0</v>
      </c>
      <c r="V279" s="87">
        <f t="shared" si="279"/>
        <v>0</v>
      </c>
      <c r="W279" s="88" t="str">
        <f t="shared" si="9"/>
        <v/>
      </c>
      <c r="X279" s="89">
        <f>IFERROR(S279/D279,"")</f>
        <v>0</v>
      </c>
      <c r="Y279" s="90" t="str">
        <f t="shared" si="10"/>
        <v>ERR</v>
      </c>
      <c r="Z279" s="90">
        <f>IF(H279=0,0,CAPITAL!$H$5*Y279)
</f>
        <v>0</v>
      </c>
      <c r="AA279" s="90">
        <f>IF(I279=0,0,CAPITAL!$H$6*Y279)
</f>
        <v>0</v>
      </c>
      <c r="AB279" s="90">
        <f>IF(J279=0,0,CAPITAL!$H$7*Y279)
</f>
        <v>0</v>
      </c>
      <c r="AC279" s="90"/>
    </row>
    <row r="280">
      <c r="A280" s="104"/>
      <c r="B280" s="101">
        <v>275.0</v>
      </c>
      <c r="C280" s="18" t="str">
        <f>ENTRY!B274</f>
        <v>SILVERBEES</v>
      </c>
      <c r="D280" s="93">
        <f>CAPITAL!$C$2</f>
        <v>3350000</v>
      </c>
      <c r="E280" s="94" t="str">
        <f>ENTRY!C274</f>
        <v/>
      </c>
      <c r="F280" s="95" t="str">
        <f>ENTRY!D274</f>
        <v/>
      </c>
      <c r="G280" s="96" t="str">
        <f>ENTRY!E274</f>
        <v/>
      </c>
      <c r="H280" s="97">
        <f>G280*ENTRY!$O274</f>
        <v>0</v>
      </c>
      <c r="I280" s="97">
        <f>G280*ENTRY!$P274</f>
        <v>0</v>
      </c>
      <c r="J280" s="97">
        <f>G280*ENTRY!$Q274</f>
        <v>0</v>
      </c>
      <c r="K280" s="95">
        <f t="shared" si="2"/>
        <v>0</v>
      </c>
      <c r="L280" s="95" t="str">
        <f>ENTRY!F274</f>
        <v/>
      </c>
      <c r="M280" s="94" t="str">
        <f>ENTRY!G274</f>
        <v/>
      </c>
      <c r="N280" s="98" t="str">
        <f t="shared" si="3"/>
        <v/>
      </c>
      <c r="O280" s="99">
        <f t="shared" si="4"/>
        <v>0</v>
      </c>
      <c r="P280" s="99">
        <f t="shared" si="5"/>
        <v>0</v>
      </c>
      <c r="Q280" s="99">
        <f t="shared" si="6"/>
        <v>0</v>
      </c>
      <c r="R280" s="99">
        <f t="shared" si="7"/>
        <v>0</v>
      </c>
      <c r="S280" s="100" t="str">
        <f t="shared" ref="S280:V280" si="280">IFERROR(O280-Y280,"")
</f>
        <v/>
      </c>
      <c r="T280" s="100">
        <f t="shared" si="280"/>
        <v>0</v>
      </c>
      <c r="U280" s="100">
        <f t="shared" si="280"/>
        <v>0</v>
      </c>
      <c r="V280" s="100">
        <f t="shared" si="280"/>
        <v>0</v>
      </c>
      <c r="W280" s="88" t="str">
        <f t="shared" si="9"/>
        <v/>
      </c>
      <c r="X280" s="89">
        <f>S280/D280</f>
        <v>0</v>
      </c>
      <c r="Y280" s="90" t="str">
        <f t="shared" si="10"/>
        <v>ERR</v>
      </c>
      <c r="Z280" s="90">
        <f>IF(H280=0,0,CAPITAL!$H$5*Y280)
</f>
        <v>0</v>
      </c>
      <c r="AA280" s="90">
        <f>IF(I280=0,0,CAPITAL!$H$6*Y280)
</f>
        <v>0</v>
      </c>
      <c r="AB280" s="90">
        <f>IF(J280=0,0,CAPITAL!$H$7*Y280)
</f>
        <v>0</v>
      </c>
      <c r="AC280" s="90"/>
    </row>
    <row r="281">
      <c r="A281" s="104"/>
      <c r="B281" s="101">
        <v>276.0</v>
      </c>
      <c r="C281" s="79" t="str">
        <f>ENTRY!B275</f>
        <v>SILVERBEES</v>
      </c>
      <c r="D281" s="80">
        <f>CAPITAL!$C$2</f>
        <v>3350000</v>
      </c>
      <c r="E281" s="81" t="str">
        <f>ENTRY!C275</f>
        <v/>
      </c>
      <c r="F281" s="82" t="str">
        <f>ENTRY!D275</f>
        <v/>
      </c>
      <c r="G281" s="83" t="str">
        <f>ENTRY!E275</f>
        <v/>
      </c>
      <c r="H281" s="84">
        <f>G281*ENTRY!$O275</f>
        <v>0</v>
      </c>
      <c r="I281" s="84">
        <f>G281*ENTRY!$P275</f>
        <v>0</v>
      </c>
      <c r="J281" s="84">
        <f>G281*ENTRY!$Q275</f>
        <v>0</v>
      </c>
      <c r="K281" s="82">
        <f t="shared" si="2"/>
        <v>0</v>
      </c>
      <c r="L281" s="82" t="str">
        <f>ENTRY!F275</f>
        <v/>
      </c>
      <c r="M281" s="81" t="str">
        <f>ENTRY!G275</f>
        <v/>
      </c>
      <c r="N281" s="85" t="str">
        <f t="shared" si="3"/>
        <v/>
      </c>
      <c r="O281" s="86">
        <f t="shared" si="4"/>
        <v>0</v>
      </c>
      <c r="P281" s="86">
        <f t="shared" si="5"/>
        <v>0</v>
      </c>
      <c r="Q281" s="86">
        <f t="shared" si="6"/>
        <v>0</v>
      </c>
      <c r="R281" s="86">
        <f t="shared" si="7"/>
        <v>0</v>
      </c>
      <c r="S281" s="87" t="str">
        <f t="shared" ref="S281:V281" si="281">IFERROR(O281-Y281,"")
</f>
        <v/>
      </c>
      <c r="T281" s="87">
        <f t="shared" si="281"/>
        <v>0</v>
      </c>
      <c r="U281" s="87">
        <f t="shared" si="281"/>
        <v>0</v>
      </c>
      <c r="V281" s="87">
        <f t="shared" si="281"/>
        <v>0</v>
      </c>
      <c r="W281" s="88" t="str">
        <f t="shared" si="9"/>
        <v/>
      </c>
      <c r="X281" s="89">
        <f>IFERROR(S281/D281,"")</f>
        <v>0</v>
      </c>
      <c r="Y281" s="90" t="str">
        <f t="shared" si="10"/>
        <v>ERR</v>
      </c>
      <c r="Z281" s="90">
        <f>IF(H281=0,0,CAPITAL!$H$5*Y281)
</f>
        <v>0</v>
      </c>
      <c r="AA281" s="90">
        <f>IF(I281=0,0,CAPITAL!$H$6*Y281)
</f>
        <v>0</v>
      </c>
      <c r="AB281" s="90">
        <f>IF(J281=0,0,CAPITAL!$H$7*Y281)
</f>
        <v>0</v>
      </c>
      <c r="AC281" s="90"/>
    </row>
    <row r="282">
      <c r="A282" s="104"/>
      <c r="B282" s="101">
        <v>277.0</v>
      </c>
      <c r="C282" s="18" t="str">
        <f>ENTRY!B276</f>
        <v>SILVERBEES</v>
      </c>
      <c r="D282" s="93">
        <f>CAPITAL!$C$2</f>
        <v>3350000</v>
      </c>
      <c r="E282" s="94" t="str">
        <f>ENTRY!C276</f>
        <v/>
      </c>
      <c r="F282" s="95" t="str">
        <f>ENTRY!D276</f>
        <v/>
      </c>
      <c r="G282" s="96" t="str">
        <f>ENTRY!E276</f>
        <v/>
      </c>
      <c r="H282" s="97">
        <f>G282*ENTRY!$O276</f>
        <v>0</v>
      </c>
      <c r="I282" s="97">
        <f>G282*ENTRY!$P276</f>
        <v>0</v>
      </c>
      <c r="J282" s="97">
        <f>G282*ENTRY!$Q276</f>
        <v>0</v>
      </c>
      <c r="K282" s="95">
        <f t="shared" si="2"/>
        <v>0</v>
      </c>
      <c r="L282" s="95" t="str">
        <f>ENTRY!F276</f>
        <v/>
      </c>
      <c r="M282" s="94" t="str">
        <f>ENTRY!G276</f>
        <v/>
      </c>
      <c r="N282" s="98" t="str">
        <f t="shared" si="3"/>
        <v/>
      </c>
      <c r="O282" s="99">
        <f t="shared" si="4"/>
        <v>0</v>
      </c>
      <c r="P282" s="99">
        <f t="shared" si="5"/>
        <v>0</v>
      </c>
      <c r="Q282" s="99">
        <f t="shared" si="6"/>
        <v>0</v>
      </c>
      <c r="R282" s="99">
        <f t="shared" si="7"/>
        <v>0</v>
      </c>
      <c r="S282" s="100" t="str">
        <f t="shared" ref="S282:V282" si="282">IFERROR(O282-Y282,"")
</f>
        <v/>
      </c>
      <c r="T282" s="100">
        <f t="shared" si="282"/>
        <v>0</v>
      </c>
      <c r="U282" s="100">
        <f t="shared" si="282"/>
        <v>0</v>
      </c>
      <c r="V282" s="100">
        <f t="shared" si="282"/>
        <v>0</v>
      </c>
      <c r="W282" s="88" t="str">
        <f t="shared" si="9"/>
        <v/>
      </c>
      <c r="X282" s="89">
        <f>S282/D282</f>
        <v>0</v>
      </c>
      <c r="Y282" s="90" t="str">
        <f t="shared" si="10"/>
        <v>ERR</v>
      </c>
      <c r="Z282" s="90">
        <f>IF(H282=0,0,CAPITAL!$H$5*Y282)
</f>
        <v>0</v>
      </c>
      <c r="AA282" s="90">
        <f>IF(I282=0,0,CAPITAL!$H$6*Y282)
</f>
        <v>0</v>
      </c>
      <c r="AB282" s="90">
        <f>IF(J282=0,0,CAPITAL!$H$7*Y282)
</f>
        <v>0</v>
      </c>
      <c r="AC282" s="90"/>
    </row>
    <row r="283">
      <c r="A283" s="104"/>
      <c r="B283" s="101">
        <v>278.0</v>
      </c>
      <c r="C283" s="79" t="str">
        <f>ENTRY!B277</f>
        <v>SILVERBEES</v>
      </c>
      <c r="D283" s="80">
        <f>CAPITAL!$C$2</f>
        <v>3350000</v>
      </c>
      <c r="E283" s="81" t="str">
        <f>ENTRY!C277</f>
        <v/>
      </c>
      <c r="F283" s="82" t="str">
        <f>ENTRY!D277</f>
        <v/>
      </c>
      <c r="G283" s="83" t="str">
        <f>ENTRY!E277</f>
        <v/>
      </c>
      <c r="H283" s="84">
        <f>G283*ENTRY!$O277</f>
        <v>0</v>
      </c>
      <c r="I283" s="84">
        <f>G283*ENTRY!$P277</f>
        <v>0</v>
      </c>
      <c r="J283" s="84">
        <f>G283*ENTRY!$Q277</f>
        <v>0</v>
      </c>
      <c r="K283" s="82">
        <f t="shared" si="2"/>
        <v>0</v>
      </c>
      <c r="L283" s="82" t="str">
        <f>ENTRY!F277</f>
        <v/>
      </c>
      <c r="M283" s="81" t="str">
        <f>ENTRY!G277</f>
        <v/>
      </c>
      <c r="N283" s="85" t="str">
        <f t="shared" si="3"/>
        <v/>
      </c>
      <c r="O283" s="86">
        <f t="shared" si="4"/>
        <v>0</v>
      </c>
      <c r="P283" s="86">
        <f t="shared" si="5"/>
        <v>0</v>
      </c>
      <c r="Q283" s="86">
        <f t="shared" si="6"/>
        <v>0</v>
      </c>
      <c r="R283" s="86">
        <f t="shared" si="7"/>
        <v>0</v>
      </c>
      <c r="S283" s="87" t="str">
        <f t="shared" ref="S283:V283" si="283">IFERROR(O283-Y283,"")
</f>
        <v/>
      </c>
      <c r="T283" s="87">
        <f t="shared" si="283"/>
        <v>0</v>
      </c>
      <c r="U283" s="87">
        <f t="shared" si="283"/>
        <v>0</v>
      </c>
      <c r="V283" s="87">
        <f t="shared" si="283"/>
        <v>0</v>
      </c>
      <c r="W283" s="88" t="str">
        <f t="shared" si="9"/>
        <v/>
      </c>
      <c r="X283" s="89">
        <f>IFERROR(S283/D283,"")</f>
        <v>0</v>
      </c>
      <c r="Y283" s="90" t="str">
        <f t="shared" si="10"/>
        <v>ERR</v>
      </c>
      <c r="Z283" s="90">
        <f>IF(H283=0,0,CAPITAL!$H$5*Y283)
</f>
        <v>0</v>
      </c>
      <c r="AA283" s="90">
        <f>IF(I283=0,0,CAPITAL!$H$6*Y283)
</f>
        <v>0</v>
      </c>
      <c r="AB283" s="90">
        <f>IF(J283=0,0,CAPITAL!$H$7*Y283)
</f>
        <v>0</v>
      </c>
      <c r="AC283" s="90"/>
    </row>
    <row r="284">
      <c r="A284" s="104"/>
      <c r="B284" s="101">
        <v>279.0</v>
      </c>
      <c r="C284" s="18" t="str">
        <f>ENTRY!B278</f>
        <v>SILVERBEES</v>
      </c>
      <c r="D284" s="93">
        <f>CAPITAL!$C$2</f>
        <v>3350000</v>
      </c>
      <c r="E284" s="94" t="str">
        <f>ENTRY!C278</f>
        <v/>
      </c>
      <c r="F284" s="95" t="str">
        <f>ENTRY!D278</f>
        <v/>
      </c>
      <c r="G284" s="96" t="str">
        <f>ENTRY!E278</f>
        <v/>
      </c>
      <c r="H284" s="97">
        <f>G284*ENTRY!$O278</f>
        <v>0</v>
      </c>
      <c r="I284" s="97">
        <f>G284*ENTRY!$P278</f>
        <v>0</v>
      </c>
      <c r="J284" s="97">
        <f>G284*ENTRY!$Q278</f>
        <v>0</v>
      </c>
      <c r="K284" s="95">
        <f t="shared" si="2"/>
        <v>0</v>
      </c>
      <c r="L284" s="95" t="str">
        <f>ENTRY!F278</f>
        <v/>
      </c>
      <c r="M284" s="94" t="str">
        <f>ENTRY!G278</f>
        <v/>
      </c>
      <c r="N284" s="98" t="str">
        <f t="shared" si="3"/>
        <v/>
      </c>
      <c r="O284" s="99">
        <f t="shared" si="4"/>
        <v>0</v>
      </c>
      <c r="P284" s="99">
        <f t="shared" si="5"/>
        <v>0</v>
      </c>
      <c r="Q284" s="99">
        <f t="shared" si="6"/>
        <v>0</v>
      </c>
      <c r="R284" s="99">
        <f t="shared" si="7"/>
        <v>0</v>
      </c>
      <c r="S284" s="100" t="str">
        <f t="shared" ref="S284:V284" si="284">IFERROR(O284-Y284,"")
</f>
        <v/>
      </c>
      <c r="T284" s="100">
        <f t="shared" si="284"/>
        <v>0</v>
      </c>
      <c r="U284" s="100">
        <f t="shared" si="284"/>
        <v>0</v>
      </c>
      <c r="V284" s="100">
        <f t="shared" si="284"/>
        <v>0</v>
      </c>
      <c r="W284" s="88" t="str">
        <f t="shared" si="9"/>
        <v/>
      </c>
      <c r="X284" s="89">
        <f>S284/D284</f>
        <v>0</v>
      </c>
      <c r="Y284" s="90" t="str">
        <f t="shared" si="10"/>
        <v>ERR</v>
      </c>
      <c r="Z284" s="90">
        <f>IF(H284=0,0,CAPITAL!$H$5*Y284)
</f>
        <v>0</v>
      </c>
      <c r="AA284" s="90">
        <f>IF(I284=0,0,CAPITAL!$H$6*Y284)
</f>
        <v>0</v>
      </c>
      <c r="AB284" s="90">
        <f>IF(J284=0,0,CAPITAL!$H$7*Y284)
</f>
        <v>0</v>
      </c>
      <c r="AC284" s="90"/>
    </row>
    <row r="285">
      <c r="A285" s="104"/>
      <c r="B285" s="101">
        <v>280.0</v>
      </c>
      <c r="C285" s="79" t="str">
        <f>ENTRY!B279</f>
        <v>SILVERBEES</v>
      </c>
      <c r="D285" s="80">
        <f>CAPITAL!$C$2</f>
        <v>3350000</v>
      </c>
      <c r="E285" s="81" t="str">
        <f>ENTRY!C279</f>
        <v/>
      </c>
      <c r="F285" s="82" t="str">
        <f>ENTRY!D279</f>
        <v/>
      </c>
      <c r="G285" s="83" t="str">
        <f>ENTRY!E279</f>
        <v/>
      </c>
      <c r="H285" s="84">
        <f>G285*ENTRY!$O279</f>
        <v>0</v>
      </c>
      <c r="I285" s="84">
        <f>G285*ENTRY!$P279</f>
        <v>0</v>
      </c>
      <c r="J285" s="84">
        <f>G285*ENTRY!$Q279</f>
        <v>0</v>
      </c>
      <c r="K285" s="82">
        <f t="shared" si="2"/>
        <v>0</v>
      </c>
      <c r="L285" s="82" t="str">
        <f>ENTRY!F279</f>
        <v/>
      </c>
      <c r="M285" s="81" t="str">
        <f>ENTRY!G279</f>
        <v/>
      </c>
      <c r="N285" s="85" t="str">
        <f t="shared" si="3"/>
        <v/>
      </c>
      <c r="O285" s="86">
        <f t="shared" si="4"/>
        <v>0</v>
      </c>
      <c r="P285" s="86">
        <f t="shared" si="5"/>
        <v>0</v>
      </c>
      <c r="Q285" s="86">
        <f t="shared" si="6"/>
        <v>0</v>
      </c>
      <c r="R285" s="86">
        <f t="shared" si="7"/>
        <v>0</v>
      </c>
      <c r="S285" s="87" t="str">
        <f t="shared" ref="S285:V285" si="285">IFERROR(O285-Y285,"")
</f>
        <v/>
      </c>
      <c r="T285" s="87">
        <f t="shared" si="285"/>
        <v>0</v>
      </c>
      <c r="U285" s="87">
        <f t="shared" si="285"/>
        <v>0</v>
      </c>
      <c r="V285" s="87">
        <f t="shared" si="285"/>
        <v>0</v>
      </c>
      <c r="W285" s="88" t="str">
        <f t="shared" si="9"/>
        <v/>
      </c>
      <c r="X285" s="89">
        <f>IFERROR(S285/D285,"")</f>
        <v>0</v>
      </c>
      <c r="Y285" s="90" t="str">
        <f t="shared" si="10"/>
        <v>ERR</v>
      </c>
      <c r="Z285" s="90">
        <f>IF(H285=0,0,CAPITAL!$H$5*Y285)
</f>
        <v>0</v>
      </c>
      <c r="AA285" s="90">
        <f>IF(I285=0,0,CAPITAL!$H$6*Y285)
</f>
        <v>0</v>
      </c>
      <c r="AB285" s="90">
        <f>IF(J285=0,0,CAPITAL!$H$7*Y285)
</f>
        <v>0</v>
      </c>
      <c r="AC285" s="90"/>
    </row>
    <row r="286">
      <c r="A286" s="104"/>
      <c r="B286" s="101">
        <v>281.0</v>
      </c>
      <c r="C286" s="18" t="str">
        <f>ENTRY!B280</f>
        <v>SILVERBEES</v>
      </c>
      <c r="D286" s="93">
        <f>CAPITAL!$C$2</f>
        <v>3350000</v>
      </c>
      <c r="E286" s="94" t="str">
        <f>ENTRY!C280</f>
        <v/>
      </c>
      <c r="F286" s="95" t="str">
        <f>ENTRY!D280</f>
        <v/>
      </c>
      <c r="G286" s="96" t="str">
        <f>ENTRY!E280</f>
        <v/>
      </c>
      <c r="H286" s="97">
        <f>G286*ENTRY!$O280</f>
        <v>0</v>
      </c>
      <c r="I286" s="97">
        <f>G286*ENTRY!$P280</f>
        <v>0</v>
      </c>
      <c r="J286" s="97">
        <f>G286*ENTRY!$Q280</f>
        <v>0</v>
      </c>
      <c r="K286" s="95">
        <f t="shared" si="2"/>
        <v>0</v>
      </c>
      <c r="L286" s="95" t="str">
        <f>ENTRY!F280</f>
        <v/>
      </c>
      <c r="M286" s="94" t="str">
        <f>ENTRY!G280</f>
        <v/>
      </c>
      <c r="N286" s="98" t="str">
        <f t="shared" si="3"/>
        <v/>
      </c>
      <c r="O286" s="99">
        <f t="shared" si="4"/>
        <v>0</v>
      </c>
      <c r="P286" s="99">
        <f t="shared" si="5"/>
        <v>0</v>
      </c>
      <c r="Q286" s="99">
        <f t="shared" si="6"/>
        <v>0</v>
      </c>
      <c r="R286" s="99">
        <f t="shared" si="7"/>
        <v>0</v>
      </c>
      <c r="S286" s="100" t="str">
        <f t="shared" ref="S286:V286" si="286">IFERROR(O286-Y286,"")
</f>
        <v/>
      </c>
      <c r="T286" s="100">
        <f t="shared" si="286"/>
        <v>0</v>
      </c>
      <c r="U286" s="100">
        <f t="shared" si="286"/>
        <v>0</v>
      </c>
      <c r="V286" s="100">
        <f t="shared" si="286"/>
        <v>0</v>
      </c>
      <c r="W286" s="88" t="str">
        <f t="shared" si="9"/>
        <v/>
      </c>
      <c r="X286" s="89">
        <f>S286/D286</f>
        <v>0</v>
      </c>
      <c r="Y286" s="90" t="str">
        <f t="shared" si="10"/>
        <v>ERR</v>
      </c>
      <c r="Z286" s="90">
        <f>IF(H286=0,0,CAPITAL!$H$5*Y286)
</f>
        <v>0</v>
      </c>
      <c r="AA286" s="90">
        <f>IF(I286=0,0,CAPITAL!$H$6*Y286)
</f>
        <v>0</v>
      </c>
      <c r="AB286" s="90">
        <f>IF(J286=0,0,CAPITAL!$H$7*Y286)
</f>
        <v>0</v>
      </c>
      <c r="AC286" s="90"/>
    </row>
    <row r="287">
      <c r="A287" s="104"/>
      <c r="B287" s="101">
        <v>282.0</v>
      </c>
      <c r="C287" s="79" t="str">
        <f>ENTRY!B281</f>
        <v>SILVERBEES</v>
      </c>
      <c r="D287" s="80">
        <f>CAPITAL!$C$2</f>
        <v>3350000</v>
      </c>
      <c r="E287" s="81" t="str">
        <f>ENTRY!C281</f>
        <v/>
      </c>
      <c r="F287" s="82" t="str">
        <f>ENTRY!D281</f>
        <v/>
      </c>
      <c r="G287" s="83" t="str">
        <f>ENTRY!E281</f>
        <v/>
      </c>
      <c r="H287" s="84">
        <f>G287*ENTRY!$O281</f>
        <v>0</v>
      </c>
      <c r="I287" s="84">
        <f>G287*ENTRY!$P281</f>
        <v>0</v>
      </c>
      <c r="J287" s="84">
        <f>G287*ENTRY!$Q281</f>
        <v>0</v>
      </c>
      <c r="K287" s="82">
        <f t="shared" si="2"/>
        <v>0</v>
      </c>
      <c r="L287" s="82" t="str">
        <f>ENTRY!F281</f>
        <v/>
      </c>
      <c r="M287" s="81" t="str">
        <f>ENTRY!G281</f>
        <v/>
      </c>
      <c r="N287" s="85" t="str">
        <f t="shared" si="3"/>
        <v/>
      </c>
      <c r="O287" s="86">
        <f t="shared" si="4"/>
        <v>0</v>
      </c>
      <c r="P287" s="86">
        <f t="shared" si="5"/>
        <v>0</v>
      </c>
      <c r="Q287" s="86">
        <f t="shared" si="6"/>
        <v>0</v>
      </c>
      <c r="R287" s="86">
        <f t="shared" si="7"/>
        <v>0</v>
      </c>
      <c r="S287" s="87" t="str">
        <f t="shared" ref="S287:V287" si="287">IFERROR(O287-Y287,"")
</f>
        <v/>
      </c>
      <c r="T287" s="87">
        <f t="shared" si="287"/>
        <v>0</v>
      </c>
      <c r="U287" s="87">
        <f t="shared" si="287"/>
        <v>0</v>
      </c>
      <c r="V287" s="87">
        <f t="shared" si="287"/>
        <v>0</v>
      </c>
      <c r="W287" s="88" t="str">
        <f t="shared" si="9"/>
        <v/>
      </c>
      <c r="X287" s="89">
        <f>IFERROR(S287/D287,"")</f>
        <v>0</v>
      </c>
      <c r="Y287" s="90" t="str">
        <f t="shared" si="10"/>
        <v>ERR</v>
      </c>
      <c r="Z287" s="90">
        <f>IF(H287=0,0,CAPITAL!$H$5*Y287)
</f>
        <v>0</v>
      </c>
      <c r="AA287" s="90">
        <f>IF(I287=0,0,CAPITAL!$H$6*Y287)
</f>
        <v>0</v>
      </c>
      <c r="AB287" s="90">
        <f>IF(J287=0,0,CAPITAL!$H$7*Y287)
</f>
        <v>0</v>
      </c>
      <c r="AC287" s="90"/>
    </row>
    <row r="288">
      <c r="A288" s="104"/>
      <c r="B288" s="101">
        <v>283.0</v>
      </c>
      <c r="C288" s="18" t="str">
        <f>ENTRY!B282</f>
        <v>SILVERBEES</v>
      </c>
      <c r="D288" s="93">
        <f>CAPITAL!$C$2</f>
        <v>3350000</v>
      </c>
      <c r="E288" s="94" t="str">
        <f>ENTRY!C282</f>
        <v/>
      </c>
      <c r="F288" s="95" t="str">
        <f>ENTRY!D282</f>
        <v/>
      </c>
      <c r="G288" s="96" t="str">
        <f>ENTRY!E282</f>
        <v/>
      </c>
      <c r="H288" s="97">
        <f>G288*ENTRY!$O282</f>
        <v>0</v>
      </c>
      <c r="I288" s="97">
        <f>G288*ENTRY!$P282</f>
        <v>0</v>
      </c>
      <c r="J288" s="97">
        <f>G288*ENTRY!$Q282</f>
        <v>0</v>
      </c>
      <c r="K288" s="95">
        <f t="shared" si="2"/>
        <v>0</v>
      </c>
      <c r="L288" s="95" t="str">
        <f>ENTRY!F282</f>
        <v/>
      </c>
      <c r="M288" s="94" t="str">
        <f>ENTRY!G282</f>
        <v/>
      </c>
      <c r="N288" s="98" t="str">
        <f t="shared" si="3"/>
        <v/>
      </c>
      <c r="O288" s="99">
        <f t="shared" si="4"/>
        <v>0</v>
      </c>
      <c r="P288" s="99">
        <f t="shared" si="5"/>
        <v>0</v>
      </c>
      <c r="Q288" s="99">
        <f t="shared" si="6"/>
        <v>0</v>
      </c>
      <c r="R288" s="99">
        <f t="shared" si="7"/>
        <v>0</v>
      </c>
      <c r="S288" s="100" t="str">
        <f t="shared" ref="S288:V288" si="288">IFERROR(O288-Y288,"")
</f>
        <v/>
      </c>
      <c r="T288" s="100">
        <f t="shared" si="288"/>
        <v>0</v>
      </c>
      <c r="U288" s="100">
        <f t="shared" si="288"/>
        <v>0</v>
      </c>
      <c r="V288" s="100">
        <f t="shared" si="288"/>
        <v>0</v>
      </c>
      <c r="W288" s="88" t="str">
        <f t="shared" si="9"/>
        <v/>
      </c>
      <c r="X288" s="89">
        <f>S288/D288</f>
        <v>0</v>
      </c>
      <c r="Y288" s="90" t="str">
        <f t="shared" si="10"/>
        <v>ERR</v>
      </c>
      <c r="Z288" s="90">
        <f>IF(H288=0,0,CAPITAL!$H$5*Y288)
</f>
        <v>0</v>
      </c>
      <c r="AA288" s="90">
        <f>IF(I288=0,0,CAPITAL!$H$6*Y288)
</f>
        <v>0</v>
      </c>
      <c r="AB288" s="90">
        <f>IF(J288=0,0,CAPITAL!$H$7*Y288)
</f>
        <v>0</v>
      </c>
      <c r="AC288" s="90"/>
    </row>
    <row r="289">
      <c r="A289" s="104"/>
      <c r="B289" s="101">
        <v>284.0</v>
      </c>
      <c r="C289" s="79" t="str">
        <f>ENTRY!B283</f>
        <v>SILVERBEES</v>
      </c>
      <c r="D289" s="80">
        <f>CAPITAL!$C$2</f>
        <v>3350000</v>
      </c>
      <c r="E289" s="81" t="str">
        <f>ENTRY!C283</f>
        <v/>
      </c>
      <c r="F289" s="82" t="str">
        <f>ENTRY!D283</f>
        <v/>
      </c>
      <c r="G289" s="83" t="str">
        <f>ENTRY!E283</f>
        <v/>
      </c>
      <c r="H289" s="84">
        <f>G289*ENTRY!$O283</f>
        <v>0</v>
      </c>
      <c r="I289" s="84">
        <f>G289*ENTRY!$P283</f>
        <v>0</v>
      </c>
      <c r="J289" s="84">
        <f>G289*ENTRY!$Q283</f>
        <v>0</v>
      </c>
      <c r="K289" s="82">
        <f t="shared" si="2"/>
        <v>0</v>
      </c>
      <c r="L289" s="82" t="str">
        <f>ENTRY!F283</f>
        <v/>
      </c>
      <c r="M289" s="81" t="str">
        <f>ENTRY!G283</f>
        <v/>
      </c>
      <c r="N289" s="85" t="str">
        <f t="shared" si="3"/>
        <v/>
      </c>
      <c r="O289" s="86">
        <f t="shared" si="4"/>
        <v>0</v>
      </c>
      <c r="P289" s="86">
        <f t="shared" si="5"/>
        <v>0</v>
      </c>
      <c r="Q289" s="86">
        <f t="shared" si="6"/>
        <v>0</v>
      </c>
      <c r="R289" s="86">
        <f t="shared" si="7"/>
        <v>0</v>
      </c>
      <c r="S289" s="87" t="str">
        <f t="shared" ref="S289:V289" si="289">IFERROR(O289-Y289,"")
</f>
        <v/>
      </c>
      <c r="T289" s="87">
        <f t="shared" si="289"/>
        <v>0</v>
      </c>
      <c r="U289" s="87">
        <f t="shared" si="289"/>
        <v>0</v>
      </c>
      <c r="V289" s="87">
        <f t="shared" si="289"/>
        <v>0</v>
      </c>
      <c r="W289" s="88" t="str">
        <f t="shared" si="9"/>
        <v/>
      </c>
      <c r="X289" s="89">
        <f>IFERROR(S289/D289,"")</f>
        <v>0</v>
      </c>
      <c r="Y289" s="90" t="str">
        <f t="shared" si="10"/>
        <v>ERR</v>
      </c>
      <c r="Z289" s="90">
        <f>IF(H289=0,0,CAPITAL!$H$5*Y289)
</f>
        <v>0</v>
      </c>
      <c r="AA289" s="90">
        <f>IF(I289=0,0,CAPITAL!$H$6*Y289)
</f>
        <v>0</v>
      </c>
      <c r="AB289" s="90">
        <f>IF(J289=0,0,CAPITAL!$H$7*Y289)
</f>
        <v>0</v>
      </c>
      <c r="AC289" s="90"/>
    </row>
    <row r="290">
      <c r="A290" s="104"/>
      <c r="B290" s="101">
        <v>285.0</v>
      </c>
      <c r="C290" s="18" t="str">
        <f>ENTRY!B284</f>
        <v>SILVERBEES</v>
      </c>
      <c r="D290" s="93">
        <f>CAPITAL!$C$2</f>
        <v>3350000</v>
      </c>
      <c r="E290" s="94" t="str">
        <f>ENTRY!C284</f>
        <v/>
      </c>
      <c r="F290" s="95" t="str">
        <f>ENTRY!D284</f>
        <v/>
      </c>
      <c r="G290" s="96" t="str">
        <f>ENTRY!E284</f>
        <v/>
      </c>
      <c r="H290" s="97">
        <f>G290*ENTRY!$O284</f>
        <v>0</v>
      </c>
      <c r="I290" s="97">
        <f>G290*ENTRY!$P284</f>
        <v>0</v>
      </c>
      <c r="J290" s="97">
        <f>G290*ENTRY!$Q284</f>
        <v>0</v>
      </c>
      <c r="K290" s="95">
        <f t="shared" si="2"/>
        <v>0</v>
      </c>
      <c r="L290" s="95" t="str">
        <f>ENTRY!F284</f>
        <v/>
      </c>
      <c r="M290" s="94" t="str">
        <f>ENTRY!G284</f>
        <v/>
      </c>
      <c r="N290" s="98" t="str">
        <f t="shared" si="3"/>
        <v/>
      </c>
      <c r="O290" s="99">
        <f t="shared" si="4"/>
        <v>0</v>
      </c>
      <c r="P290" s="99">
        <f t="shared" si="5"/>
        <v>0</v>
      </c>
      <c r="Q290" s="99">
        <f t="shared" si="6"/>
        <v>0</v>
      </c>
      <c r="R290" s="99">
        <f t="shared" si="7"/>
        <v>0</v>
      </c>
      <c r="S290" s="100" t="str">
        <f t="shared" ref="S290:V290" si="290">IFERROR(O290-Y290,"")
</f>
        <v/>
      </c>
      <c r="T290" s="100">
        <f t="shared" si="290"/>
        <v>0</v>
      </c>
      <c r="U290" s="100">
        <f t="shared" si="290"/>
        <v>0</v>
      </c>
      <c r="V290" s="100">
        <f t="shared" si="290"/>
        <v>0</v>
      </c>
      <c r="W290" s="88" t="str">
        <f t="shared" si="9"/>
        <v/>
      </c>
      <c r="X290" s="89">
        <f>S290/D290</f>
        <v>0</v>
      </c>
      <c r="Y290" s="90" t="str">
        <f t="shared" si="10"/>
        <v>ERR</v>
      </c>
      <c r="Z290" s="90">
        <f>IF(H290=0,0,CAPITAL!$H$5*Y290)
</f>
        <v>0</v>
      </c>
      <c r="AA290" s="90">
        <f>IF(I290=0,0,CAPITAL!$H$6*Y290)
</f>
        <v>0</v>
      </c>
      <c r="AB290" s="90">
        <f>IF(J290=0,0,CAPITAL!$H$7*Y290)
</f>
        <v>0</v>
      </c>
      <c r="AC290" s="90"/>
    </row>
    <row r="291">
      <c r="A291" s="104"/>
      <c r="B291" s="101">
        <v>286.0</v>
      </c>
      <c r="C291" s="79" t="str">
        <f>ENTRY!B285</f>
        <v>SILVERBEES</v>
      </c>
      <c r="D291" s="80">
        <f>CAPITAL!$C$2</f>
        <v>3350000</v>
      </c>
      <c r="E291" s="81" t="str">
        <f>ENTRY!C285</f>
        <v/>
      </c>
      <c r="F291" s="82" t="str">
        <f>ENTRY!D285</f>
        <v/>
      </c>
      <c r="G291" s="83" t="str">
        <f>ENTRY!E285</f>
        <v/>
      </c>
      <c r="H291" s="84">
        <f>G291*ENTRY!$O285</f>
        <v>0</v>
      </c>
      <c r="I291" s="84">
        <f>G291*ENTRY!$P285</f>
        <v>0</v>
      </c>
      <c r="J291" s="84">
        <f>G291*ENTRY!$Q285</f>
        <v>0</v>
      </c>
      <c r="K291" s="82">
        <f t="shared" si="2"/>
        <v>0</v>
      </c>
      <c r="L291" s="82" t="str">
        <f>ENTRY!F285</f>
        <v/>
      </c>
      <c r="M291" s="81" t="str">
        <f>ENTRY!G285</f>
        <v/>
      </c>
      <c r="N291" s="85" t="str">
        <f t="shared" si="3"/>
        <v/>
      </c>
      <c r="O291" s="86">
        <f t="shared" si="4"/>
        <v>0</v>
      </c>
      <c r="P291" s="86">
        <f t="shared" si="5"/>
        <v>0</v>
      </c>
      <c r="Q291" s="86">
        <f t="shared" si="6"/>
        <v>0</v>
      </c>
      <c r="R291" s="86">
        <f t="shared" si="7"/>
        <v>0</v>
      </c>
      <c r="S291" s="87" t="str">
        <f t="shared" ref="S291:V291" si="291">IFERROR(O291-Y291,"")
</f>
        <v/>
      </c>
      <c r="T291" s="87">
        <f t="shared" si="291"/>
        <v>0</v>
      </c>
      <c r="U291" s="87">
        <f t="shared" si="291"/>
        <v>0</v>
      </c>
      <c r="V291" s="87">
        <f t="shared" si="291"/>
        <v>0</v>
      </c>
      <c r="W291" s="88" t="str">
        <f t="shared" si="9"/>
        <v/>
      </c>
      <c r="X291" s="89">
        <f>IFERROR(S291/D291,"")</f>
        <v>0</v>
      </c>
      <c r="Y291" s="90" t="str">
        <f t="shared" si="10"/>
        <v>ERR</v>
      </c>
      <c r="Z291" s="90">
        <f>IF(H291=0,0,CAPITAL!$H$5*Y291)
</f>
        <v>0</v>
      </c>
      <c r="AA291" s="90">
        <f>IF(I291=0,0,CAPITAL!$H$6*Y291)
</f>
        <v>0</v>
      </c>
      <c r="AB291" s="90">
        <f>IF(J291=0,0,CAPITAL!$H$7*Y291)
</f>
        <v>0</v>
      </c>
      <c r="AC291" s="90"/>
    </row>
    <row r="292">
      <c r="A292" s="104"/>
      <c r="B292" s="101">
        <v>287.0</v>
      </c>
      <c r="C292" s="18" t="str">
        <f>ENTRY!B286</f>
        <v>SILVERBEES</v>
      </c>
      <c r="D292" s="93">
        <f>CAPITAL!$C$2</f>
        <v>3350000</v>
      </c>
      <c r="E292" s="94" t="str">
        <f>ENTRY!C286</f>
        <v/>
      </c>
      <c r="F292" s="95" t="str">
        <f>ENTRY!D286</f>
        <v/>
      </c>
      <c r="G292" s="96" t="str">
        <f>ENTRY!E286</f>
        <v/>
      </c>
      <c r="H292" s="97">
        <f>G292*ENTRY!$O286</f>
        <v>0</v>
      </c>
      <c r="I292" s="97">
        <f>G292*ENTRY!$P286</f>
        <v>0</v>
      </c>
      <c r="J292" s="97">
        <f>G292*ENTRY!$Q286</f>
        <v>0</v>
      </c>
      <c r="K292" s="95">
        <f t="shared" si="2"/>
        <v>0</v>
      </c>
      <c r="L292" s="95" t="str">
        <f>ENTRY!F286</f>
        <v/>
      </c>
      <c r="M292" s="94" t="str">
        <f>ENTRY!G286</f>
        <v/>
      </c>
      <c r="N292" s="98" t="str">
        <f t="shared" si="3"/>
        <v/>
      </c>
      <c r="O292" s="99">
        <f t="shared" si="4"/>
        <v>0</v>
      </c>
      <c r="P292" s="99">
        <f t="shared" si="5"/>
        <v>0</v>
      </c>
      <c r="Q292" s="99">
        <f t="shared" si="6"/>
        <v>0</v>
      </c>
      <c r="R292" s="99">
        <f t="shared" si="7"/>
        <v>0</v>
      </c>
      <c r="S292" s="100" t="str">
        <f t="shared" ref="S292:V292" si="292">IFERROR(O292-Y292,"")
</f>
        <v/>
      </c>
      <c r="T292" s="100">
        <f t="shared" si="292"/>
        <v>0</v>
      </c>
      <c r="U292" s="100">
        <f t="shared" si="292"/>
        <v>0</v>
      </c>
      <c r="V292" s="100">
        <f t="shared" si="292"/>
        <v>0</v>
      </c>
      <c r="W292" s="88" t="str">
        <f t="shared" si="9"/>
        <v/>
      </c>
      <c r="X292" s="89">
        <f>S292/D292</f>
        <v>0</v>
      </c>
      <c r="Y292" s="90" t="str">
        <f t="shared" si="10"/>
        <v>ERR</v>
      </c>
      <c r="Z292" s="90">
        <f>IF(H292=0,0,CAPITAL!$H$5*Y292)
</f>
        <v>0</v>
      </c>
      <c r="AA292" s="90">
        <f>IF(I292=0,0,CAPITAL!$H$6*Y292)
</f>
        <v>0</v>
      </c>
      <c r="AB292" s="90">
        <f>IF(J292=0,0,CAPITAL!$H$7*Y292)
</f>
        <v>0</v>
      </c>
      <c r="AC292" s="90"/>
    </row>
    <row r="293">
      <c r="A293" s="104"/>
      <c r="B293" s="101">
        <v>288.0</v>
      </c>
      <c r="C293" s="79" t="str">
        <f>ENTRY!B287</f>
        <v>SILVERBEES</v>
      </c>
      <c r="D293" s="80">
        <f>CAPITAL!$C$2</f>
        <v>3350000</v>
      </c>
      <c r="E293" s="81" t="str">
        <f>ENTRY!C287</f>
        <v/>
      </c>
      <c r="F293" s="82" t="str">
        <f>ENTRY!D287</f>
        <v/>
      </c>
      <c r="G293" s="83" t="str">
        <f>ENTRY!E287</f>
        <v/>
      </c>
      <c r="H293" s="84">
        <f>G293*ENTRY!$O287</f>
        <v>0</v>
      </c>
      <c r="I293" s="84">
        <f>G293*ENTRY!$P287</f>
        <v>0</v>
      </c>
      <c r="J293" s="84">
        <f>G293*ENTRY!$Q287</f>
        <v>0</v>
      </c>
      <c r="K293" s="82">
        <f t="shared" si="2"/>
        <v>0</v>
      </c>
      <c r="L293" s="82" t="str">
        <f>ENTRY!F287</f>
        <v/>
      </c>
      <c r="M293" s="81" t="str">
        <f>ENTRY!G287</f>
        <v/>
      </c>
      <c r="N293" s="85" t="str">
        <f t="shared" si="3"/>
        <v/>
      </c>
      <c r="O293" s="86">
        <f t="shared" si="4"/>
        <v>0</v>
      </c>
      <c r="P293" s="86">
        <f t="shared" si="5"/>
        <v>0</v>
      </c>
      <c r="Q293" s="86">
        <f t="shared" si="6"/>
        <v>0</v>
      </c>
      <c r="R293" s="86">
        <f t="shared" si="7"/>
        <v>0</v>
      </c>
      <c r="S293" s="87" t="str">
        <f t="shared" ref="S293:V293" si="293">IFERROR(O293-Y293,"")
</f>
        <v/>
      </c>
      <c r="T293" s="87">
        <f t="shared" si="293"/>
        <v>0</v>
      </c>
      <c r="U293" s="87">
        <f t="shared" si="293"/>
        <v>0</v>
      </c>
      <c r="V293" s="87">
        <f t="shared" si="293"/>
        <v>0</v>
      </c>
      <c r="W293" s="88" t="str">
        <f t="shared" si="9"/>
        <v/>
      </c>
      <c r="X293" s="89">
        <f>IFERROR(S293/D293,"")</f>
        <v>0</v>
      </c>
      <c r="Y293" s="90" t="str">
        <f t="shared" si="10"/>
        <v>ERR</v>
      </c>
      <c r="Z293" s="90">
        <f>IF(H293=0,0,CAPITAL!$H$5*Y293)
</f>
        <v>0</v>
      </c>
      <c r="AA293" s="90">
        <f>IF(I293=0,0,CAPITAL!$H$6*Y293)
</f>
        <v>0</v>
      </c>
      <c r="AB293" s="90">
        <f>IF(J293=0,0,CAPITAL!$H$7*Y293)
</f>
        <v>0</v>
      </c>
      <c r="AC293" s="90"/>
    </row>
    <row r="294">
      <c r="A294" s="104"/>
      <c r="B294" s="101">
        <v>289.0</v>
      </c>
      <c r="C294" s="18" t="str">
        <f>ENTRY!B288</f>
        <v>SILVERBEES</v>
      </c>
      <c r="D294" s="93">
        <f>CAPITAL!$C$2</f>
        <v>3350000</v>
      </c>
      <c r="E294" s="94" t="str">
        <f>ENTRY!C288</f>
        <v/>
      </c>
      <c r="F294" s="95" t="str">
        <f>ENTRY!D288</f>
        <v/>
      </c>
      <c r="G294" s="96" t="str">
        <f>ENTRY!E288</f>
        <v/>
      </c>
      <c r="H294" s="97">
        <f>G294*ENTRY!$O288</f>
        <v>0</v>
      </c>
      <c r="I294" s="97">
        <f>G294*ENTRY!$P288</f>
        <v>0</v>
      </c>
      <c r="J294" s="97">
        <f>G294*ENTRY!$Q288</f>
        <v>0</v>
      </c>
      <c r="K294" s="95">
        <f t="shared" si="2"/>
        <v>0</v>
      </c>
      <c r="L294" s="95" t="str">
        <f>ENTRY!F288</f>
        <v/>
      </c>
      <c r="M294" s="94" t="str">
        <f>ENTRY!G288</f>
        <v/>
      </c>
      <c r="N294" s="98" t="str">
        <f t="shared" si="3"/>
        <v/>
      </c>
      <c r="O294" s="99">
        <f t="shared" si="4"/>
        <v>0</v>
      </c>
      <c r="P294" s="99">
        <f t="shared" si="5"/>
        <v>0</v>
      </c>
      <c r="Q294" s="99">
        <f t="shared" si="6"/>
        <v>0</v>
      </c>
      <c r="R294" s="99">
        <f t="shared" si="7"/>
        <v>0</v>
      </c>
      <c r="S294" s="100" t="str">
        <f t="shared" ref="S294:V294" si="294">IFERROR(O294-Y294,"")
</f>
        <v/>
      </c>
      <c r="T294" s="100">
        <f t="shared" si="294"/>
        <v>0</v>
      </c>
      <c r="U294" s="100">
        <f t="shared" si="294"/>
        <v>0</v>
      </c>
      <c r="V294" s="100">
        <f t="shared" si="294"/>
        <v>0</v>
      </c>
      <c r="W294" s="88" t="str">
        <f t="shared" si="9"/>
        <v/>
      </c>
      <c r="X294" s="89">
        <f>S294/D294</f>
        <v>0</v>
      </c>
      <c r="Y294" s="90" t="str">
        <f t="shared" si="10"/>
        <v>ERR</v>
      </c>
      <c r="Z294" s="90">
        <f>IF(H294=0,0,CAPITAL!$H$5*Y294)
</f>
        <v>0</v>
      </c>
      <c r="AA294" s="90">
        <f>IF(I294=0,0,CAPITAL!$H$6*Y294)
</f>
        <v>0</v>
      </c>
      <c r="AB294" s="90">
        <f>IF(J294=0,0,CAPITAL!$H$7*Y294)
</f>
        <v>0</v>
      </c>
      <c r="AC294" s="90"/>
    </row>
    <row r="295">
      <c r="A295" s="104"/>
      <c r="B295" s="101">
        <v>290.0</v>
      </c>
      <c r="C295" s="79" t="str">
        <f>ENTRY!B289</f>
        <v>SILVERBEES</v>
      </c>
      <c r="D295" s="80">
        <f>CAPITAL!$C$2</f>
        <v>3350000</v>
      </c>
      <c r="E295" s="81" t="str">
        <f>ENTRY!C289</f>
        <v/>
      </c>
      <c r="F295" s="82" t="str">
        <f>ENTRY!D289</f>
        <v/>
      </c>
      <c r="G295" s="83" t="str">
        <f>ENTRY!E289</f>
        <v/>
      </c>
      <c r="H295" s="84">
        <f>G295*ENTRY!$O289</f>
        <v>0</v>
      </c>
      <c r="I295" s="84">
        <f>G295*ENTRY!$P289</f>
        <v>0</v>
      </c>
      <c r="J295" s="84">
        <f>G295*ENTRY!$Q289</f>
        <v>0</v>
      </c>
      <c r="K295" s="82">
        <f t="shared" si="2"/>
        <v>0</v>
      </c>
      <c r="L295" s="82" t="str">
        <f>ENTRY!F289</f>
        <v/>
      </c>
      <c r="M295" s="81" t="str">
        <f>ENTRY!G289</f>
        <v/>
      </c>
      <c r="N295" s="85" t="str">
        <f t="shared" si="3"/>
        <v/>
      </c>
      <c r="O295" s="86">
        <f t="shared" si="4"/>
        <v>0</v>
      </c>
      <c r="P295" s="86">
        <f t="shared" si="5"/>
        <v>0</v>
      </c>
      <c r="Q295" s="86">
        <f t="shared" si="6"/>
        <v>0</v>
      </c>
      <c r="R295" s="86">
        <f t="shared" si="7"/>
        <v>0</v>
      </c>
      <c r="S295" s="87" t="str">
        <f t="shared" ref="S295:V295" si="295">IFERROR(O295-Y295,"")
</f>
        <v/>
      </c>
      <c r="T295" s="87">
        <f t="shared" si="295"/>
        <v>0</v>
      </c>
      <c r="U295" s="87">
        <f t="shared" si="295"/>
        <v>0</v>
      </c>
      <c r="V295" s="87">
        <f t="shared" si="295"/>
        <v>0</v>
      </c>
      <c r="W295" s="88" t="str">
        <f t="shared" si="9"/>
        <v/>
      </c>
      <c r="X295" s="89">
        <f>IFERROR(S295/D295,"")</f>
        <v>0</v>
      </c>
      <c r="Y295" s="90" t="str">
        <f t="shared" si="10"/>
        <v>ERR</v>
      </c>
      <c r="Z295" s="90">
        <f>IF(H295=0,0,CAPITAL!$H$5*Y295)
</f>
        <v>0</v>
      </c>
      <c r="AA295" s="90">
        <f>IF(I295=0,0,CAPITAL!$H$6*Y295)
</f>
        <v>0</v>
      </c>
      <c r="AB295" s="90">
        <f>IF(J295=0,0,CAPITAL!$H$7*Y295)
</f>
        <v>0</v>
      </c>
      <c r="AC295" s="90"/>
    </row>
    <row r="296">
      <c r="A296" s="104"/>
      <c r="B296" s="101">
        <v>291.0</v>
      </c>
      <c r="C296" s="18" t="str">
        <f>ENTRY!B290</f>
        <v>SILVERBEES</v>
      </c>
      <c r="D296" s="93">
        <f>CAPITAL!$C$2</f>
        <v>3350000</v>
      </c>
      <c r="E296" s="94" t="str">
        <f>ENTRY!C290</f>
        <v/>
      </c>
      <c r="F296" s="95" t="str">
        <f>ENTRY!D290</f>
        <v/>
      </c>
      <c r="G296" s="96" t="str">
        <f>ENTRY!E290</f>
        <v/>
      </c>
      <c r="H296" s="97">
        <f>G296*ENTRY!$O290</f>
        <v>0</v>
      </c>
      <c r="I296" s="97">
        <f>G296*ENTRY!$P290</f>
        <v>0</v>
      </c>
      <c r="J296" s="97">
        <f>G296*ENTRY!$Q290</f>
        <v>0</v>
      </c>
      <c r="K296" s="95">
        <f t="shared" si="2"/>
        <v>0</v>
      </c>
      <c r="L296" s="95" t="str">
        <f>ENTRY!F290</f>
        <v/>
      </c>
      <c r="M296" s="94" t="str">
        <f>ENTRY!G290</f>
        <v/>
      </c>
      <c r="N296" s="98" t="str">
        <f t="shared" si="3"/>
        <v/>
      </c>
      <c r="O296" s="99">
        <f t="shared" si="4"/>
        <v>0</v>
      </c>
      <c r="P296" s="99">
        <f t="shared" si="5"/>
        <v>0</v>
      </c>
      <c r="Q296" s="99">
        <f t="shared" si="6"/>
        <v>0</v>
      </c>
      <c r="R296" s="99">
        <f t="shared" si="7"/>
        <v>0</v>
      </c>
      <c r="S296" s="100" t="str">
        <f t="shared" ref="S296:V296" si="296">IFERROR(O296-Y296,"")
</f>
        <v/>
      </c>
      <c r="T296" s="100">
        <f t="shared" si="296"/>
        <v>0</v>
      </c>
      <c r="U296" s="100">
        <f t="shared" si="296"/>
        <v>0</v>
      </c>
      <c r="V296" s="100">
        <f t="shared" si="296"/>
        <v>0</v>
      </c>
      <c r="W296" s="88" t="str">
        <f t="shared" si="9"/>
        <v/>
      </c>
      <c r="X296" s="89">
        <f>S296/D296</f>
        <v>0</v>
      </c>
      <c r="Y296" s="90" t="str">
        <f t="shared" si="10"/>
        <v>ERR</v>
      </c>
      <c r="Z296" s="90">
        <f>IF(H296=0,0,CAPITAL!$H$5*Y296)
</f>
        <v>0</v>
      </c>
      <c r="AA296" s="90">
        <f>IF(I296=0,0,CAPITAL!$H$6*Y296)
</f>
        <v>0</v>
      </c>
      <c r="AB296" s="90">
        <f>IF(J296=0,0,CAPITAL!$H$7*Y296)
</f>
        <v>0</v>
      </c>
      <c r="AC296" s="90"/>
    </row>
    <row r="297">
      <c r="A297" s="104"/>
      <c r="B297" s="101">
        <v>292.0</v>
      </c>
      <c r="C297" s="79" t="str">
        <f>ENTRY!B291</f>
        <v>SILVERBEES</v>
      </c>
      <c r="D297" s="80">
        <f>CAPITAL!$C$2</f>
        <v>3350000</v>
      </c>
      <c r="E297" s="81" t="str">
        <f>ENTRY!C291</f>
        <v/>
      </c>
      <c r="F297" s="82" t="str">
        <f>ENTRY!D291</f>
        <v/>
      </c>
      <c r="G297" s="83" t="str">
        <f>ENTRY!E291</f>
        <v/>
      </c>
      <c r="H297" s="84">
        <f>G297*ENTRY!$O291</f>
        <v>0</v>
      </c>
      <c r="I297" s="84">
        <f>G297*ENTRY!$P291</f>
        <v>0</v>
      </c>
      <c r="J297" s="84">
        <f>G297*ENTRY!$Q291</f>
        <v>0</v>
      </c>
      <c r="K297" s="82">
        <f t="shared" si="2"/>
        <v>0</v>
      </c>
      <c r="L297" s="82" t="str">
        <f>ENTRY!F291</f>
        <v/>
      </c>
      <c r="M297" s="81" t="str">
        <f>ENTRY!G291</f>
        <v/>
      </c>
      <c r="N297" s="85" t="str">
        <f t="shared" si="3"/>
        <v/>
      </c>
      <c r="O297" s="86">
        <f t="shared" si="4"/>
        <v>0</v>
      </c>
      <c r="P297" s="86">
        <f t="shared" si="5"/>
        <v>0</v>
      </c>
      <c r="Q297" s="86">
        <f t="shared" si="6"/>
        <v>0</v>
      </c>
      <c r="R297" s="86">
        <f t="shared" si="7"/>
        <v>0</v>
      </c>
      <c r="S297" s="87" t="str">
        <f t="shared" ref="S297:V297" si="297">IFERROR(O297-Y297,"")
</f>
        <v/>
      </c>
      <c r="T297" s="87">
        <f t="shared" si="297"/>
        <v>0</v>
      </c>
      <c r="U297" s="87">
        <f t="shared" si="297"/>
        <v>0</v>
      </c>
      <c r="V297" s="87">
        <f t="shared" si="297"/>
        <v>0</v>
      </c>
      <c r="W297" s="88" t="str">
        <f t="shared" si="9"/>
        <v/>
      </c>
      <c r="X297" s="89">
        <f>IFERROR(S297/D297,"")</f>
        <v>0</v>
      </c>
      <c r="Y297" s="90" t="str">
        <f t="shared" si="10"/>
        <v>ERR</v>
      </c>
      <c r="Z297" s="90">
        <f>IF(H297=0,0,CAPITAL!$H$5*Y297)
</f>
        <v>0</v>
      </c>
      <c r="AA297" s="90">
        <f>IF(I297=0,0,CAPITAL!$H$6*Y297)
</f>
        <v>0</v>
      </c>
      <c r="AB297" s="90">
        <f>IF(J297=0,0,CAPITAL!$H$7*Y297)
</f>
        <v>0</v>
      </c>
      <c r="AC297" s="90"/>
    </row>
    <row r="298">
      <c r="A298" s="104"/>
      <c r="B298" s="101">
        <v>293.0</v>
      </c>
      <c r="C298" s="18" t="str">
        <f>ENTRY!B292</f>
        <v>SILVERBEES</v>
      </c>
      <c r="D298" s="93">
        <f>CAPITAL!$C$2</f>
        <v>3350000</v>
      </c>
      <c r="E298" s="94" t="str">
        <f>ENTRY!C292</f>
        <v/>
      </c>
      <c r="F298" s="95" t="str">
        <f>ENTRY!D292</f>
        <v/>
      </c>
      <c r="G298" s="96" t="str">
        <f>ENTRY!E292</f>
        <v/>
      </c>
      <c r="H298" s="97">
        <f>G298*ENTRY!$O292</f>
        <v>0</v>
      </c>
      <c r="I298" s="97">
        <f>G298*ENTRY!$P292</f>
        <v>0</v>
      </c>
      <c r="J298" s="97">
        <f>G298*ENTRY!$Q292</f>
        <v>0</v>
      </c>
      <c r="K298" s="95">
        <f t="shared" si="2"/>
        <v>0</v>
      </c>
      <c r="L298" s="95" t="str">
        <f>ENTRY!F292</f>
        <v/>
      </c>
      <c r="M298" s="94" t="str">
        <f>ENTRY!G292</f>
        <v/>
      </c>
      <c r="N298" s="98" t="str">
        <f t="shared" si="3"/>
        <v/>
      </c>
      <c r="O298" s="99">
        <f t="shared" si="4"/>
        <v>0</v>
      </c>
      <c r="P298" s="99">
        <f t="shared" si="5"/>
        <v>0</v>
      </c>
      <c r="Q298" s="99">
        <f t="shared" si="6"/>
        <v>0</v>
      </c>
      <c r="R298" s="99">
        <f t="shared" si="7"/>
        <v>0</v>
      </c>
      <c r="S298" s="100" t="str">
        <f t="shared" ref="S298:V298" si="298">IFERROR(O298-Y298,"")
</f>
        <v/>
      </c>
      <c r="T298" s="100">
        <f t="shared" si="298"/>
        <v>0</v>
      </c>
      <c r="U298" s="100">
        <f t="shared" si="298"/>
        <v>0</v>
      </c>
      <c r="V298" s="100">
        <f t="shared" si="298"/>
        <v>0</v>
      </c>
      <c r="W298" s="88" t="str">
        <f t="shared" si="9"/>
        <v/>
      </c>
      <c r="X298" s="89">
        <f>S298/D298</f>
        <v>0</v>
      </c>
      <c r="Y298" s="90" t="str">
        <f t="shared" si="10"/>
        <v>ERR</v>
      </c>
      <c r="Z298" s="90">
        <f>IF(H298=0,0,CAPITAL!$H$5*Y298)
</f>
        <v>0</v>
      </c>
      <c r="AA298" s="90">
        <f>IF(I298=0,0,CAPITAL!$H$6*Y298)
</f>
        <v>0</v>
      </c>
      <c r="AB298" s="90">
        <f>IF(J298=0,0,CAPITAL!$H$7*Y298)
</f>
        <v>0</v>
      </c>
      <c r="AC298" s="90"/>
    </row>
    <row r="299">
      <c r="A299" s="104"/>
      <c r="B299" s="101">
        <v>294.0</v>
      </c>
      <c r="C299" s="79" t="str">
        <f>ENTRY!B293</f>
        <v>SILVERBEES</v>
      </c>
      <c r="D299" s="80">
        <f>CAPITAL!$C$2</f>
        <v>3350000</v>
      </c>
      <c r="E299" s="81" t="str">
        <f>ENTRY!C293</f>
        <v/>
      </c>
      <c r="F299" s="82" t="str">
        <f>ENTRY!D293</f>
        <v/>
      </c>
      <c r="G299" s="83" t="str">
        <f>ENTRY!E293</f>
        <v/>
      </c>
      <c r="H299" s="84">
        <f>G299*ENTRY!$O293</f>
        <v>0</v>
      </c>
      <c r="I299" s="84">
        <f>G299*ENTRY!$P293</f>
        <v>0</v>
      </c>
      <c r="J299" s="84">
        <f>G299*ENTRY!$Q293</f>
        <v>0</v>
      </c>
      <c r="K299" s="82">
        <f t="shared" si="2"/>
        <v>0</v>
      </c>
      <c r="L299" s="82" t="str">
        <f>ENTRY!F293</f>
        <v/>
      </c>
      <c r="M299" s="81" t="str">
        <f>ENTRY!G293</f>
        <v/>
      </c>
      <c r="N299" s="85" t="str">
        <f t="shared" si="3"/>
        <v/>
      </c>
      <c r="O299" s="86">
        <f t="shared" si="4"/>
        <v>0</v>
      </c>
      <c r="P299" s="86">
        <f t="shared" si="5"/>
        <v>0</v>
      </c>
      <c r="Q299" s="86">
        <f t="shared" si="6"/>
        <v>0</v>
      </c>
      <c r="R299" s="86">
        <f t="shared" si="7"/>
        <v>0</v>
      </c>
      <c r="S299" s="87" t="str">
        <f t="shared" ref="S299:V299" si="299">IFERROR(O299-Y299,"")
</f>
        <v/>
      </c>
      <c r="T299" s="87">
        <f t="shared" si="299"/>
        <v>0</v>
      </c>
      <c r="U299" s="87">
        <f t="shared" si="299"/>
        <v>0</v>
      </c>
      <c r="V299" s="87">
        <f t="shared" si="299"/>
        <v>0</v>
      </c>
      <c r="W299" s="88" t="str">
        <f t="shared" si="9"/>
        <v/>
      </c>
      <c r="X299" s="89">
        <f>IFERROR(S299/D299,"")</f>
        <v>0</v>
      </c>
      <c r="Y299" s="90" t="str">
        <f t="shared" si="10"/>
        <v>ERR</v>
      </c>
      <c r="Z299" s="90">
        <f>IF(H299=0,0,CAPITAL!$H$5*Y299)
</f>
        <v>0</v>
      </c>
      <c r="AA299" s="90">
        <f>IF(I299=0,0,CAPITAL!$H$6*Y299)
</f>
        <v>0</v>
      </c>
      <c r="AB299" s="90">
        <f>IF(J299=0,0,CAPITAL!$H$7*Y299)
</f>
        <v>0</v>
      </c>
      <c r="AC299" s="90"/>
    </row>
    <row r="300">
      <c r="A300" s="104"/>
      <c r="B300" s="101">
        <v>295.0</v>
      </c>
      <c r="C300" s="18" t="str">
        <f>ENTRY!B294</f>
        <v>SILVERBEES</v>
      </c>
      <c r="D300" s="93">
        <f>CAPITAL!$C$2</f>
        <v>3350000</v>
      </c>
      <c r="E300" s="94" t="str">
        <f>ENTRY!C294</f>
        <v/>
      </c>
      <c r="F300" s="95" t="str">
        <f>ENTRY!D294</f>
        <v/>
      </c>
      <c r="G300" s="96" t="str">
        <f>ENTRY!E294</f>
        <v/>
      </c>
      <c r="H300" s="97">
        <f>G300*ENTRY!$O294</f>
        <v>0</v>
      </c>
      <c r="I300" s="97">
        <f>G300*ENTRY!$P294</f>
        <v>0</v>
      </c>
      <c r="J300" s="97">
        <f>G300*ENTRY!$Q294</f>
        <v>0</v>
      </c>
      <c r="K300" s="95">
        <f t="shared" si="2"/>
        <v>0</v>
      </c>
      <c r="L300" s="95" t="str">
        <f>ENTRY!F294</f>
        <v/>
      </c>
      <c r="M300" s="94" t="str">
        <f>ENTRY!G294</f>
        <v/>
      </c>
      <c r="N300" s="98" t="str">
        <f t="shared" si="3"/>
        <v/>
      </c>
      <c r="O300" s="99">
        <f t="shared" si="4"/>
        <v>0</v>
      </c>
      <c r="P300" s="99">
        <f t="shared" si="5"/>
        <v>0</v>
      </c>
      <c r="Q300" s="99">
        <f t="shared" si="6"/>
        <v>0</v>
      </c>
      <c r="R300" s="99">
        <f t="shared" si="7"/>
        <v>0</v>
      </c>
      <c r="S300" s="100" t="str">
        <f t="shared" ref="S300:V300" si="300">IFERROR(O300-Y300,"")
</f>
        <v/>
      </c>
      <c r="T300" s="100">
        <f t="shared" si="300"/>
        <v>0</v>
      </c>
      <c r="U300" s="100">
        <f t="shared" si="300"/>
        <v>0</v>
      </c>
      <c r="V300" s="100">
        <f t="shared" si="300"/>
        <v>0</v>
      </c>
      <c r="W300" s="88" t="str">
        <f t="shared" si="9"/>
        <v/>
      </c>
      <c r="X300" s="89">
        <f>S300/D300</f>
        <v>0</v>
      </c>
      <c r="Y300" s="90" t="str">
        <f t="shared" si="10"/>
        <v>ERR</v>
      </c>
      <c r="Z300" s="90">
        <f>IF(H300=0,0,CAPITAL!$H$5*Y300)
</f>
        <v>0</v>
      </c>
      <c r="AA300" s="90">
        <f>IF(I300=0,0,CAPITAL!$H$6*Y300)
</f>
        <v>0</v>
      </c>
      <c r="AB300" s="90">
        <f>IF(J300=0,0,CAPITAL!$H$7*Y300)
</f>
        <v>0</v>
      </c>
      <c r="AC300" s="90"/>
    </row>
    <row r="301">
      <c r="A301" s="104"/>
      <c r="B301" s="101">
        <v>296.0</v>
      </c>
      <c r="C301" s="79" t="str">
        <f>ENTRY!B295</f>
        <v>SILVERBEES</v>
      </c>
      <c r="D301" s="80">
        <f>CAPITAL!$C$2</f>
        <v>3350000</v>
      </c>
      <c r="E301" s="81" t="str">
        <f>ENTRY!C295</f>
        <v/>
      </c>
      <c r="F301" s="82" t="str">
        <f>ENTRY!D295</f>
        <v/>
      </c>
      <c r="G301" s="83" t="str">
        <f>ENTRY!E295</f>
        <v/>
      </c>
      <c r="H301" s="84">
        <f>G301*ENTRY!$O295</f>
        <v>0</v>
      </c>
      <c r="I301" s="84">
        <f>G301*ENTRY!$P295</f>
        <v>0</v>
      </c>
      <c r="J301" s="84">
        <f>G301*ENTRY!$Q295</f>
        <v>0</v>
      </c>
      <c r="K301" s="82">
        <f t="shared" si="2"/>
        <v>0</v>
      </c>
      <c r="L301" s="82" t="str">
        <f>ENTRY!F295</f>
        <v/>
      </c>
      <c r="M301" s="81" t="str">
        <f>ENTRY!G295</f>
        <v/>
      </c>
      <c r="N301" s="85" t="str">
        <f t="shared" si="3"/>
        <v/>
      </c>
      <c r="O301" s="86">
        <f t="shared" si="4"/>
        <v>0</v>
      </c>
      <c r="P301" s="86">
        <f t="shared" si="5"/>
        <v>0</v>
      </c>
      <c r="Q301" s="86">
        <f t="shared" si="6"/>
        <v>0</v>
      </c>
      <c r="R301" s="86">
        <f t="shared" si="7"/>
        <v>0</v>
      </c>
      <c r="S301" s="87" t="str">
        <f t="shared" ref="S301:V301" si="301">IFERROR(O301-Y301,"")
</f>
        <v/>
      </c>
      <c r="T301" s="87">
        <f t="shared" si="301"/>
        <v>0</v>
      </c>
      <c r="U301" s="87">
        <f t="shared" si="301"/>
        <v>0</v>
      </c>
      <c r="V301" s="87">
        <f t="shared" si="301"/>
        <v>0</v>
      </c>
      <c r="W301" s="88" t="str">
        <f t="shared" si="9"/>
        <v/>
      </c>
      <c r="X301" s="89">
        <f>IFERROR(S301/D301,"")</f>
        <v>0</v>
      </c>
      <c r="Y301" s="90" t="str">
        <f t="shared" si="10"/>
        <v>ERR</v>
      </c>
      <c r="Z301" s="90">
        <f>IF(H301=0,0,CAPITAL!$H$5*Y301)
</f>
        <v>0</v>
      </c>
      <c r="AA301" s="90">
        <f>IF(I301=0,0,CAPITAL!$H$6*Y301)
</f>
        <v>0</v>
      </c>
      <c r="AB301" s="90">
        <f>IF(J301=0,0,CAPITAL!$H$7*Y301)
</f>
        <v>0</v>
      </c>
      <c r="AC301" s="90"/>
    </row>
    <row r="302">
      <c r="A302" s="104"/>
      <c r="B302" s="101">
        <v>297.0</v>
      </c>
      <c r="C302" s="18" t="str">
        <f>ENTRY!B296</f>
        <v>SILVERBEES</v>
      </c>
      <c r="D302" s="93">
        <f>CAPITAL!$C$2</f>
        <v>3350000</v>
      </c>
      <c r="E302" s="94" t="str">
        <f>ENTRY!C296</f>
        <v/>
      </c>
      <c r="F302" s="95" t="str">
        <f>ENTRY!D296</f>
        <v/>
      </c>
      <c r="G302" s="96" t="str">
        <f>ENTRY!E296</f>
        <v/>
      </c>
      <c r="H302" s="97">
        <f>G302*ENTRY!$O296</f>
        <v>0</v>
      </c>
      <c r="I302" s="97">
        <f>G302*ENTRY!$P296</f>
        <v>0</v>
      </c>
      <c r="J302" s="97">
        <f>G302*ENTRY!$Q296</f>
        <v>0</v>
      </c>
      <c r="K302" s="95">
        <f t="shared" si="2"/>
        <v>0</v>
      </c>
      <c r="L302" s="95" t="str">
        <f>ENTRY!F296</f>
        <v/>
      </c>
      <c r="M302" s="94" t="str">
        <f>ENTRY!G296</f>
        <v/>
      </c>
      <c r="N302" s="98" t="str">
        <f t="shared" si="3"/>
        <v/>
      </c>
      <c r="O302" s="99">
        <f t="shared" si="4"/>
        <v>0</v>
      </c>
      <c r="P302" s="99">
        <f t="shared" si="5"/>
        <v>0</v>
      </c>
      <c r="Q302" s="99">
        <f t="shared" si="6"/>
        <v>0</v>
      </c>
      <c r="R302" s="99">
        <f t="shared" si="7"/>
        <v>0</v>
      </c>
      <c r="S302" s="100" t="str">
        <f t="shared" ref="S302:V302" si="302">IFERROR(O302-Y302,"")
</f>
        <v/>
      </c>
      <c r="T302" s="100">
        <f t="shared" si="302"/>
        <v>0</v>
      </c>
      <c r="U302" s="100">
        <f t="shared" si="302"/>
        <v>0</v>
      </c>
      <c r="V302" s="100">
        <f t="shared" si="302"/>
        <v>0</v>
      </c>
      <c r="W302" s="88" t="str">
        <f t="shared" si="9"/>
        <v/>
      </c>
      <c r="X302" s="89">
        <f>S302/D302</f>
        <v>0</v>
      </c>
      <c r="Y302" s="90" t="str">
        <f t="shared" si="10"/>
        <v>ERR</v>
      </c>
      <c r="Z302" s="90">
        <f>IF(H302=0,0,CAPITAL!$H$5*Y302)
</f>
        <v>0</v>
      </c>
      <c r="AA302" s="90">
        <f>IF(I302=0,0,CAPITAL!$H$6*Y302)
</f>
        <v>0</v>
      </c>
      <c r="AB302" s="90">
        <f>IF(J302=0,0,CAPITAL!$H$7*Y302)
</f>
        <v>0</v>
      </c>
      <c r="AC302" s="90"/>
    </row>
    <row r="303">
      <c r="A303" s="104"/>
      <c r="B303" s="101">
        <v>298.0</v>
      </c>
      <c r="C303" s="79" t="str">
        <f>ENTRY!B297</f>
        <v>SILVERBEES</v>
      </c>
      <c r="D303" s="80">
        <f>CAPITAL!$C$2</f>
        <v>3350000</v>
      </c>
      <c r="E303" s="81" t="str">
        <f>ENTRY!C297</f>
        <v/>
      </c>
      <c r="F303" s="82" t="str">
        <f>ENTRY!D297</f>
        <v/>
      </c>
      <c r="G303" s="83" t="str">
        <f>ENTRY!E297</f>
        <v/>
      </c>
      <c r="H303" s="84">
        <f>G303*ENTRY!$O297</f>
        <v>0</v>
      </c>
      <c r="I303" s="84">
        <f>G303*ENTRY!$P297</f>
        <v>0</v>
      </c>
      <c r="J303" s="84">
        <f>G303*ENTRY!$Q297</f>
        <v>0</v>
      </c>
      <c r="K303" s="82">
        <f t="shared" si="2"/>
        <v>0</v>
      </c>
      <c r="L303" s="82" t="str">
        <f>ENTRY!F297</f>
        <v/>
      </c>
      <c r="M303" s="81" t="str">
        <f>ENTRY!G297</f>
        <v/>
      </c>
      <c r="N303" s="85" t="str">
        <f t="shared" si="3"/>
        <v/>
      </c>
      <c r="O303" s="86">
        <f t="shared" si="4"/>
        <v>0</v>
      </c>
      <c r="P303" s="86">
        <f t="shared" si="5"/>
        <v>0</v>
      </c>
      <c r="Q303" s="86">
        <f t="shared" si="6"/>
        <v>0</v>
      </c>
      <c r="R303" s="86">
        <f t="shared" si="7"/>
        <v>0</v>
      </c>
      <c r="S303" s="87" t="str">
        <f t="shared" ref="S303:V303" si="303">IFERROR(O303-Y303,"")
</f>
        <v/>
      </c>
      <c r="T303" s="87">
        <f t="shared" si="303"/>
        <v>0</v>
      </c>
      <c r="U303" s="87">
        <f t="shared" si="303"/>
        <v>0</v>
      </c>
      <c r="V303" s="87">
        <f t="shared" si="303"/>
        <v>0</v>
      </c>
      <c r="W303" s="88" t="str">
        <f t="shared" si="9"/>
        <v/>
      </c>
      <c r="X303" s="89">
        <f>IFERROR(S303/D303,"")</f>
        <v>0</v>
      </c>
      <c r="Y303" s="90" t="str">
        <f t="shared" si="10"/>
        <v>ERR</v>
      </c>
      <c r="Z303" s="90">
        <f>IF(H303=0,0,CAPITAL!$H$5*Y303)
</f>
        <v>0</v>
      </c>
      <c r="AA303" s="90">
        <f>IF(I303=0,0,CAPITAL!$H$6*Y303)
</f>
        <v>0</v>
      </c>
      <c r="AB303" s="90">
        <f>IF(J303=0,0,CAPITAL!$H$7*Y303)
</f>
        <v>0</v>
      </c>
      <c r="AC303" s="90"/>
    </row>
    <row r="304">
      <c r="A304" s="104"/>
      <c r="B304" s="101">
        <v>299.0</v>
      </c>
      <c r="C304" s="18" t="str">
        <f>ENTRY!B298</f>
        <v>SILVERBEES</v>
      </c>
      <c r="D304" s="93">
        <f>CAPITAL!$C$2</f>
        <v>3350000</v>
      </c>
      <c r="E304" s="94" t="str">
        <f>ENTRY!C298</f>
        <v/>
      </c>
      <c r="F304" s="95" t="str">
        <f>ENTRY!D298</f>
        <v/>
      </c>
      <c r="G304" s="96" t="str">
        <f>ENTRY!E298</f>
        <v/>
      </c>
      <c r="H304" s="97">
        <f>G304*ENTRY!$O298</f>
        <v>0</v>
      </c>
      <c r="I304" s="97">
        <f>G304*ENTRY!$P298</f>
        <v>0</v>
      </c>
      <c r="J304" s="97">
        <f>G304*ENTRY!$Q298</f>
        <v>0</v>
      </c>
      <c r="K304" s="95">
        <f t="shared" si="2"/>
        <v>0</v>
      </c>
      <c r="L304" s="95" t="str">
        <f>ENTRY!F298</f>
        <v/>
      </c>
      <c r="M304" s="94" t="str">
        <f>ENTRY!G298</f>
        <v/>
      </c>
      <c r="N304" s="98" t="str">
        <f t="shared" si="3"/>
        <v/>
      </c>
      <c r="O304" s="99">
        <f t="shared" si="4"/>
        <v>0</v>
      </c>
      <c r="P304" s="99">
        <f t="shared" si="5"/>
        <v>0</v>
      </c>
      <c r="Q304" s="99">
        <f t="shared" si="6"/>
        <v>0</v>
      </c>
      <c r="R304" s="99">
        <f t="shared" si="7"/>
        <v>0</v>
      </c>
      <c r="S304" s="100" t="str">
        <f t="shared" ref="S304:V304" si="304">IFERROR(O304-Y304,"")
</f>
        <v/>
      </c>
      <c r="T304" s="100">
        <f t="shared" si="304"/>
        <v>0</v>
      </c>
      <c r="U304" s="100">
        <f t="shared" si="304"/>
        <v>0</v>
      </c>
      <c r="V304" s="100">
        <f t="shared" si="304"/>
        <v>0</v>
      </c>
      <c r="W304" s="88" t="str">
        <f t="shared" si="9"/>
        <v/>
      </c>
      <c r="X304" s="89">
        <f>S304/D304</f>
        <v>0</v>
      </c>
      <c r="Y304" s="90" t="str">
        <f t="shared" si="10"/>
        <v>ERR</v>
      </c>
      <c r="Z304" s="90">
        <f>IF(H304=0,0,CAPITAL!$H$5*Y304)
</f>
        <v>0</v>
      </c>
      <c r="AA304" s="90">
        <f>IF(I304=0,0,CAPITAL!$H$6*Y304)
</f>
        <v>0</v>
      </c>
      <c r="AB304" s="90">
        <f>IF(J304=0,0,CAPITAL!$H$7*Y304)
</f>
        <v>0</v>
      </c>
      <c r="AC304" s="90"/>
    </row>
    <row r="305">
      <c r="A305" s="104"/>
      <c r="B305" s="101">
        <v>300.0</v>
      </c>
      <c r="C305" s="79" t="str">
        <f>ENTRY!B299</f>
        <v>SILVERBEES</v>
      </c>
      <c r="D305" s="80">
        <f>CAPITAL!$C$2</f>
        <v>3350000</v>
      </c>
      <c r="E305" s="81" t="str">
        <f>ENTRY!C299</f>
        <v/>
      </c>
      <c r="F305" s="82" t="str">
        <f>ENTRY!D299</f>
        <v/>
      </c>
      <c r="G305" s="83" t="str">
        <f>ENTRY!E299</f>
        <v/>
      </c>
      <c r="H305" s="84">
        <f>G305*ENTRY!$O299</f>
        <v>0</v>
      </c>
      <c r="I305" s="84">
        <f>G305*ENTRY!$P299</f>
        <v>0</v>
      </c>
      <c r="J305" s="84">
        <f>G305*ENTRY!$Q299</f>
        <v>0</v>
      </c>
      <c r="K305" s="82">
        <f t="shared" si="2"/>
        <v>0</v>
      </c>
      <c r="L305" s="82" t="str">
        <f>ENTRY!F299</f>
        <v/>
      </c>
      <c r="M305" s="81" t="str">
        <f>ENTRY!G299</f>
        <v/>
      </c>
      <c r="N305" s="85" t="str">
        <f t="shared" si="3"/>
        <v/>
      </c>
      <c r="O305" s="86">
        <f t="shared" si="4"/>
        <v>0</v>
      </c>
      <c r="P305" s="86">
        <f t="shared" si="5"/>
        <v>0</v>
      </c>
      <c r="Q305" s="86">
        <f t="shared" si="6"/>
        <v>0</v>
      </c>
      <c r="R305" s="86">
        <f t="shared" si="7"/>
        <v>0</v>
      </c>
      <c r="S305" s="87" t="str">
        <f t="shared" ref="S305:V305" si="305">IFERROR(O305-Y305,"")
</f>
        <v/>
      </c>
      <c r="T305" s="87">
        <f t="shared" si="305"/>
        <v>0</v>
      </c>
      <c r="U305" s="87">
        <f t="shared" si="305"/>
        <v>0</v>
      </c>
      <c r="V305" s="87">
        <f t="shared" si="305"/>
        <v>0</v>
      </c>
      <c r="W305" s="88" t="str">
        <f t="shared" si="9"/>
        <v/>
      </c>
      <c r="X305" s="89">
        <f>IFERROR(S305/D305,"")</f>
        <v>0</v>
      </c>
      <c r="Y305" s="90" t="str">
        <f t="shared" si="10"/>
        <v>ERR</v>
      </c>
      <c r="Z305" s="90">
        <f>IF(H305=0,0,CAPITAL!$H$5*Y305)
</f>
        <v>0</v>
      </c>
      <c r="AA305" s="90">
        <f>IF(I305=0,0,CAPITAL!$H$6*Y305)
</f>
        <v>0</v>
      </c>
      <c r="AB305" s="90">
        <f>IF(J305=0,0,CAPITAL!$H$7*Y305)
</f>
        <v>0</v>
      </c>
      <c r="AC305" s="90"/>
    </row>
    <row r="306">
      <c r="A306" s="104"/>
      <c r="B306" s="101">
        <v>301.0</v>
      </c>
      <c r="C306" s="18" t="str">
        <f>ENTRY!B300</f>
        <v>SILVERBEES</v>
      </c>
      <c r="D306" s="93">
        <f>CAPITAL!$C$2</f>
        <v>3350000</v>
      </c>
      <c r="E306" s="94" t="str">
        <f>ENTRY!C300</f>
        <v/>
      </c>
      <c r="F306" s="95" t="str">
        <f>ENTRY!D300</f>
        <v/>
      </c>
      <c r="G306" s="96" t="str">
        <f>ENTRY!E300</f>
        <v/>
      </c>
      <c r="H306" s="97">
        <f>G306*ENTRY!$O300</f>
        <v>0</v>
      </c>
      <c r="I306" s="97">
        <f>G306*ENTRY!$P300</f>
        <v>0</v>
      </c>
      <c r="J306" s="97">
        <f>G306*ENTRY!$Q300</f>
        <v>0</v>
      </c>
      <c r="K306" s="95">
        <f t="shared" si="2"/>
        <v>0</v>
      </c>
      <c r="L306" s="95" t="str">
        <f>ENTRY!F300</f>
        <v/>
      </c>
      <c r="M306" s="94" t="str">
        <f>ENTRY!G300</f>
        <v/>
      </c>
      <c r="N306" s="98" t="str">
        <f t="shared" si="3"/>
        <v/>
      </c>
      <c r="O306" s="99">
        <f t="shared" si="4"/>
        <v>0</v>
      </c>
      <c r="P306" s="99">
        <f t="shared" si="5"/>
        <v>0</v>
      </c>
      <c r="Q306" s="99">
        <f t="shared" si="6"/>
        <v>0</v>
      </c>
      <c r="R306" s="99">
        <f t="shared" si="7"/>
        <v>0</v>
      </c>
      <c r="S306" s="100" t="str">
        <f t="shared" ref="S306:V306" si="306">IFERROR(O306-Y306,"")
</f>
        <v/>
      </c>
      <c r="T306" s="100">
        <f t="shared" si="306"/>
        <v>0</v>
      </c>
      <c r="U306" s="100">
        <f t="shared" si="306"/>
        <v>0</v>
      </c>
      <c r="V306" s="100">
        <f t="shared" si="306"/>
        <v>0</v>
      </c>
      <c r="W306" s="88" t="str">
        <f t="shared" si="9"/>
        <v/>
      </c>
      <c r="X306" s="89">
        <f>S306/D306</f>
        <v>0</v>
      </c>
      <c r="Y306" s="90" t="str">
        <f t="shared" si="10"/>
        <v>ERR</v>
      </c>
      <c r="Z306" s="90">
        <f>IF(H306=0,0,CAPITAL!$H$5*Y306)
</f>
        <v>0</v>
      </c>
      <c r="AA306" s="90">
        <f>IF(I306=0,0,CAPITAL!$H$6*Y306)
</f>
        <v>0</v>
      </c>
      <c r="AB306" s="90">
        <f>IF(J306=0,0,CAPITAL!$H$7*Y306)
</f>
        <v>0</v>
      </c>
      <c r="AC306" s="90"/>
    </row>
    <row r="307">
      <c r="A307" s="104"/>
      <c r="B307" s="101">
        <v>302.0</v>
      </c>
      <c r="C307" s="79" t="str">
        <f>ENTRY!B301</f>
        <v>SILVERBEES</v>
      </c>
      <c r="D307" s="80">
        <f>CAPITAL!$C$2</f>
        <v>3350000</v>
      </c>
      <c r="E307" s="81" t="str">
        <f>ENTRY!C301</f>
        <v/>
      </c>
      <c r="F307" s="82" t="str">
        <f>ENTRY!D301</f>
        <v/>
      </c>
      <c r="G307" s="83" t="str">
        <f>ENTRY!E301</f>
        <v/>
      </c>
      <c r="H307" s="84">
        <f>G307*ENTRY!$O301</f>
        <v>0</v>
      </c>
      <c r="I307" s="84">
        <f>G307*ENTRY!$P301</f>
        <v>0</v>
      </c>
      <c r="J307" s="84">
        <f>G307*ENTRY!$Q301</f>
        <v>0</v>
      </c>
      <c r="K307" s="82">
        <f t="shared" si="2"/>
        <v>0</v>
      </c>
      <c r="L307" s="82" t="str">
        <f>ENTRY!F301</f>
        <v/>
      </c>
      <c r="M307" s="81" t="str">
        <f>ENTRY!G301</f>
        <v/>
      </c>
      <c r="N307" s="85" t="str">
        <f t="shared" si="3"/>
        <v/>
      </c>
      <c r="O307" s="86">
        <f t="shared" si="4"/>
        <v>0</v>
      </c>
      <c r="P307" s="86">
        <f t="shared" si="5"/>
        <v>0</v>
      </c>
      <c r="Q307" s="86">
        <f t="shared" si="6"/>
        <v>0</v>
      </c>
      <c r="R307" s="86">
        <f t="shared" si="7"/>
        <v>0</v>
      </c>
      <c r="S307" s="87" t="str">
        <f t="shared" ref="S307:V307" si="307">IFERROR(O307-Y307,"")
</f>
        <v/>
      </c>
      <c r="T307" s="87">
        <f t="shared" si="307"/>
        <v>0</v>
      </c>
      <c r="U307" s="87">
        <f t="shared" si="307"/>
        <v>0</v>
      </c>
      <c r="V307" s="87">
        <f t="shared" si="307"/>
        <v>0</v>
      </c>
      <c r="W307" s="88" t="str">
        <f t="shared" si="9"/>
        <v/>
      </c>
      <c r="X307" s="89">
        <f>IFERROR(S307/D307,"")</f>
        <v>0</v>
      </c>
      <c r="Y307" s="90" t="str">
        <f t="shared" si="10"/>
        <v>ERR</v>
      </c>
      <c r="Z307" s="90">
        <f>IF(H307=0,0,CAPITAL!$H$5*Y307)
</f>
        <v>0</v>
      </c>
      <c r="AA307" s="90">
        <f>IF(I307=0,0,CAPITAL!$H$6*Y307)
</f>
        <v>0</v>
      </c>
      <c r="AB307" s="90">
        <f>IF(J307=0,0,CAPITAL!$H$7*Y307)
</f>
        <v>0</v>
      </c>
      <c r="AC307" s="90"/>
    </row>
    <row r="308">
      <c r="A308" s="104"/>
      <c r="B308" s="101">
        <v>303.0</v>
      </c>
      <c r="C308" s="18" t="str">
        <f>ENTRY!B302</f>
        <v>SILVERBEES</v>
      </c>
      <c r="D308" s="93">
        <f>CAPITAL!$C$2</f>
        <v>3350000</v>
      </c>
      <c r="E308" s="94" t="str">
        <f>ENTRY!C302</f>
        <v/>
      </c>
      <c r="F308" s="95" t="str">
        <f>ENTRY!D302</f>
        <v/>
      </c>
      <c r="G308" s="96" t="str">
        <f>ENTRY!E302</f>
        <v/>
      </c>
      <c r="H308" s="97">
        <f>G308*ENTRY!$O302</f>
        <v>0</v>
      </c>
      <c r="I308" s="97">
        <f>G308*ENTRY!$P302</f>
        <v>0</v>
      </c>
      <c r="J308" s="97">
        <f>G308*ENTRY!$Q302</f>
        <v>0</v>
      </c>
      <c r="K308" s="95">
        <f t="shared" si="2"/>
        <v>0</v>
      </c>
      <c r="L308" s="95" t="str">
        <f>ENTRY!F302</f>
        <v/>
      </c>
      <c r="M308" s="94" t="str">
        <f>ENTRY!G302</f>
        <v/>
      </c>
      <c r="N308" s="98" t="str">
        <f t="shared" si="3"/>
        <v/>
      </c>
      <c r="O308" s="99">
        <f t="shared" si="4"/>
        <v>0</v>
      </c>
      <c r="P308" s="99">
        <f t="shared" si="5"/>
        <v>0</v>
      </c>
      <c r="Q308" s="99">
        <f t="shared" si="6"/>
        <v>0</v>
      </c>
      <c r="R308" s="99">
        <f t="shared" si="7"/>
        <v>0</v>
      </c>
      <c r="S308" s="100" t="str">
        <f t="shared" ref="S308:V308" si="308">IFERROR(O308-Y308,"")
</f>
        <v/>
      </c>
      <c r="T308" s="100">
        <f t="shared" si="308"/>
        <v>0</v>
      </c>
      <c r="U308" s="100">
        <f t="shared" si="308"/>
        <v>0</v>
      </c>
      <c r="V308" s="100">
        <f t="shared" si="308"/>
        <v>0</v>
      </c>
      <c r="W308" s="88" t="str">
        <f t="shared" si="9"/>
        <v/>
      </c>
      <c r="X308" s="89">
        <f>S308/D308</f>
        <v>0</v>
      </c>
      <c r="Y308" s="90" t="str">
        <f t="shared" si="10"/>
        <v>ERR</v>
      </c>
      <c r="Z308" s="90">
        <f>IF(H308=0,0,CAPITAL!$H$5*Y308)
</f>
        <v>0</v>
      </c>
      <c r="AA308" s="90">
        <f>IF(I308=0,0,CAPITAL!$H$6*Y308)
</f>
        <v>0</v>
      </c>
      <c r="AB308" s="90">
        <f>IF(J308=0,0,CAPITAL!$H$7*Y308)
</f>
        <v>0</v>
      </c>
      <c r="AC308" s="90"/>
    </row>
    <row r="309">
      <c r="A309" s="104"/>
      <c r="B309" s="101">
        <v>304.0</v>
      </c>
      <c r="C309" s="79" t="str">
        <f>ENTRY!B303</f>
        <v>SILVERBEES</v>
      </c>
      <c r="D309" s="80">
        <f>CAPITAL!$C$2</f>
        <v>3350000</v>
      </c>
      <c r="E309" s="81" t="str">
        <f>ENTRY!C303</f>
        <v/>
      </c>
      <c r="F309" s="82" t="str">
        <f>ENTRY!D303</f>
        <v/>
      </c>
      <c r="G309" s="83" t="str">
        <f>ENTRY!E303</f>
        <v/>
      </c>
      <c r="H309" s="84">
        <f>G309*ENTRY!$O303</f>
        <v>0</v>
      </c>
      <c r="I309" s="84">
        <f>G309*ENTRY!$P303</f>
        <v>0</v>
      </c>
      <c r="J309" s="84">
        <f>G309*ENTRY!$Q303</f>
        <v>0</v>
      </c>
      <c r="K309" s="82">
        <f t="shared" si="2"/>
        <v>0</v>
      </c>
      <c r="L309" s="82" t="str">
        <f>ENTRY!F303</f>
        <v/>
      </c>
      <c r="M309" s="81" t="str">
        <f>ENTRY!G303</f>
        <v/>
      </c>
      <c r="N309" s="85" t="str">
        <f t="shared" si="3"/>
        <v/>
      </c>
      <c r="O309" s="86">
        <f t="shared" si="4"/>
        <v>0</v>
      </c>
      <c r="P309" s="86">
        <f t="shared" si="5"/>
        <v>0</v>
      </c>
      <c r="Q309" s="86">
        <f t="shared" si="6"/>
        <v>0</v>
      </c>
      <c r="R309" s="86">
        <f t="shared" si="7"/>
        <v>0</v>
      </c>
      <c r="S309" s="87" t="str">
        <f t="shared" ref="S309:V309" si="309">IFERROR(O309-Y309,"")
</f>
        <v/>
      </c>
      <c r="T309" s="87">
        <f t="shared" si="309"/>
        <v>0</v>
      </c>
      <c r="U309" s="87">
        <f t="shared" si="309"/>
        <v>0</v>
      </c>
      <c r="V309" s="87">
        <f t="shared" si="309"/>
        <v>0</v>
      </c>
      <c r="W309" s="88" t="str">
        <f t="shared" si="9"/>
        <v/>
      </c>
      <c r="X309" s="89">
        <f>IFERROR(S309/D309,"")</f>
        <v>0</v>
      </c>
      <c r="Y309" s="90" t="str">
        <f t="shared" si="10"/>
        <v>ERR</v>
      </c>
      <c r="Z309" s="90">
        <f>IF(H309=0,0,CAPITAL!$H$5*Y309)
</f>
        <v>0</v>
      </c>
      <c r="AA309" s="90">
        <f>IF(I309=0,0,CAPITAL!$H$6*Y309)
</f>
        <v>0</v>
      </c>
      <c r="AB309" s="90">
        <f>IF(J309=0,0,CAPITAL!$H$7*Y309)
</f>
        <v>0</v>
      </c>
      <c r="AC309" s="90"/>
    </row>
    <row r="310">
      <c r="A310" s="104"/>
      <c r="B310" s="101">
        <v>305.0</v>
      </c>
      <c r="C310" s="18" t="str">
        <f>ENTRY!B304</f>
        <v>SILVERBEES</v>
      </c>
      <c r="D310" s="93">
        <f>CAPITAL!$C$2</f>
        <v>3350000</v>
      </c>
      <c r="E310" s="94" t="str">
        <f>ENTRY!C304</f>
        <v/>
      </c>
      <c r="F310" s="95" t="str">
        <f>ENTRY!D304</f>
        <v/>
      </c>
      <c r="G310" s="96" t="str">
        <f>ENTRY!E304</f>
        <v/>
      </c>
      <c r="H310" s="97">
        <f>G310*ENTRY!$O304</f>
        <v>0</v>
      </c>
      <c r="I310" s="97">
        <f>G310*ENTRY!$P304</f>
        <v>0</v>
      </c>
      <c r="J310" s="97">
        <f>G310*ENTRY!$Q304</f>
        <v>0</v>
      </c>
      <c r="K310" s="95">
        <f t="shared" si="2"/>
        <v>0</v>
      </c>
      <c r="L310" s="95" t="str">
        <f>ENTRY!F304</f>
        <v/>
      </c>
      <c r="M310" s="94" t="str">
        <f>ENTRY!G304</f>
        <v/>
      </c>
      <c r="N310" s="98" t="str">
        <f t="shared" si="3"/>
        <v/>
      </c>
      <c r="O310" s="99">
        <f t="shared" si="4"/>
        <v>0</v>
      </c>
      <c r="P310" s="99">
        <f t="shared" si="5"/>
        <v>0</v>
      </c>
      <c r="Q310" s="99">
        <f t="shared" si="6"/>
        <v>0</v>
      </c>
      <c r="R310" s="99">
        <f t="shared" si="7"/>
        <v>0</v>
      </c>
      <c r="S310" s="100" t="str">
        <f t="shared" ref="S310:V310" si="310">IFERROR(O310-Y310,"")
</f>
        <v/>
      </c>
      <c r="T310" s="100">
        <f t="shared" si="310"/>
        <v>0</v>
      </c>
      <c r="U310" s="100">
        <f t="shared" si="310"/>
        <v>0</v>
      </c>
      <c r="V310" s="100">
        <f t="shared" si="310"/>
        <v>0</v>
      </c>
      <c r="W310" s="88" t="str">
        <f t="shared" si="9"/>
        <v/>
      </c>
      <c r="X310" s="89">
        <f>S310/D310</f>
        <v>0</v>
      </c>
      <c r="Y310" s="90" t="str">
        <f t="shared" si="10"/>
        <v>ERR</v>
      </c>
      <c r="Z310" s="90">
        <f>IF(H310=0,0,CAPITAL!$H$5*Y310)
</f>
        <v>0</v>
      </c>
      <c r="AA310" s="90">
        <f>IF(I310=0,0,CAPITAL!$H$6*Y310)
</f>
        <v>0</v>
      </c>
      <c r="AB310" s="90">
        <f>IF(J310=0,0,CAPITAL!$H$7*Y310)
</f>
        <v>0</v>
      </c>
      <c r="AC310" s="90"/>
    </row>
    <row r="311">
      <c r="A311" s="104"/>
      <c r="B311" s="101">
        <v>306.0</v>
      </c>
      <c r="C311" s="79" t="str">
        <f>ENTRY!B305</f>
        <v>SILVERBEES</v>
      </c>
      <c r="D311" s="80">
        <f>CAPITAL!$C$2</f>
        <v>3350000</v>
      </c>
      <c r="E311" s="81" t="str">
        <f>ENTRY!C305</f>
        <v/>
      </c>
      <c r="F311" s="82" t="str">
        <f>ENTRY!D305</f>
        <v/>
      </c>
      <c r="G311" s="83" t="str">
        <f>ENTRY!E305</f>
        <v/>
      </c>
      <c r="H311" s="84">
        <f>G311*ENTRY!$O305</f>
        <v>0</v>
      </c>
      <c r="I311" s="84">
        <f>G311*ENTRY!$P305</f>
        <v>0</v>
      </c>
      <c r="J311" s="84">
        <f>G311*ENTRY!$Q305</f>
        <v>0</v>
      </c>
      <c r="K311" s="82">
        <f t="shared" si="2"/>
        <v>0</v>
      </c>
      <c r="L311" s="82" t="str">
        <f>ENTRY!F305</f>
        <v/>
      </c>
      <c r="M311" s="81" t="str">
        <f>ENTRY!G305</f>
        <v/>
      </c>
      <c r="N311" s="85" t="str">
        <f t="shared" si="3"/>
        <v/>
      </c>
      <c r="O311" s="86">
        <f t="shared" si="4"/>
        <v>0</v>
      </c>
      <c r="P311" s="86">
        <f t="shared" si="5"/>
        <v>0</v>
      </c>
      <c r="Q311" s="86">
        <f t="shared" si="6"/>
        <v>0</v>
      </c>
      <c r="R311" s="86">
        <f t="shared" si="7"/>
        <v>0</v>
      </c>
      <c r="S311" s="87" t="str">
        <f t="shared" ref="S311:V311" si="311">IFERROR(O311-Y311,"")
</f>
        <v/>
      </c>
      <c r="T311" s="87">
        <f t="shared" si="311"/>
        <v>0</v>
      </c>
      <c r="U311" s="87">
        <f t="shared" si="311"/>
        <v>0</v>
      </c>
      <c r="V311" s="87">
        <f t="shared" si="311"/>
        <v>0</v>
      </c>
      <c r="W311" s="88" t="str">
        <f t="shared" si="9"/>
        <v/>
      </c>
      <c r="X311" s="89">
        <f>IFERROR(S311/D311,"")</f>
        <v>0</v>
      </c>
      <c r="Y311" s="90" t="str">
        <f t="shared" si="10"/>
        <v>ERR</v>
      </c>
      <c r="Z311" s="90">
        <f>IF(H311=0,0,CAPITAL!$H$5*Y311)
</f>
        <v>0</v>
      </c>
      <c r="AA311" s="90">
        <f>IF(I311=0,0,CAPITAL!$H$6*Y311)
</f>
        <v>0</v>
      </c>
      <c r="AB311" s="90">
        <f>IF(J311=0,0,CAPITAL!$H$7*Y311)
</f>
        <v>0</v>
      </c>
      <c r="AC311" s="90"/>
    </row>
    <row r="312">
      <c r="A312" s="104"/>
      <c r="B312" s="101">
        <v>307.0</v>
      </c>
      <c r="C312" s="18" t="str">
        <f>ENTRY!B306</f>
        <v>SILVERBEES</v>
      </c>
      <c r="D312" s="93">
        <f>CAPITAL!$C$2</f>
        <v>3350000</v>
      </c>
      <c r="E312" s="94" t="str">
        <f>ENTRY!C306</f>
        <v/>
      </c>
      <c r="F312" s="95" t="str">
        <f>ENTRY!D306</f>
        <v/>
      </c>
      <c r="G312" s="96" t="str">
        <f>ENTRY!E306</f>
        <v/>
      </c>
      <c r="H312" s="97">
        <f>G312*ENTRY!$O306</f>
        <v>0</v>
      </c>
      <c r="I312" s="97">
        <f>G312*ENTRY!$P306</f>
        <v>0</v>
      </c>
      <c r="J312" s="97">
        <f>G312*ENTRY!$Q306</f>
        <v>0</v>
      </c>
      <c r="K312" s="95">
        <f t="shared" si="2"/>
        <v>0</v>
      </c>
      <c r="L312" s="95" t="str">
        <f>ENTRY!F306</f>
        <v/>
      </c>
      <c r="M312" s="94" t="str">
        <f>ENTRY!G306</f>
        <v/>
      </c>
      <c r="N312" s="98" t="str">
        <f t="shared" si="3"/>
        <v/>
      </c>
      <c r="O312" s="99">
        <f t="shared" si="4"/>
        <v>0</v>
      </c>
      <c r="P312" s="99">
        <f t="shared" si="5"/>
        <v>0</v>
      </c>
      <c r="Q312" s="99">
        <f t="shared" si="6"/>
        <v>0</v>
      </c>
      <c r="R312" s="99">
        <f t="shared" si="7"/>
        <v>0</v>
      </c>
      <c r="S312" s="100" t="str">
        <f t="shared" ref="S312:V312" si="312">IFERROR(O312-Y312,"")
</f>
        <v/>
      </c>
      <c r="T312" s="100">
        <f t="shared" si="312"/>
        <v>0</v>
      </c>
      <c r="U312" s="100">
        <f t="shared" si="312"/>
        <v>0</v>
      </c>
      <c r="V312" s="100">
        <f t="shared" si="312"/>
        <v>0</v>
      </c>
      <c r="W312" s="88" t="str">
        <f t="shared" si="9"/>
        <v/>
      </c>
      <c r="X312" s="89">
        <f>S312/D312</f>
        <v>0</v>
      </c>
      <c r="Y312" s="90" t="str">
        <f t="shared" si="10"/>
        <v>ERR</v>
      </c>
      <c r="Z312" s="90">
        <f>IF(H312=0,0,CAPITAL!$H$5*Y312)
</f>
        <v>0</v>
      </c>
      <c r="AA312" s="90">
        <f>IF(I312=0,0,CAPITAL!$H$6*Y312)
</f>
        <v>0</v>
      </c>
      <c r="AB312" s="90">
        <f>IF(J312=0,0,CAPITAL!$H$7*Y312)
</f>
        <v>0</v>
      </c>
      <c r="AC312" s="90"/>
    </row>
    <row r="313">
      <c r="A313" s="104"/>
      <c r="B313" s="101">
        <v>308.0</v>
      </c>
      <c r="C313" s="79" t="str">
        <f>ENTRY!B307</f>
        <v>SILVERBEES</v>
      </c>
      <c r="D313" s="80">
        <f>CAPITAL!$C$2</f>
        <v>3350000</v>
      </c>
      <c r="E313" s="81" t="str">
        <f>ENTRY!C307</f>
        <v/>
      </c>
      <c r="F313" s="82" t="str">
        <f>ENTRY!D307</f>
        <v/>
      </c>
      <c r="G313" s="83" t="str">
        <f>ENTRY!E307</f>
        <v/>
      </c>
      <c r="H313" s="84">
        <f>G313*ENTRY!$O307</f>
        <v>0</v>
      </c>
      <c r="I313" s="84">
        <f>G313*ENTRY!$P307</f>
        <v>0</v>
      </c>
      <c r="J313" s="84">
        <f>G313*ENTRY!$Q307</f>
        <v>0</v>
      </c>
      <c r="K313" s="82">
        <f t="shared" si="2"/>
        <v>0</v>
      </c>
      <c r="L313" s="82" t="str">
        <f>ENTRY!F307</f>
        <v/>
      </c>
      <c r="M313" s="81" t="str">
        <f>ENTRY!G307</f>
        <v/>
      </c>
      <c r="N313" s="85" t="str">
        <f t="shared" si="3"/>
        <v/>
      </c>
      <c r="O313" s="86">
        <f t="shared" si="4"/>
        <v>0</v>
      </c>
      <c r="P313" s="86">
        <f t="shared" si="5"/>
        <v>0</v>
      </c>
      <c r="Q313" s="86">
        <f t="shared" si="6"/>
        <v>0</v>
      </c>
      <c r="R313" s="86">
        <f t="shared" si="7"/>
        <v>0</v>
      </c>
      <c r="S313" s="87" t="str">
        <f t="shared" ref="S313:V313" si="313">IFERROR(O313-Y313,"")
</f>
        <v/>
      </c>
      <c r="T313" s="87">
        <f t="shared" si="313"/>
        <v>0</v>
      </c>
      <c r="U313" s="87">
        <f t="shared" si="313"/>
        <v>0</v>
      </c>
      <c r="V313" s="87">
        <f t="shared" si="313"/>
        <v>0</v>
      </c>
      <c r="W313" s="88" t="str">
        <f t="shared" si="9"/>
        <v/>
      </c>
      <c r="X313" s="89">
        <f>IFERROR(S313/D313,"")</f>
        <v>0</v>
      </c>
      <c r="Y313" s="90" t="str">
        <f t="shared" si="10"/>
        <v>ERR</v>
      </c>
      <c r="Z313" s="90">
        <f>IF(H313=0,0,CAPITAL!$H$5*Y313)
</f>
        <v>0</v>
      </c>
      <c r="AA313" s="90">
        <f>IF(I313=0,0,CAPITAL!$H$6*Y313)
</f>
        <v>0</v>
      </c>
      <c r="AB313" s="90">
        <f>IF(J313=0,0,CAPITAL!$H$7*Y313)
</f>
        <v>0</v>
      </c>
      <c r="AC313" s="90"/>
    </row>
    <row r="314">
      <c r="A314" s="104"/>
      <c r="B314" s="101">
        <v>309.0</v>
      </c>
      <c r="C314" s="18" t="str">
        <f>ENTRY!B308</f>
        <v>SILVERBEES</v>
      </c>
      <c r="D314" s="93">
        <f>CAPITAL!$C$2</f>
        <v>3350000</v>
      </c>
      <c r="E314" s="94" t="str">
        <f>ENTRY!C308</f>
        <v/>
      </c>
      <c r="F314" s="95" t="str">
        <f>ENTRY!D308</f>
        <v/>
      </c>
      <c r="G314" s="96" t="str">
        <f>ENTRY!E308</f>
        <v/>
      </c>
      <c r="H314" s="97">
        <f>G314*ENTRY!$O308</f>
        <v>0</v>
      </c>
      <c r="I314" s="97">
        <f>G314*ENTRY!$P308</f>
        <v>0</v>
      </c>
      <c r="J314" s="97">
        <f>G314*ENTRY!$Q308</f>
        <v>0</v>
      </c>
      <c r="K314" s="95">
        <f t="shared" si="2"/>
        <v>0</v>
      </c>
      <c r="L314" s="95" t="str">
        <f>ENTRY!F308</f>
        <v/>
      </c>
      <c r="M314" s="94" t="str">
        <f>ENTRY!G308</f>
        <v/>
      </c>
      <c r="N314" s="98" t="str">
        <f t="shared" si="3"/>
        <v/>
      </c>
      <c r="O314" s="99">
        <f t="shared" si="4"/>
        <v>0</v>
      </c>
      <c r="P314" s="99">
        <f t="shared" si="5"/>
        <v>0</v>
      </c>
      <c r="Q314" s="99">
        <f t="shared" si="6"/>
        <v>0</v>
      </c>
      <c r="R314" s="99">
        <f t="shared" si="7"/>
        <v>0</v>
      </c>
      <c r="S314" s="100" t="str">
        <f t="shared" ref="S314:V314" si="314">IFERROR(O314-Y314,"")
</f>
        <v/>
      </c>
      <c r="T314" s="100">
        <f t="shared" si="314"/>
        <v>0</v>
      </c>
      <c r="U314" s="100">
        <f t="shared" si="314"/>
        <v>0</v>
      </c>
      <c r="V314" s="100">
        <f t="shared" si="314"/>
        <v>0</v>
      </c>
      <c r="W314" s="88" t="str">
        <f t="shared" si="9"/>
        <v/>
      </c>
      <c r="X314" s="89">
        <f>S314/D314</f>
        <v>0</v>
      </c>
      <c r="Y314" s="90" t="str">
        <f t="shared" si="10"/>
        <v>ERR</v>
      </c>
      <c r="Z314" s="90">
        <f>IF(H314=0,0,CAPITAL!$H$5*Y314)
</f>
        <v>0</v>
      </c>
      <c r="AA314" s="90">
        <f>IF(I314=0,0,CAPITAL!$H$6*Y314)
</f>
        <v>0</v>
      </c>
      <c r="AB314" s="90">
        <f>IF(J314=0,0,CAPITAL!$H$7*Y314)
</f>
        <v>0</v>
      </c>
      <c r="AC314" s="90"/>
    </row>
    <row r="315">
      <c r="A315" s="104"/>
      <c r="B315" s="101">
        <v>310.0</v>
      </c>
      <c r="C315" s="79" t="str">
        <f>ENTRY!B309</f>
        <v>SILVERBEES</v>
      </c>
      <c r="D315" s="80">
        <f>CAPITAL!$C$2</f>
        <v>3350000</v>
      </c>
      <c r="E315" s="81" t="str">
        <f>ENTRY!C309</f>
        <v/>
      </c>
      <c r="F315" s="82" t="str">
        <f>ENTRY!D309</f>
        <v/>
      </c>
      <c r="G315" s="83" t="str">
        <f>ENTRY!E309</f>
        <v/>
      </c>
      <c r="H315" s="84">
        <f>G315*ENTRY!$O309</f>
        <v>0</v>
      </c>
      <c r="I315" s="84">
        <f>G315*ENTRY!$P309</f>
        <v>0</v>
      </c>
      <c r="J315" s="84">
        <f>G315*ENTRY!$Q309</f>
        <v>0</v>
      </c>
      <c r="K315" s="82">
        <f t="shared" si="2"/>
        <v>0</v>
      </c>
      <c r="L315" s="82" t="str">
        <f>ENTRY!F309</f>
        <v/>
      </c>
      <c r="M315" s="81" t="str">
        <f>ENTRY!G309</f>
        <v/>
      </c>
      <c r="N315" s="85" t="str">
        <f t="shared" si="3"/>
        <v/>
      </c>
      <c r="O315" s="86">
        <f t="shared" si="4"/>
        <v>0</v>
      </c>
      <c r="P315" s="86">
        <f t="shared" si="5"/>
        <v>0</v>
      </c>
      <c r="Q315" s="86">
        <f t="shared" si="6"/>
        <v>0</v>
      </c>
      <c r="R315" s="86">
        <f t="shared" si="7"/>
        <v>0</v>
      </c>
      <c r="S315" s="87" t="str">
        <f t="shared" ref="S315:V315" si="315">IFERROR(O315-Y315,"")
</f>
        <v/>
      </c>
      <c r="T315" s="87">
        <f t="shared" si="315"/>
        <v>0</v>
      </c>
      <c r="U315" s="87">
        <f t="shared" si="315"/>
        <v>0</v>
      </c>
      <c r="V315" s="87">
        <f t="shared" si="315"/>
        <v>0</v>
      </c>
      <c r="W315" s="88" t="str">
        <f t="shared" si="9"/>
        <v/>
      </c>
      <c r="X315" s="89">
        <f>IFERROR(S315/D315,"")</f>
        <v>0</v>
      </c>
      <c r="Y315" s="90" t="str">
        <f t="shared" si="10"/>
        <v>ERR</v>
      </c>
      <c r="Z315" s="90">
        <f>IF(H315=0,0,CAPITAL!$H$5*Y315)
</f>
        <v>0</v>
      </c>
      <c r="AA315" s="90">
        <f>IF(I315=0,0,CAPITAL!$H$6*Y315)
</f>
        <v>0</v>
      </c>
      <c r="AB315" s="90">
        <f>IF(J315=0,0,CAPITAL!$H$7*Y315)
</f>
        <v>0</v>
      </c>
      <c r="AC315" s="90"/>
    </row>
    <row r="316">
      <c r="A316" s="104"/>
      <c r="B316" s="101">
        <v>311.0</v>
      </c>
      <c r="C316" s="18" t="str">
        <f>ENTRY!B310</f>
        <v>SILVERBEES</v>
      </c>
      <c r="D316" s="93">
        <f>CAPITAL!$C$2</f>
        <v>3350000</v>
      </c>
      <c r="E316" s="94" t="str">
        <f>ENTRY!C310</f>
        <v/>
      </c>
      <c r="F316" s="95" t="str">
        <f>ENTRY!D310</f>
        <v/>
      </c>
      <c r="G316" s="96" t="str">
        <f>ENTRY!E310</f>
        <v/>
      </c>
      <c r="H316" s="97">
        <f>G316*ENTRY!$O310</f>
        <v>0</v>
      </c>
      <c r="I316" s="97">
        <f>G316*ENTRY!$P310</f>
        <v>0</v>
      </c>
      <c r="J316" s="97">
        <f>G316*ENTRY!$Q310</f>
        <v>0</v>
      </c>
      <c r="K316" s="95">
        <f t="shared" si="2"/>
        <v>0</v>
      </c>
      <c r="L316" s="95" t="str">
        <f>ENTRY!F310</f>
        <v/>
      </c>
      <c r="M316" s="94" t="str">
        <f>ENTRY!G310</f>
        <v/>
      </c>
      <c r="N316" s="98" t="str">
        <f t="shared" si="3"/>
        <v/>
      </c>
      <c r="O316" s="99">
        <f t="shared" si="4"/>
        <v>0</v>
      </c>
      <c r="P316" s="99">
        <f t="shared" si="5"/>
        <v>0</v>
      </c>
      <c r="Q316" s="99">
        <f t="shared" si="6"/>
        <v>0</v>
      </c>
      <c r="R316" s="99">
        <f t="shared" si="7"/>
        <v>0</v>
      </c>
      <c r="S316" s="100" t="str">
        <f t="shared" ref="S316:V316" si="316">IFERROR(O316-Y316,"")
</f>
        <v/>
      </c>
      <c r="T316" s="100">
        <f t="shared" si="316"/>
        <v>0</v>
      </c>
      <c r="U316" s="100">
        <f t="shared" si="316"/>
        <v>0</v>
      </c>
      <c r="V316" s="100">
        <f t="shared" si="316"/>
        <v>0</v>
      </c>
      <c r="W316" s="88" t="str">
        <f t="shared" si="9"/>
        <v/>
      </c>
      <c r="X316" s="89">
        <f>S316/D316</f>
        <v>0</v>
      </c>
      <c r="Y316" s="90" t="str">
        <f t="shared" si="10"/>
        <v>ERR</v>
      </c>
      <c r="Z316" s="90">
        <f>IF(H316=0,0,CAPITAL!$H$5*Y316)
</f>
        <v>0</v>
      </c>
      <c r="AA316" s="90">
        <f>IF(I316=0,0,CAPITAL!$H$6*Y316)
</f>
        <v>0</v>
      </c>
      <c r="AB316" s="90">
        <f>IF(J316=0,0,CAPITAL!$H$7*Y316)
</f>
        <v>0</v>
      </c>
      <c r="AC316" s="90"/>
    </row>
    <row r="317">
      <c r="A317" s="104"/>
      <c r="B317" s="101">
        <v>312.0</v>
      </c>
      <c r="C317" s="79" t="str">
        <f>ENTRY!B311</f>
        <v>SILVERBEES</v>
      </c>
      <c r="D317" s="80">
        <f>CAPITAL!$C$2</f>
        <v>3350000</v>
      </c>
      <c r="E317" s="81" t="str">
        <f>ENTRY!C311</f>
        <v/>
      </c>
      <c r="F317" s="82" t="str">
        <f>ENTRY!D311</f>
        <v/>
      </c>
      <c r="G317" s="83" t="str">
        <f>ENTRY!E311</f>
        <v/>
      </c>
      <c r="H317" s="84">
        <f>G317*ENTRY!$O311</f>
        <v>0</v>
      </c>
      <c r="I317" s="84">
        <f>G317*ENTRY!$P311</f>
        <v>0</v>
      </c>
      <c r="J317" s="84">
        <f>G317*ENTRY!$Q311</f>
        <v>0</v>
      </c>
      <c r="K317" s="82">
        <f t="shared" si="2"/>
        <v>0</v>
      </c>
      <c r="L317" s="82" t="str">
        <f>ENTRY!F311</f>
        <v/>
      </c>
      <c r="M317" s="81" t="str">
        <f>ENTRY!G311</f>
        <v/>
      </c>
      <c r="N317" s="85" t="str">
        <f t="shared" si="3"/>
        <v/>
      </c>
      <c r="O317" s="86">
        <f t="shared" si="4"/>
        <v>0</v>
      </c>
      <c r="P317" s="86">
        <f t="shared" si="5"/>
        <v>0</v>
      </c>
      <c r="Q317" s="86">
        <f t="shared" si="6"/>
        <v>0</v>
      </c>
      <c r="R317" s="86">
        <f t="shared" si="7"/>
        <v>0</v>
      </c>
      <c r="S317" s="87" t="str">
        <f t="shared" ref="S317:V317" si="317">IFERROR(O317-Y317,"")
</f>
        <v/>
      </c>
      <c r="T317" s="87">
        <f t="shared" si="317"/>
        <v>0</v>
      </c>
      <c r="U317" s="87">
        <f t="shared" si="317"/>
        <v>0</v>
      </c>
      <c r="V317" s="87">
        <f t="shared" si="317"/>
        <v>0</v>
      </c>
      <c r="W317" s="88" t="str">
        <f t="shared" si="9"/>
        <v/>
      </c>
      <c r="X317" s="89">
        <f>IFERROR(S317/D317,"")</f>
        <v>0</v>
      </c>
      <c r="Y317" s="90" t="str">
        <f t="shared" si="10"/>
        <v>ERR</v>
      </c>
      <c r="Z317" s="90">
        <f>IF(H317=0,0,CAPITAL!$H$5*Y317)
</f>
        <v>0</v>
      </c>
      <c r="AA317" s="90">
        <f>IF(I317=0,0,CAPITAL!$H$6*Y317)
</f>
        <v>0</v>
      </c>
      <c r="AB317" s="90">
        <f>IF(J317=0,0,CAPITAL!$H$7*Y317)
</f>
        <v>0</v>
      </c>
      <c r="AC317" s="90"/>
    </row>
    <row r="318">
      <c r="A318" s="104"/>
      <c r="B318" s="101">
        <v>313.0</v>
      </c>
      <c r="C318" s="18" t="str">
        <f>ENTRY!B312</f>
        <v>SILVERBEES</v>
      </c>
      <c r="D318" s="93">
        <f>CAPITAL!$C$2</f>
        <v>3350000</v>
      </c>
      <c r="E318" s="94" t="str">
        <f>ENTRY!C312</f>
        <v/>
      </c>
      <c r="F318" s="95" t="str">
        <f>ENTRY!D312</f>
        <v/>
      </c>
      <c r="G318" s="96" t="str">
        <f>ENTRY!E312</f>
        <v/>
      </c>
      <c r="H318" s="97">
        <f>G318*ENTRY!$O312</f>
        <v>0</v>
      </c>
      <c r="I318" s="97">
        <f>G318*ENTRY!$P312</f>
        <v>0</v>
      </c>
      <c r="J318" s="97">
        <f>G318*ENTRY!$Q312</f>
        <v>0</v>
      </c>
      <c r="K318" s="95">
        <f t="shared" si="2"/>
        <v>0</v>
      </c>
      <c r="L318" s="95" t="str">
        <f>ENTRY!F312</f>
        <v/>
      </c>
      <c r="M318" s="94" t="str">
        <f>ENTRY!G312</f>
        <v/>
      </c>
      <c r="N318" s="98" t="str">
        <f t="shared" si="3"/>
        <v/>
      </c>
      <c r="O318" s="99">
        <f t="shared" si="4"/>
        <v>0</v>
      </c>
      <c r="P318" s="99">
        <f t="shared" si="5"/>
        <v>0</v>
      </c>
      <c r="Q318" s="99">
        <f t="shared" si="6"/>
        <v>0</v>
      </c>
      <c r="R318" s="99">
        <f t="shared" si="7"/>
        <v>0</v>
      </c>
      <c r="S318" s="100" t="str">
        <f t="shared" ref="S318:V318" si="318">IFERROR(O318-Y318,"")
</f>
        <v/>
      </c>
      <c r="T318" s="100">
        <f t="shared" si="318"/>
        <v>0</v>
      </c>
      <c r="U318" s="100">
        <f t="shared" si="318"/>
        <v>0</v>
      </c>
      <c r="V318" s="100">
        <f t="shared" si="318"/>
        <v>0</v>
      </c>
      <c r="W318" s="88" t="str">
        <f t="shared" si="9"/>
        <v/>
      </c>
      <c r="X318" s="89">
        <f>S318/D318</f>
        <v>0</v>
      </c>
      <c r="Y318" s="90" t="str">
        <f t="shared" si="10"/>
        <v>ERR</v>
      </c>
      <c r="Z318" s="90">
        <f>IF(H318=0,0,CAPITAL!$H$5*Y318)
</f>
        <v>0</v>
      </c>
      <c r="AA318" s="90">
        <f>IF(I318=0,0,CAPITAL!$H$6*Y318)
</f>
        <v>0</v>
      </c>
      <c r="AB318" s="90">
        <f>IF(J318=0,0,CAPITAL!$H$7*Y318)
</f>
        <v>0</v>
      </c>
      <c r="AC318" s="90"/>
    </row>
    <row r="319">
      <c r="A319" s="104"/>
      <c r="B319" s="101">
        <v>314.0</v>
      </c>
      <c r="C319" s="79" t="str">
        <f>ENTRY!B313</f>
        <v>SILVERBEES</v>
      </c>
      <c r="D319" s="80">
        <f>CAPITAL!$C$2</f>
        <v>3350000</v>
      </c>
      <c r="E319" s="81" t="str">
        <f>ENTRY!C313</f>
        <v/>
      </c>
      <c r="F319" s="82" t="str">
        <f>ENTRY!D313</f>
        <v/>
      </c>
      <c r="G319" s="83" t="str">
        <f>ENTRY!E313</f>
        <v/>
      </c>
      <c r="H319" s="84">
        <f>G319*ENTRY!$O313</f>
        <v>0</v>
      </c>
      <c r="I319" s="84">
        <f>G319*ENTRY!$P313</f>
        <v>0</v>
      </c>
      <c r="J319" s="84">
        <f>G319*ENTRY!$Q313</f>
        <v>0</v>
      </c>
      <c r="K319" s="82">
        <f t="shared" si="2"/>
        <v>0</v>
      </c>
      <c r="L319" s="82" t="str">
        <f>ENTRY!F313</f>
        <v/>
      </c>
      <c r="M319" s="81" t="str">
        <f>ENTRY!G313</f>
        <v/>
      </c>
      <c r="N319" s="85" t="str">
        <f t="shared" si="3"/>
        <v/>
      </c>
      <c r="O319" s="86">
        <f t="shared" si="4"/>
        <v>0</v>
      </c>
      <c r="P319" s="86">
        <f t="shared" si="5"/>
        <v>0</v>
      </c>
      <c r="Q319" s="86">
        <f t="shared" si="6"/>
        <v>0</v>
      </c>
      <c r="R319" s="86">
        <f t="shared" si="7"/>
        <v>0</v>
      </c>
      <c r="S319" s="87" t="str">
        <f t="shared" ref="S319:V319" si="319">IFERROR(O319-Y319,"")
</f>
        <v/>
      </c>
      <c r="T319" s="87">
        <f t="shared" si="319"/>
        <v>0</v>
      </c>
      <c r="U319" s="87">
        <f t="shared" si="319"/>
        <v>0</v>
      </c>
      <c r="V319" s="87">
        <f t="shared" si="319"/>
        <v>0</v>
      </c>
      <c r="W319" s="88" t="str">
        <f t="shared" si="9"/>
        <v/>
      </c>
      <c r="X319" s="89">
        <f>IFERROR(S319/D319,"")</f>
        <v>0</v>
      </c>
      <c r="Y319" s="90" t="str">
        <f t="shared" si="10"/>
        <v>ERR</v>
      </c>
      <c r="Z319" s="90">
        <f>IF(H319=0,0,CAPITAL!$H$5*Y319)
</f>
        <v>0</v>
      </c>
      <c r="AA319" s="90">
        <f>IF(I319=0,0,CAPITAL!$H$6*Y319)
</f>
        <v>0</v>
      </c>
      <c r="AB319" s="90">
        <f>IF(J319=0,0,CAPITAL!$H$7*Y319)
</f>
        <v>0</v>
      </c>
      <c r="AC319" s="90"/>
    </row>
    <row r="320">
      <c r="A320" s="104"/>
      <c r="B320" s="101">
        <v>315.0</v>
      </c>
      <c r="C320" s="18" t="str">
        <f>ENTRY!B314</f>
        <v>SILVERBEES</v>
      </c>
      <c r="D320" s="93">
        <f>CAPITAL!$C$2</f>
        <v>3350000</v>
      </c>
      <c r="E320" s="94" t="str">
        <f>ENTRY!C314</f>
        <v/>
      </c>
      <c r="F320" s="95" t="str">
        <f>ENTRY!D314</f>
        <v/>
      </c>
      <c r="G320" s="96" t="str">
        <f>ENTRY!E314</f>
        <v/>
      </c>
      <c r="H320" s="97">
        <f>G320*ENTRY!$O314</f>
        <v>0</v>
      </c>
      <c r="I320" s="97">
        <f>G320*ENTRY!$P314</f>
        <v>0</v>
      </c>
      <c r="J320" s="97">
        <f>G320*ENTRY!$Q314</f>
        <v>0</v>
      </c>
      <c r="K320" s="95">
        <f t="shared" si="2"/>
        <v>0</v>
      </c>
      <c r="L320" s="95" t="str">
        <f>ENTRY!F314</f>
        <v/>
      </c>
      <c r="M320" s="94" t="str">
        <f>ENTRY!G314</f>
        <v/>
      </c>
      <c r="N320" s="98" t="str">
        <f t="shared" si="3"/>
        <v/>
      </c>
      <c r="O320" s="99">
        <f t="shared" si="4"/>
        <v>0</v>
      </c>
      <c r="P320" s="99">
        <f t="shared" si="5"/>
        <v>0</v>
      </c>
      <c r="Q320" s="99">
        <f t="shared" si="6"/>
        <v>0</v>
      </c>
      <c r="R320" s="99">
        <f t="shared" si="7"/>
        <v>0</v>
      </c>
      <c r="S320" s="100" t="str">
        <f t="shared" ref="S320:V320" si="320">IFERROR(O320-Y320,"")
</f>
        <v/>
      </c>
      <c r="T320" s="100">
        <f t="shared" si="320"/>
        <v>0</v>
      </c>
      <c r="U320" s="100">
        <f t="shared" si="320"/>
        <v>0</v>
      </c>
      <c r="V320" s="100">
        <f t="shared" si="320"/>
        <v>0</v>
      </c>
      <c r="W320" s="88" t="str">
        <f t="shared" si="9"/>
        <v/>
      </c>
      <c r="X320" s="89">
        <f>S320/D320</f>
        <v>0</v>
      </c>
      <c r="Y320" s="90" t="str">
        <f t="shared" si="10"/>
        <v>ERR</v>
      </c>
      <c r="Z320" s="90">
        <f>IF(H320=0,0,CAPITAL!$H$5*Y320)
</f>
        <v>0</v>
      </c>
      <c r="AA320" s="90">
        <f>IF(I320=0,0,CAPITAL!$H$6*Y320)
</f>
        <v>0</v>
      </c>
      <c r="AB320" s="90">
        <f>IF(J320=0,0,CAPITAL!$H$7*Y320)
</f>
        <v>0</v>
      </c>
      <c r="AC320" s="90"/>
    </row>
    <row r="321">
      <c r="A321" s="104"/>
      <c r="B321" s="101">
        <v>316.0</v>
      </c>
      <c r="C321" s="79" t="str">
        <f>ENTRY!B315</f>
        <v>SILVERBEES</v>
      </c>
      <c r="D321" s="80">
        <f>CAPITAL!$C$2</f>
        <v>3350000</v>
      </c>
      <c r="E321" s="81" t="str">
        <f>ENTRY!C315</f>
        <v/>
      </c>
      <c r="F321" s="82" t="str">
        <f>ENTRY!D315</f>
        <v/>
      </c>
      <c r="G321" s="83" t="str">
        <f>ENTRY!E315</f>
        <v/>
      </c>
      <c r="H321" s="84">
        <f>G321*ENTRY!$O315</f>
        <v>0</v>
      </c>
      <c r="I321" s="84">
        <f>G321*ENTRY!$P315</f>
        <v>0</v>
      </c>
      <c r="J321" s="84">
        <f>G321*ENTRY!$Q315</f>
        <v>0</v>
      </c>
      <c r="K321" s="82">
        <f t="shared" si="2"/>
        <v>0</v>
      </c>
      <c r="L321" s="82" t="str">
        <f>ENTRY!F315</f>
        <v/>
      </c>
      <c r="M321" s="81" t="str">
        <f>ENTRY!G315</f>
        <v/>
      </c>
      <c r="N321" s="85" t="str">
        <f t="shared" si="3"/>
        <v/>
      </c>
      <c r="O321" s="86">
        <f t="shared" si="4"/>
        <v>0</v>
      </c>
      <c r="P321" s="86">
        <f t="shared" si="5"/>
        <v>0</v>
      </c>
      <c r="Q321" s="86">
        <f t="shared" si="6"/>
        <v>0</v>
      </c>
      <c r="R321" s="86">
        <f t="shared" si="7"/>
        <v>0</v>
      </c>
      <c r="S321" s="87" t="str">
        <f t="shared" ref="S321:V321" si="321">IFERROR(O321-Y321,"")
</f>
        <v/>
      </c>
      <c r="T321" s="87">
        <f t="shared" si="321"/>
        <v>0</v>
      </c>
      <c r="U321" s="87">
        <f t="shared" si="321"/>
        <v>0</v>
      </c>
      <c r="V321" s="87">
        <f t="shared" si="321"/>
        <v>0</v>
      </c>
      <c r="W321" s="88" t="str">
        <f t="shared" si="9"/>
        <v/>
      </c>
      <c r="X321" s="89">
        <f>IFERROR(S321/D321,"")</f>
        <v>0</v>
      </c>
      <c r="Y321" s="90" t="str">
        <f t="shared" si="10"/>
        <v>ERR</v>
      </c>
      <c r="Z321" s="90">
        <f>IF(H321=0,0,CAPITAL!$H$5*Y321)
</f>
        <v>0</v>
      </c>
      <c r="AA321" s="90">
        <f>IF(I321=0,0,CAPITAL!$H$6*Y321)
</f>
        <v>0</v>
      </c>
      <c r="AB321" s="90">
        <f>IF(J321=0,0,CAPITAL!$H$7*Y321)
</f>
        <v>0</v>
      </c>
      <c r="AC321" s="90"/>
    </row>
    <row r="322">
      <c r="A322" s="104"/>
      <c r="B322" s="101">
        <v>317.0</v>
      </c>
      <c r="C322" s="18" t="str">
        <f>ENTRY!B316</f>
        <v>SILVERBEES</v>
      </c>
      <c r="D322" s="93">
        <f>CAPITAL!$C$2</f>
        <v>3350000</v>
      </c>
      <c r="E322" s="94" t="str">
        <f>ENTRY!C316</f>
        <v/>
      </c>
      <c r="F322" s="95" t="str">
        <f>ENTRY!D316</f>
        <v/>
      </c>
      <c r="G322" s="96" t="str">
        <f>ENTRY!E316</f>
        <v/>
      </c>
      <c r="H322" s="97">
        <f>G322*ENTRY!$O316</f>
        <v>0</v>
      </c>
      <c r="I322" s="97">
        <f>G322*ENTRY!$P316</f>
        <v>0</v>
      </c>
      <c r="J322" s="97">
        <f>G322*ENTRY!$Q316</f>
        <v>0</v>
      </c>
      <c r="K322" s="95">
        <f t="shared" si="2"/>
        <v>0</v>
      </c>
      <c r="L322" s="95" t="str">
        <f>ENTRY!F316</f>
        <v/>
      </c>
      <c r="M322" s="94" t="str">
        <f>ENTRY!G316</f>
        <v/>
      </c>
      <c r="N322" s="98" t="str">
        <f t="shared" si="3"/>
        <v/>
      </c>
      <c r="O322" s="99">
        <f t="shared" si="4"/>
        <v>0</v>
      </c>
      <c r="P322" s="99">
        <f t="shared" si="5"/>
        <v>0</v>
      </c>
      <c r="Q322" s="99">
        <f t="shared" si="6"/>
        <v>0</v>
      </c>
      <c r="R322" s="99">
        <f t="shared" si="7"/>
        <v>0</v>
      </c>
      <c r="S322" s="100" t="str">
        <f t="shared" ref="S322:V322" si="322">IFERROR(O322-Y322,"")
</f>
        <v/>
      </c>
      <c r="T322" s="100">
        <f t="shared" si="322"/>
        <v>0</v>
      </c>
      <c r="U322" s="100">
        <f t="shared" si="322"/>
        <v>0</v>
      </c>
      <c r="V322" s="100">
        <f t="shared" si="322"/>
        <v>0</v>
      </c>
      <c r="W322" s="88" t="str">
        <f t="shared" si="9"/>
        <v/>
      </c>
      <c r="X322" s="89">
        <f>S322/D322</f>
        <v>0</v>
      </c>
      <c r="Y322" s="90" t="str">
        <f t="shared" si="10"/>
        <v>ERR</v>
      </c>
      <c r="Z322" s="90">
        <f>IF(H322=0,0,CAPITAL!$H$5*Y322)
</f>
        <v>0</v>
      </c>
      <c r="AA322" s="90">
        <f>IF(I322=0,0,CAPITAL!$H$6*Y322)
</f>
        <v>0</v>
      </c>
      <c r="AB322" s="90">
        <f>IF(J322=0,0,CAPITAL!$H$7*Y322)
</f>
        <v>0</v>
      </c>
      <c r="AC322" s="90"/>
    </row>
    <row r="323">
      <c r="A323" s="104"/>
      <c r="B323" s="101">
        <v>318.0</v>
      </c>
      <c r="C323" s="79" t="str">
        <f>ENTRY!B317</f>
        <v>SILVERBEES</v>
      </c>
      <c r="D323" s="80">
        <f>CAPITAL!$C$2</f>
        <v>3350000</v>
      </c>
      <c r="E323" s="81" t="str">
        <f>ENTRY!C317</f>
        <v/>
      </c>
      <c r="F323" s="82" t="str">
        <f>ENTRY!D317</f>
        <v/>
      </c>
      <c r="G323" s="83" t="str">
        <f>ENTRY!E317</f>
        <v/>
      </c>
      <c r="H323" s="84">
        <f>G323*ENTRY!$O317</f>
        <v>0</v>
      </c>
      <c r="I323" s="84">
        <f>G323*ENTRY!$P317</f>
        <v>0</v>
      </c>
      <c r="J323" s="84">
        <f>G323*ENTRY!$Q317</f>
        <v>0</v>
      </c>
      <c r="K323" s="82">
        <f t="shared" si="2"/>
        <v>0</v>
      </c>
      <c r="L323" s="82" t="str">
        <f>ENTRY!F317</f>
        <v/>
      </c>
      <c r="M323" s="81" t="str">
        <f>ENTRY!G317</f>
        <v/>
      </c>
      <c r="N323" s="85" t="str">
        <f t="shared" si="3"/>
        <v/>
      </c>
      <c r="O323" s="86">
        <f t="shared" si="4"/>
        <v>0</v>
      </c>
      <c r="P323" s="86">
        <f t="shared" si="5"/>
        <v>0</v>
      </c>
      <c r="Q323" s="86">
        <f t="shared" si="6"/>
        <v>0</v>
      </c>
      <c r="R323" s="86">
        <f t="shared" si="7"/>
        <v>0</v>
      </c>
      <c r="S323" s="87" t="str">
        <f t="shared" ref="S323:V323" si="323">IFERROR(O323-Y323,"")
</f>
        <v/>
      </c>
      <c r="T323" s="87">
        <f t="shared" si="323"/>
        <v>0</v>
      </c>
      <c r="U323" s="87">
        <f t="shared" si="323"/>
        <v>0</v>
      </c>
      <c r="V323" s="87">
        <f t="shared" si="323"/>
        <v>0</v>
      </c>
      <c r="W323" s="88" t="str">
        <f t="shared" si="9"/>
        <v/>
      </c>
      <c r="X323" s="89">
        <f>IFERROR(S323/D323,"")</f>
        <v>0</v>
      </c>
      <c r="Y323" s="90" t="str">
        <f t="shared" si="10"/>
        <v>ERR</v>
      </c>
      <c r="Z323" s="90">
        <f>IF(H323=0,0,CAPITAL!$H$5*Y323)
</f>
        <v>0</v>
      </c>
      <c r="AA323" s="90">
        <f>IF(I323=0,0,CAPITAL!$H$6*Y323)
</f>
        <v>0</v>
      </c>
      <c r="AB323" s="90">
        <f>IF(J323=0,0,CAPITAL!$H$7*Y323)
</f>
        <v>0</v>
      </c>
      <c r="AC323" s="90"/>
    </row>
    <row r="324">
      <c r="A324" s="104"/>
      <c r="B324" s="101">
        <v>319.0</v>
      </c>
      <c r="C324" s="18" t="str">
        <f>ENTRY!B318</f>
        <v>SILVERBEES</v>
      </c>
      <c r="D324" s="93">
        <f>CAPITAL!$C$2</f>
        <v>3350000</v>
      </c>
      <c r="E324" s="94" t="str">
        <f>ENTRY!C318</f>
        <v/>
      </c>
      <c r="F324" s="95" t="str">
        <f>ENTRY!D318</f>
        <v/>
      </c>
      <c r="G324" s="96" t="str">
        <f>ENTRY!E318</f>
        <v/>
      </c>
      <c r="H324" s="97">
        <f>G324*ENTRY!$O318</f>
        <v>0</v>
      </c>
      <c r="I324" s="97">
        <f>G324*ENTRY!$P318</f>
        <v>0</v>
      </c>
      <c r="J324" s="97">
        <f>G324*ENTRY!$Q318</f>
        <v>0</v>
      </c>
      <c r="K324" s="95">
        <f t="shared" si="2"/>
        <v>0</v>
      </c>
      <c r="L324" s="95" t="str">
        <f>ENTRY!F318</f>
        <v/>
      </c>
      <c r="M324" s="94" t="str">
        <f>ENTRY!G318</f>
        <v/>
      </c>
      <c r="N324" s="98" t="str">
        <f t="shared" si="3"/>
        <v/>
      </c>
      <c r="O324" s="99">
        <f t="shared" si="4"/>
        <v>0</v>
      </c>
      <c r="P324" s="99">
        <f t="shared" si="5"/>
        <v>0</v>
      </c>
      <c r="Q324" s="99">
        <f t="shared" si="6"/>
        <v>0</v>
      </c>
      <c r="R324" s="99">
        <f t="shared" si="7"/>
        <v>0</v>
      </c>
      <c r="S324" s="100" t="str">
        <f t="shared" ref="S324:V324" si="324">IFERROR(O324-Y324,"")
</f>
        <v/>
      </c>
      <c r="T324" s="100">
        <f t="shared" si="324"/>
        <v>0</v>
      </c>
      <c r="U324" s="100">
        <f t="shared" si="324"/>
        <v>0</v>
      </c>
      <c r="V324" s="100">
        <f t="shared" si="324"/>
        <v>0</v>
      </c>
      <c r="W324" s="88" t="str">
        <f t="shared" si="9"/>
        <v/>
      </c>
      <c r="X324" s="89">
        <f>S324/D324</f>
        <v>0</v>
      </c>
      <c r="Y324" s="90" t="str">
        <f t="shared" si="10"/>
        <v>ERR</v>
      </c>
      <c r="Z324" s="90">
        <f>IF(H324=0,0,CAPITAL!$H$5*Y324)
</f>
        <v>0</v>
      </c>
      <c r="AA324" s="90">
        <f>IF(I324=0,0,CAPITAL!$H$6*Y324)
</f>
        <v>0</v>
      </c>
      <c r="AB324" s="90">
        <f>IF(J324=0,0,CAPITAL!$H$7*Y324)
</f>
        <v>0</v>
      </c>
      <c r="AC324" s="90"/>
    </row>
    <row r="325">
      <c r="A325" s="104"/>
      <c r="B325" s="101">
        <v>320.0</v>
      </c>
      <c r="C325" s="79" t="str">
        <f>ENTRY!B319</f>
        <v>SILVERBEES</v>
      </c>
      <c r="D325" s="80">
        <f>CAPITAL!$C$2</f>
        <v>3350000</v>
      </c>
      <c r="E325" s="81" t="str">
        <f>ENTRY!C319</f>
        <v/>
      </c>
      <c r="F325" s="82" t="str">
        <f>ENTRY!D319</f>
        <v/>
      </c>
      <c r="G325" s="83" t="str">
        <f>ENTRY!E319</f>
        <v/>
      </c>
      <c r="H325" s="84">
        <f>G325*ENTRY!$O319</f>
        <v>0</v>
      </c>
      <c r="I325" s="84">
        <f>G325*ENTRY!$P319</f>
        <v>0</v>
      </c>
      <c r="J325" s="84">
        <f>G325*ENTRY!$Q319</f>
        <v>0</v>
      </c>
      <c r="K325" s="82">
        <f t="shared" si="2"/>
        <v>0</v>
      </c>
      <c r="L325" s="82" t="str">
        <f>ENTRY!F319</f>
        <v/>
      </c>
      <c r="M325" s="81" t="str">
        <f>ENTRY!G319</f>
        <v/>
      </c>
      <c r="N325" s="85" t="str">
        <f t="shared" si="3"/>
        <v/>
      </c>
      <c r="O325" s="86">
        <f t="shared" si="4"/>
        <v>0</v>
      </c>
      <c r="P325" s="86">
        <f t="shared" si="5"/>
        <v>0</v>
      </c>
      <c r="Q325" s="86">
        <f t="shared" si="6"/>
        <v>0</v>
      </c>
      <c r="R325" s="86">
        <f t="shared" si="7"/>
        <v>0</v>
      </c>
      <c r="S325" s="87" t="str">
        <f t="shared" ref="S325:V325" si="325">IFERROR(O325-Y325,"")
</f>
        <v/>
      </c>
      <c r="T325" s="87">
        <f t="shared" si="325"/>
        <v>0</v>
      </c>
      <c r="U325" s="87">
        <f t="shared" si="325"/>
        <v>0</v>
      </c>
      <c r="V325" s="87">
        <f t="shared" si="325"/>
        <v>0</v>
      </c>
      <c r="W325" s="88" t="str">
        <f t="shared" si="9"/>
        <v/>
      </c>
      <c r="X325" s="89">
        <f>IFERROR(S325/D325,"")</f>
        <v>0</v>
      </c>
      <c r="Y325" s="90" t="str">
        <f t="shared" si="10"/>
        <v>ERR</v>
      </c>
      <c r="Z325" s="90">
        <f>IF(H325=0,0,CAPITAL!$H$5*Y325)
</f>
        <v>0</v>
      </c>
      <c r="AA325" s="90">
        <f>IF(I325=0,0,CAPITAL!$H$6*Y325)
</f>
        <v>0</v>
      </c>
      <c r="AB325" s="90">
        <f>IF(J325=0,0,CAPITAL!$H$7*Y325)
</f>
        <v>0</v>
      </c>
      <c r="AC325" s="90"/>
    </row>
    <row r="326">
      <c r="A326" s="104"/>
      <c r="B326" s="101">
        <v>321.0</v>
      </c>
      <c r="C326" s="18" t="str">
        <f>ENTRY!B320</f>
        <v>SILVERBEES</v>
      </c>
      <c r="D326" s="93">
        <f>CAPITAL!$C$2</f>
        <v>3350000</v>
      </c>
      <c r="E326" s="94" t="str">
        <f>ENTRY!C320</f>
        <v/>
      </c>
      <c r="F326" s="95" t="str">
        <f>ENTRY!D320</f>
        <v/>
      </c>
      <c r="G326" s="96" t="str">
        <f>ENTRY!E320</f>
        <v/>
      </c>
      <c r="H326" s="97">
        <f>G326*ENTRY!$O320</f>
        <v>0</v>
      </c>
      <c r="I326" s="97">
        <f>G326*ENTRY!$P320</f>
        <v>0</v>
      </c>
      <c r="J326" s="97">
        <f>G326*ENTRY!$Q320</f>
        <v>0</v>
      </c>
      <c r="K326" s="95">
        <f t="shared" si="2"/>
        <v>0</v>
      </c>
      <c r="L326" s="95" t="str">
        <f>ENTRY!F320</f>
        <v/>
      </c>
      <c r="M326" s="94" t="str">
        <f>ENTRY!G320</f>
        <v/>
      </c>
      <c r="N326" s="98" t="str">
        <f t="shared" si="3"/>
        <v/>
      </c>
      <c r="O326" s="99">
        <f t="shared" si="4"/>
        <v>0</v>
      </c>
      <c r="P326" s="99">
        <f t="shared" si="5"/>
        <v>0</v>
      </c>
      <c r="Q326" s="99">
        <f t="shared" si="6"/>
        <v>0</v>
      </c>
      <c r="R326" s="99">
        <f t="shared" si="7"/>
        <v>0</v>
      </c>
      <c r="S326" s="100" t="str">
        <f t="shared" ref="S326:V326" si="326">IFERROR(O326-Y326,"")
</f>
        <v/>
      </c>
      <c r="T326" s="100">
        <f t="shared" si="326"/>
        <v>0</v>
      </c>
      <c r="U326" s="100">
        <f t="shared" si="326"/>
        <v>0</v>
      </c>
      <c r="V326" s="100">
        <f t="shared" si="326"/>
        <v>0</v>
      </c>
      <c r="W326" s="88" t="str">
        <f t="shared" si="9"/>
        <v/>
      </c>
      <c r="X326" s="89">
        <f>S326/D326</f>
        <v>0</v>
      </c>
      <c r="Y326" s="90" t="str">
        <f t="shared" si="10"/>
        <v>ERR</v>
      </c>
      <c r="Z326" s="90">
        <f>IF(H326=0,0,CAPITAL!$H$5*Y326)
</f>
        <v>0</v>
      </c>
      <c r="AA326" s="90">
        <f>IF(I326=0,0,CAPITAL!$H$6*Y326)
</f>
        <v>0</v>
      </c>
      <c r="AB326" s="90">
        <f>IF(J326=0,0,CAPITAL!$H$7*Y326)
</f>
        <v>0</v>
      </c>
      <c r="AC326" s="90"/>
    </row>
    <row r="327">
      <c r="A327" s="104"/>
      <c r="B327" s="101">
        <v>322.0</v>
      </c>
      <c r="C327" s="79" t="str">
        <f>ENTRY!B321</f>
        <v>SILVERBEES</v>
      </c>
      <c r="D327" s="80">
        <f>CAPITAL!$C$2</f>
        <v>3350000</v>
      </c>
      <c r="E327" s="81" t="str">
        <f>ENTRY!C321</f>
        <v/>
      </c>
      <c r="F327" s="82" t="str">
        <f>ENTRY!D321</f>
        <v/>
      </c>
      <c r="G327" s="83" t="str">
        <f>ENTRY!E321</f>
        <v/>
      </c>
      <c r="H327" s="84">
        <f>G327*ENTRY!$O321</f>
        <v>0</v>
      </c>
      <c r="I327" s="84">
        <f>G327*ENTRY!$P321</f>
        <v>0</v>
      </c>
      <c r="J327" s="84">
        <f>G327*ENTRY!$Q321</f>
        <v>0</v>
      </c>
      <c r="K327" s="82">
        <f t="shared" si="2"/>
        <v>0</v>
      </c>
      <c r="L327" s="82" t="str">
        <f>ENTRY!F321</f>
        <v/>
      </c>
      <c r="M327" s="81" t="str">
        <f>ENTRY!G321</f>
        <v/>
      </c>
      <c r="N327" s="85" t="str">
        <f t="shared" si="3"/>
        <v/>
      </c>
      <c r="O327" s="86">
        <f t="shared" si="4"/>
        <v>0</v>
      </c>
      <c r="P327" s="86">
        <f t="shared" si="5"/>
        <v>0</v>
      </c>
      <c r="Q327" s="86">
        <f t="shared" si="6"/>
        <v>0</v>
      </c>
      <c r="R327" s="86">
        <f t="shared" si="7"/>
        <v>0</v>
      </c>
      <c r="S327" s="87" t="str">
        <f t="shared" ref="S327:V327" si="327">IFERROR(O327-Y327,"")
</f>
        <v/>
      </c>
      <c r="T327" s="87">
        <f t="shared" si="327"/>
        <v>0</v>
      </c>
      <c r="U327" s="87">
        <f t="shared" si="327"/>
        <v>0</v>
      </c>
      <c r="V327" s="87">
        <f t="shared" si="327"/>
        <v>0</v>
      </c>
      <c r="W327" s="88" t="str">
        <f t="shared" si="9"/>
        <v/>
      </c>
      <c r="X327" s="89">
        <f>IFERROR(S327/D327,"")</f>
        <v>0</v>
      </c>
      <c r="Y327" s="90" t="str">
        <f t="shared" si="10"/>
        <v>ERR</v>
      </c>
      <c r="Z327" s="90">
        <f>IF(H327=0,0,CAPITAL!$H$5*Y327)
</f>
        <v>0</v>
      </c>
      <c r="AA327" s="90">
        <f>IF(I327=0,0,CAPITAL!$H$6*Y327)
</f>
        <v>0</v>
      </c>
      <c r="AB327" s="90">
        <f>IF(J327=0,0,CAPITAL!$H$7*Y327)
</f>
        <v>0</v>
      </c>
      <c r="AC327" s="90"/>
    </row>
    <row r="328">
      <c r="A328" s="104"/>
      <c r="B328" s="101">
        <v>323.0</v>
      </c>
      <c r="C328" s="18" t="str">
        <f>ENTRY!B322</f>
        <v>SILVERBEES</v>
      </c>
      <c r="D328" s="93">
        <f>CAPITAL!$C$2</f>
        <v>3350000</v>
      </c>
      <c r="E328" s="94" t="str">
        <f>ENTRY!C322</f>
        <v/>
      </c>
      <c r="F328" s="95" t="str">
        <f>ENTRY!D322</f>
        <v/>
      </c>
      <c r="G328" s="96" t="str">
        <f>ENTRY!E322</f>
        <v/>
      </c>
      <c r="H328" s="97">
        <f>G328*ENTRY!$O322</f>
        <v>0</v>
      </c>
      <c r="I328" s="97">
        <f>G328*ENTRY!$P322</f>
        <v>0</v>
      </c>
      <c r="J328" s="97">
        <f>G328*ENTRY!$Q322</f>
        <v>0</v>
      </c>
      <c r="K328" s="95">
        <f t="shared" si="2"/>
        <v>0</v>
      </c>
      <c r="L328" s="95" t="str">
        <f>ENTRY!F322</f>
        <v/>
      </c>
      <c r="M328" s="94" t="str">
        <f>ENTRY!G322</f>
        <v/>
      </c>
      <c r="N328" s="98" t="str">
        <f t="shared" si="3"/>
        <v/>
      </c>
      <c r="O328" s="99">
        <f t="shared" si="4"/>
        <v>0</v>
      </c>
      <c r="P328" s="99">
        <f t="shared" si="5"/>
        <v>0</v>
      </c>
      <c r="Q328" s="99">
        <f t="shared" si="6"/>
        <v>0</v>
      </c>
      <c r="R328" s="99">
        <f t="shared" si="7"/>
        <v>0</v>
      </c>
      <c r="S328" s="100" t="str">
        <f t="shared" ref="S328:V328" si="328">IFERROR(O328-Y328,"")
</f>
        <v/>
      </c>
      <c r="T328" s="100">
        <f t="shared" si="328"/>
        <v>0</v>
      </c>
      <c r="U328" s="100">
        <f t="shared" si="328"/>
        <v>0</v>
      </c>
      <c r="V328" s="100">
        <f t="shared" si="328"/>
        <v>0</v>
      </c>
      <c r="W328" s="88" t="str">
        <f t="shared" si="9"/>
        <v/>
      </c>
      <c r="X328" s="89">
        <f>S328/D328</f>
        <v>0</v>
      </c>
      <c r="Y328" s="90" t="str">
        <f t="shared" si="10"/>
        <v>ERR</v>
      </c>
      <c r="Z328" s="90">
        <f>IF(H328=0,0,CAPITAL!$H$5*Y328)
</f>
        <v>0</v>
      </c>
      <c r="AA328" s="90">
        <f>IF(I328=0,0,CAPITAL!$H$6*Y328)
</f>
        <v>0</v>
      </c>
      <c r="AB328" s="90">
        <f>IF(J328=0,0,CAPITAL!$H$7*Y328)
</f>
        <v>0</v>
      </c>
      <c r="AC328" s="90"/>
    </row>
    <row r="329">
      <c r="A329" s="104"/>
      <c r="B329" s="101">
        <v>324.0</v>
      </c>
      <c r="C329" s="79" t="str">
        <f>ENTRY!B323</f>
        <v>SILVERBEES</v>
      </c>
      <c r="D329" s="80">
        <f>CAPITAL!$C$2</f>
        <v>3350000</v>
      </c>
      <c r="E329" s="81" t="str">
        <f>ENTRY!C323</f>
        <v/>
      </c>
      <c r="F329" s="82" t="str">
        <f>ENTRY!D323</f>
        <v/>
      </c>
      <c r="G329" s="83" t="str">
        <f>ENTRY!E323</f>
        <v/>
      </c>
      <c r="H329" s="84">
        <f>G329*ENTRY!$O323</f>
        <v>0</v>
      </c>
      <c r="I329" s="84">
        <f>G329*ENTRY!$P323</f>
        <v>0</v>
      </c>
      <c r="J329" s="84">
        <f>G329*ENTRY!$Q323</f>
        <v>0</v>
      </c>
      <c r="K329" s="82">
        <f t="shared" si="2"/>
        <v>0</v>
      </c>
      <c r="L329" s="82" t="str">
        <f>ENTRY!F323</f>
        <v/>
      </c>
      <c r="M329" s="81" t="str">
        <f>ENTRY!G323</f>
        <v/>
      </c>
      <c r="N329" s="85" t="str">
        <f t="shared" si="3"/>
        <v/>
      </c>
      <c r="O329" s="86">
        <f t="shared" si="4"/>
        <v>0</v>
      </c>
      <c r="P329" s="86">
        <f t="shared" si="5"/>
        <v>0</v>
      </c>
      <c r="Q329" s="86">
        <f t="shared" si="6"/>
        <v>0</v>
      </c>
      <c r="R329" s="86">
        <f t="shared" si="7"/>
        <v>0</v>
      </c>
      <c r="S329" s="87" t="str">
        <f t="shared" ref="S329:V329" si="329">IFERROR(O329-Y329,"")
</f>
        <v/>
      </c>
      <c r="T329" s="87">
        <f t="shared" si="329"/>
        <v>0</v>
      </c>
      <c r="U329" s="87">
        <f t="shared" si="329"/>
        <v>0</v>
      </c>
      <c r="V329" s="87">
        <f t="shared" si="329"/>
        <v>0</v>
      </c>
      <c r="W329" s="88" t="str">
        <f t="shared" si="9"/>
        <v/>
      </c>
      <c r="X329" s="89">
        <f>IFERROR(S329/D329,"")</f>
        <v>0</v>
      </c>
      <c r="Y329" s="90" t="str">
        <f t="shared" si="10"/>
        <v>ERR</v>
      </c>
      <c r="Z329" s="90">
        <f>IF(H329=0,0,CAPITAL!$H$5*Y329)
</f>
        <v>0</v>
      </c>
      <c r="AA329" s="90">
        <f>IF(I329=0,0,CAPITAL!$H$6*Y329)
</f>
        <v>0</v>
      </c>
      <c r="AB329" s="90">
        <f>IF(J329=0,0,CAPITAL!$H$7*Y329)
</f>
        <v>0</v>
      </c>
      <c r="AC329" s="90"/>
    </row>
    <row r="330">
      <c r="A330" s="104"/>
      <c r="B330" s="101">
        <v>325.0</v>
      </c>
      <c r="C330" s="18" t="str">
        <f>ENTRY!B324</f>
        <v>SILVERBEES</v>
      </c>
      <c r="D330" s="93">
        <f>CAPITAL!$C$2</f>
        <v>3350000</v>
      </c>
      <c r="E330" s="94" t="str">
        <f>ENTRY!C324</f>
        <v/>
      </c>
      <c r="F330" s="95" t="str">
        <f>ENTRY!D324</f>
        <v/>
      </c>
      <c r="G330" s="96" t="str">
        <f>ENTRY!E324</f>
        <v/>
      </c>
      <c r="H330" s="97">
        <f>G330*ENTRY!$O324</f>
        <v>0</v>
      </c>
      <c r="I330" s="97">
        <f>G330*ENTRY!$P324</f>
        <v>0</v>
      </c>
      <c r="J330" s="97">
        <f>G330*ENTRY!$Q324</f>
        <v>0</v>
      </c>
      <c r="K330" s="95">
        <f t="shared" si="2"/>
        <v>0</v>
      </c>
      <c r="L330" s="95" t="str">
        <f>ENTRY!F324</f>
        <v/>
      </c>
      <c r="M330" s="94" t="str">
        <f>ENTRY!G324</f>
        <v/>
      </c>
      <c r="N330" s="98" t="str">
        <f t="shared" si="3"/>
        <v/>
      </c>
      <c r="O330" s="99">
        <f t="shared" si="4"/>
        <v>0</v>
      </c>
      <c r="P330" s="99">
        <f t="shared" si="5"/>
        <v>0</v>
      </c>
      <c r="Q330" s="99">
        <f t="shared" si="6"/>
        <v>0</v>
      </c>
      <c r="R330" s="99">
        <f t="shared" si="7"/>
        <v>0</v>
      </c>
      <c r="S330" s="100" t="str">
        <f t="shared" ref="S330:V330" si="330">IFERROR(O330-Y330,"")
</f>
        <v/>
      </c>
      <c r="T330" s="100">
        <f t="shared" si="330"/>
        <v>0</v>
      </c>
      <c r="U330" s="100">
        <f t="shared" si="330"/>
        <v>0</v>
      </c>
      <c r="V330" s="100">
        <f t="shared" si="330"/>
        <v>0</v>
      </c>
      <c r="W330" s="88" t="str">
        <f t="shared" si="9"/>
        <v/>
      </c>
      <c r="X330" s="89">
        <f>S330/D330</f>
        <v>0</v>
      </c>
      <c r="Y330" s="90" t="str">
        <f t="shared" si="10"/>
        <v>ERR</v>
      </c>
      <c r="Z330" s="90">
        <f>IF(H330=0,0,CAPITAL!$H$5*Y330)
</f>
        <v>0</v>
      </c>
      <c r="AA330" s="90">
        <f>IF(I330=0,0,CAPITAL!$H$6*Y330)
</f>
        <v>0</v>
      </c>
      <c r="AB330" s="90">
        <f>IF(J330=0,0,CAPITAL!$H$7*Y330)
</f>
        <v>0</v>
      </c>
      <c r="AC330" s="90"/>
    </row>
    <row r="331">
      <c r="A331" s="104"/>
      <c r="B331" s="101">
        <v>326.0</v>
      </c>
      <c r="C331" s="79" t="str">
        <f>ENTRY!B325</f>
        <v>SILVERBEES</v>
      </c>
      <c r="D331" s="80">
        <f>CAPITAL!$C$2</f>
        <v>3350000</v>
      </c>
      <c r="E331" s="81" t="str">
        <f>ENTRY!C325</f>
        <v/>
      </c>
      <c r="F331" s="82" t="str">
        <f>ENTRY!D325</f>
        <v/>
      </c>
      <c r="G331" s="83" t="str">
        <f>ENTRY!E325</f>
        <v/>
      </c>
      <c r="H331" s="84">
        <f>G331*ENTRY!$O325</f>
        <v>0</v>
      </c>
      <c r="I331" s="84">
        <f>G331*ENTRY!$P325</f>
        <v>0</v>
      </c>
      <c r="J331" s="84">
        <f>G331*ENTRY!$Q325</f>
        <v>0</v>
      </c>
      <c r="K331" s="82">
        <f t="shared" si="2"/>
        <v>0</v>
      </c>
      <c r="L331" s="82" t="str">
        <f>ENTRY!F325</f>
        <v/>
      </c>
      <c r="M331" s="81" t="str">
        <f>ENTRY!G325</f>
        <v/>
      </c>
      <c r="N331" s="85" t="str">
        <f t="shared" si="3"/>
        <v/>
      </c>
      <c r="O331" s="86">
        <f t="shared" si="4"/>
        <v>0</v>
      </c>
      <c r="P331" s="86">
        <f t="shared" si="5"/>
        <v>0</v>
      </c>
      <c r="Q331" s="86">
        <f t="shared" si="6"/>
        <v>0</v>
      </c>
      <c r="R331" s="86">
        <f t="shared" si="7"/>
        <v>0</v>
      </c>
      <c r="S331" s="87" t="str">
        <f t="shared" ref="S331:V331" si="331">IFERROR(O331-Y331,"")
</f>
        <v/>
      </c>
      <c r="T331" s="87">
        <f t="shared" si="331"/>
        <v>0</v>
      </c>
      <c r="U331" s="87">
        <f t="shared" si="331"/>
        <v>0</v>
      </c>
      <c r="V331" s="87">
        <f t="shared" si="331"/>
        <v>0</v>
      </c>
      <c r="W331" s="88" t="str">
        <f t="shared" si="9"/>
        <v/>
      </c>
      <c r="X331" s="89">
        <f>IFERROR(S331/D331,"")</f>
        <v>0</v>
      </c>
      <c r="Y331" s="90" t="str">
        <f t="shared" si="10"/>
        <v>ERR</v>
      </c>
      <c r="Z331" s="90">
        <f>IF(H331=0,0,CAPITAL!$H$5*Y331)
</f>
        <v>0</v>
      </c>
      <c r="AA331" s="90">
        <f>IF(I331=0,0,CAPITAL!$H$6*Y331)
</f>
        <v>0</v>
      </c>
      <c r="AB331" s="90">
        <f>IF(J331=0,0,CAPITAL!$H$7*Y331)
</f>
        <v>0</v>
      </c>
      <c r="AC331" s="90"/>
    </row>
    <row r="332">
      <c r="A332" s="104"/>
      <c r="B332" s="101">
        <v>327.0</v>
      </c>
      <c r="C332" s="18" t="str">
        <f>ENTRY!B326</f>
        <v>SILVERBEES</v>
      </c>
      <c r="D332" s="93">
        <f>CAPITAL!$C$2</f>
        <v>3350000</v>
      </c>
      <c r="E332" s="94" t="str">
        <f>ENTRY!C326</f>
        <v/>
      </c>
      <c r="F332" s="95" t="str">
        <f>ENTRY!D326</f>
        <v/>
      </c>
      <c r="G332" s="96" t="str">
        <f>ENTRY!E326</f>
        <v/>
      </c>
      <c r="H332" s="97">
        <f>G332*ENTRY!$O326</f>
        <v>0</v>
      </c>
      <c r="I332" s="97">
        <f>G332*ENTRY!$P326</f>
        <v>0</v>
      </c>
      <c r="J332" s="97">
        <f>G332*ENTRY!$Q326</f>
        <v>0</v>
      </c>
      <c r="K332" s="95">
        <f t="shared" si="2"/>
        <v>0</v>
      </c>
      <c r="L332" s="95" t="str">
        <f>ENTRY!F326</f>
        <v/>
      </c>
      <c r="M332" s="94" t="str">
        <f>ENTRY!G326</f>
        <v/>
      </c>
      <c r="N332" s="98" t="str">
        <f t="shared" si="3"/>
        <v/>
      </c>
      <c r="O332" s="99">
        <f t="shared" si="4"/>
        <v>0</v>
      </c>
      <c r="P332" s="99">
        <f t="shared" si="5"/>
        <v>0</v>
      </c>
      <c r="Q332" s="99">
        <f t="shared" si="6"/>
        <v>0</v>
      </c>
      <c r="R332" s="99">
        <f t="shared" si="7"/>
        <v>0</v>
      </c>
      <c r="S332" s="100" t="str">
        <f t="shared" ref="S332:V332" si="332">IFERROR(O332-Y332,"")
</f>
        <v/>
      </c>
      <c r="T332" s="100">
        <f t="shared" si="332"/>
        <v>0</v>
      </c>
      <c r="U332" s="100">
        <f t="shared" si="332"/>
        <v>0</v>
      </c>
      <c r="V332" s="100">
        <f t="shared" si="332"/>
        <v>0</v>
      </c>
      <c r="W332" s="88" t="str">
        <f t="shared" si="9"/>
        <v/>
      </c>
      <c r="X332" s="89">
        <f>S332/D332</f>
        <v>0</v>
      </c>
      <c r="Y332" s="90" t="str">
        <f t="shared" si="10"/>
        <v>ERR</v>
      </c>
      <c r="Z332" s="90">
        <f>IF(H332=0,0,CAPITAL!$H$5*Y332)
</f>
        <v>0</v>
      </c>
      <c r="AA332" s="90">
        <f>IF(I332=0,0,CAPITAL!$H$6*Y332)
</f>
        <v>0</v>
      </c>
      <c r="AB332" s="90">
        <f>IF(J332=0,0,CAPITAL!$H$7*Y332)
</f>
        <v>0</v>
      </c>
      <c r="AC332" s="90"/>
    </row>
    <row r="333">
      <c r="A333" s="104"/>
      <c r="B333" s="101">
        <v>328.0</v>
      </c>
      <c r="C333" s="79" t="str">
        <f>ENTRY!B327</f>
        <v>SILVERBEES</v>
      </c>
      <c r="D333" s="80">
        <f>CAPITAL!$C$2</f>
        <v>3350000</v>
      </c>
      <c r="E333" s="81" t="str">
        <f>ENTRY!C327</f>
        <v/>
      </c>
      <c r="F333" s="82" t="str">
        <f>ENTRY!D327</f>
        <v/>
      </c>
      <c r="G333" s="83" t="str">
        <f>ENTRY!E327</f>
        <v/>
      </c>
      <c r="H333" s="84">
        <f>G333*ENTRY!$O327</f>
        <v>0</v>
      </c>
      <c r="I333" s="84">
        <f>G333*ENTRY!$P327</f>
        <v>0</v>
      </c>
      <c r="J333" s="84">
        <f>G333*ENTRY!$Q327</f>
        <v>0</v>
      </c>
      <c r="K333" s="82">
        <f t="shared" si="2"/>
        <v>0</v>
      </c>
      <c r="L333" s="82" t="str">
        <f>ENTRY!F327</f>
        <v/>
      </c>
      <c r="M333" s="81" t="str">
        <f>ENTRY!G327</f>
        <v/>
      </c>
      <c r="N333" s="85" t="str">
        <f t="shared" si="3"/>
        <v/>
      </c>
      <c r="O333" s="86">
        <f t="shared" si="4"/>
        <v>0</v>
      </c>
      <c r="P333" s="86">
        <f t="shared" si="5"/>
        <v>0</v>
      </c>
      <c r="Q333" s="86">
        <f t="shared" si="6"/>
        <v>0</v>
      </c>
      <c r="R333" s="86">
        <f t="shared" si="7"/>
        <v>0</v>
      </c>
      <c r="S333" s="87" t="str">
        <f t="shared" ref="S333:V333" si="333">IFERROR(O333-Y333,"")
</f>
        <v/>
      </c>
      <c r="T333" s="87">
        <f t="shared" si="333"/>
        <v>0</v>
      </c>
      <c r="U333" s="87">
        <f t="shared" si="333"/>
        <v>0</v>
      </c>
      <c r="V333" s="87">
        <f t="shared" si="333"/>
        <v>0</v>
      </c>
      <c r="W333" s="88" t="str">
        <f t="shared" si="9"/>
        <v/>
      </c>
      <c r="X333" s="89">
        <f>IFERROR(S333/D333,"")</f>
        <v>0</v>
      </c>
      <c r="Y333" s="90" t="str">
        <f t="shared" si="10"/>
        <v>ERR</v>
      </c>
      <c r="Z333" s="90">
        <f>IF(H333=0,0,CAPITAL!$H$5*Y333)
</f>
        <v>0</v>
      </c>
      <c r="AA333" s="90">
        <f>IF(I333=0,0,CAPITAL!$H$6*Y333)
</f>
        <v>0</v>
      </c>
      <c r="AB333" s="90">
        <f>IF(J333=0,0,CAPITAL!$H$7*Y333)
</f>
        <v>0</v>
      </c>
      <c r="AC333" s="90"/>
    </row>
    <row r="334">
      <c r="A334" s="104"/>
      <c r="B334" s="101">
        <v>329.0</v>
      </c>
      <c r="C334" s="18" t="str">
        <f>ENTRY!B328</f>
        <v>SILVERBEES</v>
      </c>
      <c r="D334" s="93">
        <f>CAPITAL!$C$2</f>
        <v>3350000</v>
      </c>
      <c r="E334" s="94" t="str">
        <f>ENTRY!C328</f>
        <v/>
      </c>
      <c r="F334" s="95" t="str">
        <f>ENTRY!D328</f>
        <v/>
      </c>
      <c r="G334" s="96" t="str">
        <f>ENTRY!E328</f>
        <v/>
      </c>
      <c r="H334" s="97">
        <f>G334*ENTRY!$O328</f>
        <v>0</v>
      </c>
      <c r="I334" s="97">
        <f>G334*ENTRY!$P328</f>
        <v>0</v>
      </c>
      <c r="J334" s="97">
        <f>G334*ENTRY!$Q328</f>
        <v>0</v>
      </c>
      <c r="K334" s="95">
        <f t="shared" si="2"/>
        <v>0</v>
      </c>
      <c r="L334" s="95" t="str">
        <f>ENTRY!F328</f>
        <v/>
      </c>
      <c r="M334" s="94" t="str">
        <f>ENTRY!G328</f>
        <v/>
      </c>
      <c r="N334" s="98" t="str">
        <f t="shared" si="3"/>
        <v/>
      </c>
      <c r="O334" s="99">
        <f t="shared" si="4"/>
        <v>0</v>
      </c>
      <c r="P334" s="99">
        <f t="shared" si="5"/>
        <v>0</v>
      </c>
      <c r="Q334" s="99">
        <f t="shared" si="6"/>
        <v>0</v>
      </c>
      <c r="R334" s="99">
        <f t="shared" si="7"/>
        <v>0</v>
      </c>
      <c r="S334" s="100" t="str">
        <f t="shared" ref="S334:V334" si="334">IFERROR(O334-Y334,"")
</f>
        <v/>
      </c>
      <c r="T334" s="100">
        <f t="shared" si="334"/>
        <v>0</v>
      </c>
      <c r="U334" s="100">
        <f t="shared" si="334"/>
        <v>0</v>
      </c>
      <c r="V334" s="100">
        <f t="shared" si="334"/>
        <v>0</v>
      </c>
      <c r="W334" s="88" t="str">
        <f t="shared" si="9"/>
        <v/>
      </c>
      <c r="X334" s="89">
        <f>S334/D334</f>
        <v>0</v>
      </c>
      <c r="Y334" s="90" t="str">
        <f t="shared" si="10"/>
        <v>ERR</v>
      </c>
      <c r="Z334" s="90">
        <f>IF(H334=0,0,CAPITAL!$H$5*Y334)
</f>
        <v>0</v>
      </c>
      <c r="AA334" s="90">
        <f>IF(I334=0,0,CAPITAL!$H$6*Y334)
</f>
        <v>0</v>
      </c>
      <c r="AB334" s="90">
        <f>IF(J334=0,0,CAPITAL!$H$7*Y334)
</f>
        <v>0</v>
      </c>
      <c r="AC334" s="90"/>
    </row>
    <row r="335">
      <c r="A335" s="104"/>
      <c r="B335" s="101">
        <v>330.0</v>
      </c>
      <c r="C335" s="79" t="str">
        <f>ENTRY!B329</f>
        <v>SILVERBEES</v>
      </c>
      <c r="D335" s="80">
        <f>CAPITAL!$C$2</f>
        <v>3350000</v>
      </c>
      <c r="E335" s="81" t="str">
        <f>ENTRY!C329</f>
        <v/>
      </c>
      <c r="F335" s="82" t="str">
        <f>ENTRY!D329</f>
        <v/>
      </c>
      <c r="G335" s="83" t="str">
        <f>ENTRY!E329</f>
        <v/>
      </c>
      <c r="H335" s="84">
        <f>G335*ENTRY!$O329</f>
        <v>0</v>
      </c>
      <c r="I335" s="84">
        <f>G335*ENTRY!$P329</f>
        <v>0</v>
      </c>
      <c r="J335" s="84">
        <f>G335*ENTRY!$Q329</f>
        <v>0</v>
      </c>
      <c r="K335" s="82">
        <f t="shared" si="2"/>
        <v>0</v>
      </c>
      <c r="L335" s="82" t="str">
        <f>ENTRY!F329</f>
        <v/>
      </c>
      <c r="M335" s="81" t="str">
        <f>ENTRY!G329</f>
        <v/>
      </c>
      <c r="N335" s="85" t="str">
        <f t="shared" si="3"/>
        <v/>
      </c>
      <c r="O335" s="86">
        <f t="shared" si="4"/>
        <v>0</v>
      </c>
      <c r="P335" s="86">
        <f t="shared" si="5"/>
        <v>0</v>
      </c>
      <c r="Q335" s="86">
        <f t="shared" si="6"/>
        <v>0</v>
      </c>
      <c r="R335" s="86">
        <f t="shared" si="7"/>
        <v>0</v>
      </c>
      <c r="S335" s="87" t="str">
        <f t="shared" ref="S335:V335" si="335">IFERROR(O335-Y335,"")
</f>
        <v/>
      </c>
      <c r="T335" s="87">
        <f t="shared" si="335"/>
        <v>0</v>
      </c>
      <c r="U335" s="87">
        <f t="shared" si="335"/>
        <v>0</v>
      </c>
      <c r="V335" s="87">
        <f t="shared" si="335"/>
        <v>0</v>
      </c>
      <c r="W335" s="88" t="str">
        <f t="shared" si="9"/>
        <v/>
      </c>
      <c r="X335" s="89">
        <f>IFERROR(S335/D335,"")</f>
        <v>0</v>
      </c>
      <c r="Y335" s="90" t="str">
        <f t="shared" si="10"/>
        <v>ERR</v>
      </c>
      <c r="Z335" s="90">
        <f>IF(H335=0,0,CAPITAL!$H$5*Y335)
</f>
        <v>0</v>
      </c>
      <c r="AA335" s="90">
        <f>IF(I335=0,0,CAPITAL!$H$6*Y335)
</f>
        <v>0</v>
      </c>
      <c r="AB335" s="90">
        <f>IF(J335=0,0,CAPITAL!$H$7*Y335)
</f>
        <v>0</v>
      </c>
      <c r="AC335" s="90"/>
    </row>
    <row r="336">
      <c r="A336" s="104"/>
      <c r="B336" s="101">
        <v>331.0</v>
      </c>
      <c r="C336" s="18" t="str">
        <f>ENTRY!B330</f>
        <v>SILVERBEES</v>
      </c>
      <c r="D336" s="93">
        <f>CAPITAL!$C$2</f>
        <v>3350000</v>
      </c>
      <c r="E336" s="94" t="str">
        <f>ENTRY!C330</f>
        <v/>
      </c>
      <c r="F336" s="95" t="str">
        <f>ENTRY!D330</f>
        <v/>
      </c>
      <c r="G336" s="96" t="str">
        <f>ENTRY!E330</f>
        <v/>
      </c>
      <c r="H336" s="97">
        <f>G336*ENTRY!$O330</f>
        <v>0</v>
      </c>
      <c r="I336" s="97">
        <f>G336*ENTRY!$P330</f>
        <v>0</v>
      </c>
      <c r="J336" s="97">
        <f>G336*ENTRY!$Q330</f>
        <v>0</v>
      </c>
      <c r="K336" s="95">
        <f t="shared" si="2"/>
        <v>0</v>
      </c>
      <c r="L336" s="95" t="str">
        <f>ENTRY!F330</f>
        <v/>
      </c>
      <c r="M336" s="94" t="str">
        <f>ENTRY!G330</f>
        <v/>
      </c>
      <c r="N336" s="98" t="str">
        <f t="shared" si="3"/>
        <v/>
      </c>
      <c r="O336" s="99">
        <f t="shared" si="4"/>
        <v>0</v>
      </c>
      <c r="P336" s="99">
        <f t="shared" si="5"/>
        <v>0</v>
      </c>
      <c r="Q336" s="99">
        <f t="shared" si="6"/>
        <v>0</v>
      </c>
      <c r="R336" s="99">
        <f t="shared" si="7"/>
        <v>0</v>
      </c>
      <c r="S336" s="100" t="str">
        <f t="shared" ref="S336:V336" si="336">IFERROR(O336-Y336,"")
</f>
        <v/>
      </c>
      <c r="T336" s="100">
        <f t="shared" si="336"/>
        <v>0</v>
      </c>
      <c r="U336" s="100">
        <f t="shared" si="336"/>
        <v>0</v>
      </c>
      <c r="V336" s="100">
        <f t="shared" si="336"/>
        <v>0</v>
      </c>
      <c r="W336" s="88" t="str">
        <f t="shared" si="9"/>
        <v/>
      </c>
      <c r="X336" s="89">
        <f>S336/D336</f>
        <v>0</v>
      </c>
      <c r="Y336" s="90" t="str">
        <f t="shared" si="10"/>
        <v>ERR</v>
      </c>
      <c r="Z336" s="90">
        <f>IF(H336=0,0,CAPITAL!$H$5*Y336)
</f>
        <v>0</v>
      </c>
      <c r="AA336" s="90">
        <f>IF(I336=0,0,CAPITAL!$H$6*Y336)
</f>
        <v>0</v>
      </c>
      <c r="AB336" s="90">
        <f>IF(J336=0,0,CAPITAL!$H$7*Y336)
</f>
        <v>0</v>
      </c>
      <c r="AC336" s="90"/>
    </row>
    <row r="337">
      <c r="A337" s="104"/>
      <c r="B337" s="101">
        <v>332.0</v>
      </c>
      <c r="C337" s="79" t="str">
        <f>ENTRY!B331</f>
        <v>SILVERBEES</v>
      </c>
      <c r="D337" s="80">
        <f>CAPITAL!$C$2</f>
        <v>3350000</v>
      </c>
      <c r="E337" s="81" t="str">
        <f>ENTRY!C331</f>
        <v/>
      </c>
      <c r="F337" s="82" t="str">
        <f>ENTRY!D331</f>
        <v/>
      </c>
      <c r="G337" s="83" t="str">
        <f>ENTRY!E331</f>
        <v/>
      </c>
      <c r="H337" s="84">
        <f>G337*ENTRY!$O331</f>
        <v>0</v>
      </c>
      <c r="I337" s="84">
        <f>G337*ENTRY!$P331</f>
        <v>0</v>
      </c>
      <c r="J337" s="84">
        <f>G337*ENTRY!$Q331</f>
        <v>0</v>
      </c>
      <c r="K337" s="82">
        <f t="shared" si="2"/>
        <v>0</v>
      </c>
      <c r="L337" s="82" t="str">
        <f>ENTRY!F331</f>
        <v/>
      </c>
      <c r="M337" s="81" t="str">
        <f>ENTRY!G331</f>
        <v/>
      </c>
      <c r="N337" s="85" t="str">
        <f t="shared" si="3"/>
        <v/>
      </c>
      <c r="O337" s="86">
        <f t="shared" si="4"/>
        <v>0</v>
      </c>
      <c r="P337" s="86">
        <f t="shared" si="5"/>
        <v>0</v>
      </c>
      <c r="Q337" s="86">
        <f t="shared" si="6"/>
        <v>0</v>
      </c>
      <c r="R337" s="86">
        <f t="shared" si="7"/>
        <v>0</v>
      </c>
      <c r="S337" s="87" t="str">
        <f t="shared" ref="S337:V337" si="337">IFERROR(O337-Y337,"")
</f>
        <v/>
      </c>
      <c r="T337" s="87">
        <f t="shared" si="337"/>
        <v>0</v>
      </c>
      <c r="U337" s="87">
        <f t="shared" si="337"/>
        <v>0</v>
      </c>
      <c r="V337" s="87">
        <f t="shared" si="337"/>
        <v>0</v>
      </c>
      <c r="W337" s="88" t="str">
        <f t="shared" si="9"/>
        <v/>
      </c>
      <c r="X337" s="89">
        <f>IFERROR(S337/D337,"")</f>
        <v>0</v>
      </c>
      <c r="Y337" s="90" t="str">
        <f t="shared" si="10"/>
        <v>ERR</v>
      </c>
      <c r="Z337" s="90">
        <f>IF(H337=0,0,CAPITAL!$H$5*Y337)
</f>
        <v>0</v>
      </c>
      <c r="AA337" s="90">
        <f>IF(I337=0,0,CAPITAL!$H$6*Y337)
</f>
        <v>0</v>
      </c>
      <c r="AB337" s="90">
        <f>IF(J337=0,0,CAPITAL!$H$7*Y337)
</f>
        <v>0</v>
      </c>
      <c r="AC337" s="90"/>
    </row>
    <row r="338">
      <c r="A338" s="104"/>
      <c r="B338" s="101">
        <v>333.0</v>
      </c>
      <c r="C338" s="18" t="str">
        <f>ENTRY!B332</f>
        <v>SILVERBEES</v>
      </c>
      <c r="D338" s="93">
        <f>CAPITAL!$C$2</f>
        <v>3350000</v>
      </c>
      <c r="E338" s="94" t="str">
        <f>ENTRY!C332</f>
        <v/>
      </c>
      <c r="F338" s="95" t="str">
        <f>ENTRY!D332</f>
        <v/>
      </c>
      <c r="G338" s="96" t="str">
        <f>ENTRY!E332</f>
        <v/>
      </c>
      <c r="H338" s="97">
        <f>G338*ENTRY!$O332</f>
        <v>0</v>
      </c>
      <c r="I338" s="97">
        <f>G338*ENTRY!$P332</f>
        <v>0</v>
      </c>
      <c r="J338" s="97">
        <f>G338*ENTRY!$Q332</f>
        <v>0</v>
      </c>
      <c r="K338" s="95">
        <f t="shared" si="2"/>
        <v>0</v>
      </c>
      <c r="L338" s="95" t="str">
        <f>ENTRY!F332</f>
        <v/>
      </c>
      <c r="M338" s="94" t="str">
        <f>ENTRY!G332</f>
        <v/>
      </c>
      <c r="N338" s="98" t="str">
        <f t="shared" si="3"/>
        <v/>
      </c>
      <c r="O338" s="99">
        <f t="shared" si="4"/>
        <v>0</v>
      </c>
      <c r="P338" s="99">
        <f t="shared" si="5"/>
        <v>0</v>
      </c>
      <c r="Q338" s="99">
        <f t="shared" si="6"/>
        <v>0</v>
      </c>
      <c r="R338" s="99">
        <f t="shared" si="7"/>
        <v>0</v>
      </c>
      <c r="S338" s="100" t="str">
        <f t="shared" ref="S338:V338" si="338">IFERROR(O338-Y338,"")
</f>
        <v/>
      </c>
      <c r="T338" s="100">
        <f t="shared" si="338"/>
        <v>0</v>
      </c>
      <c r="U338" s="100">
        <f t="shared" si="338"/>
        <v>0</v>
      </c>
      <c r="V338" s="100">
        <f t="shared" si="338"/>
        <v>0</v>
      </c>
      <c r="W338" s="88" t="str">
        <f t="shared" si="9"/>
        <v/>
      </c>
      <c r="X338" s="89">
        <f>S338/D338</f>
        <v>0</v>
      </c>
      <c r="Y338" s="90" t="str">
        <f t="shared" si="10"/>
        <v>ERR</v>
      </c>
      <c r="Z338" s="90">
        <f>IF(H338=0,0,CAPITAL!$H$5*Y338)
</f>
        <v>0</v>
      </c>
      <c r="AA338" s="90">
        <f>IF(I338=0,0,CAPITAL!$H$6*Y338)
</f>
        <v>0</v>
      </c>
      <c r="AB338" s="90">
        <f>IF(J338=0,0,CAPITAL!$H$7*Y338)
</f>
        <v>0</v>
      </c>
      <c r="AC338" s="90"/>
    </row>
    <row r="339">
      <c r="A339" s="104"/>
      <c r="B339" s="101">
        <v>334.0</v>
      </c>
      <c r="C339" s="79" t="str">
        <f>ENTRY!B333</f>
        <v>SILVERBEES</v>
      </c>
      <c r="D339" s="80">
        <f>CAPITAL!$C$2</f>
        <v>3350000</v>
      </c>
      <c r="E339" s="81" t="str">
        <f>ENTRY!C333</f>
        <v/>
      </c>
      <c r="F339" s="82" t="str">
        <f>ENTRY!D333</f>
        <v/>
      </c>
      <c r="G339" s="83" t="str">
        <f>ENTRY!E333</f>
        <v/>
      </c>
      <c r="H339" s="84">
        <f>G339*ENTRY!$O333</f>
        <v>0</v>
      </c>
      <c r="I339" s="84">
        <f>G339*ENTRY!$P333</f>
        <v>0</v>
      </c>
      <c r="J339" s="84">
        <f>G339*ENTRY!$Q333</f>
        <v>0</v>
      </c>
      <c r="K339" s="82">
        <f t="shared" si="2"/>
        <v>0</v>
      </c>
      <c r="L339" s="82" t="str">
        <f>ENTRY!F333</f>
        <v/>
      </c>
      <c r="M339" s="81" t="str">
        <f>ENTRY!G333</f>
        <v/>
      </c>
      <c r="N339" s="85" t="str">
        <f t="shared" si="3"/>
        <v/>
      </c>
      <c r="O339" s="86">
        <f t="shared" si="4"/>
        <v>0</v>
      </c>
      <c r="P339" s="86">
        <f t="shared" si="5"/>
        <v>0</v>
      </c>
      <c r="Q339" s="86">
        <f t="shared" si="6"/>
        <v>0</v>
      </c>
      <c r="R339" s="86">
        <f t="shared" si="7"/>
        <v>0</v>
      </c>
      <c r="S339" s="87" t="str">
        <f t="shared" ref="S339:V339" si="339">IFERROR(O339-Y339,"")
</f>
        <v/>
      </c>
      <c r="T339" s="87">
        <f t="shared" si="339"/>
        <v>0</v>
      </c>
      <c r="U339" s="87">
        <f t="shared" si="339"/>
        <v>0</v>
      </c>
      <c r="V339" s="87">
        <f t="shared" si="339"/>
        <v>0</v>
      </c>
      <c r="W339" s="88" t="str">
        <f t="shared" si="9"/>
        <v/>
      </c>
      <c r="X339" s="89">
        <f>IFERROR(S339/D339,"")</f>
        <v>0</v>
      </c>
      <c r="Y339" s="90" t="str">
        <f t="shared" si="10"/>
        <v>ERR</v>
      </c>
      <c r="Z339" s="90">
        <f>IF(H339=0,0,CAPITAL!$H$5*Y339)
</f>
        <v>0</v>
      </c>
      <c r="AA339" s="90">
        <f>IF(I339=0,0,CAPITAL!$H$6*Y339)
</f>
        <v>0</v>
      </c>
      <c r="AB339" s="90">
        <f>IF(J339=0,0,CAPITAL!$H$7*Y339)
</f>
        <v>0</v>
      </c>
      <c r="AC339" s="90"/>
    </row>
    <row r="340">
      <c r="A340" s="104"/>
      <c r="B340" s="101">
        <v>335.0</v>
      </c>
      <c r="C340" s="18" t="str">
        <f>ENTRY!B334</f>
        <v>SILVERBEES</v>
      </c>
      <c r="D340" s="93">
        <f>CAPITAL!$C$2</f>
        <v>3350000</v>
      </c>
      <c r="E340" s="94" t="str">
        <f>ENTRY!C334</f>
        <v/>
      </c>
      <c r="F340" s="95" t="str">
        <f>ENTRY!D334</f>
        <v/>
      </c>
      <c r="G340" s="96" t="str">
        <f>ENTRY!E334</f>
        <v/>
      </c>
      <c r="H340" s="97">
        <f>G340*ENTRY!$O334</f>
        <v>0</v>
      </c>
      <c r="I340" s="97">
        <f>G340*ENTRY!$P334</f>
        <v>0</v>
      </c>
      <c r="J340" s="97">
        <f>G340*ENTRY!$Q334</f>
        <v>0</v>
      </c>
      <c r="K340" s="95">
        <f t="shared" si="2"/>
        <v>0</v>
      </c>
      <c r="L340" s="95" t="str">
        <f>ENTRY!F334</f>
        <v/>
      </c>
      <c r="M340" s="94" t="str">
        <f>ENTRY!G334</f>
        <v/>
      </c>
      <c r="N340" s="98" t="str">
        <f t="shared" si="3"/>
        <v/>
      </c>
      <c r="O340" s="99">
        <f t="shared" si="4"/>
        <v>0</v>
      </c>
      <c r="P340" s="99">
        <f t="shared" si="5"/>
        <v>0</v>
      </c>
      <c r="Q340" s="99">
        <f t="shared" si="6"/>
        <v>0</v>
      </c>
      <c r="R340" s="99">
        <f t="shared" si="7"/>
        <v>0</v>
      </c>
      <c r="S340" s="100" t="str">
        <f t="shared" ref="S340:V340" si="340">IFERROR(O340-Y340,"")
</f>
        <v/>
      </c>
      <c r="T340" s="100">
        <f t="shared" si="340"/>
        <v>0</v>
      </c>
      <c r="U340" s="100">
        <f t="shared" si="340"/>
        <v>0</v>
      </c>
      <c r="V340" s="100">
        <f t="shared" si="340"/>
        <v>0</v>
      </c>
      <c r="W340" s="88" t="str">
        <f t="shared" si="9"/>
        <v/>
      </c>
      <c r="X340" s="89">
        <f>S340/D340</f>
        <v>0</v>
      </c>
      <c r="Y340" s="90" t="str">
        <f t="shared" si="10"/>
        <v>ERR</v>
      </c>
      <c r="Z340" s="90">
        <f>IF(H340=0,0,CAPITAL!$H$5*Y340)
</f>
        <v>0</v>
      </c>
      <c r="AA340" s="90">
        <f>IF(I340=0,0,CAPITAL!$H$6*Y340)
</f>
        <v>0</v>
      </c>
      <c r="AB340" s="90">
        <f>IF(J340=0,0,CAPITAL!$H$7*Y340)
</f>
        <v>0</v>
      </c>
      <c r="AC340" s="90"/>
    </row>
    <row r="341">
      <c r="A341" s="104"/>
      <c r="B341" s="101">
        <v>336.0</v>
      </c>
      <c r="C341" s="79" t="str">
        <f>ENTRY!B335</f>
        <v>SILVERBEES</v>
      </c>
      <c r="D341" s="80">
        <f>CAPITAL!$C$2</f>
        <v>3350000</v>
      </c>
      <c r="E341" s="81" t="str">
        <f>ENTRY!C335</f>
        <v/>
      </c>
      <c r="F341" s="82" t="str">
        <f>ENTRY!D335</f>
        <v/>
      </c>
      <c r="G341" s="83" t="str">
        <f>ENTRY!E335</f>
        <v/>
      </c>
      <c r="H341" s="84">
        <f>G341*ENTRY!$O335</f>
        <v>0</v>
      </c>
      <c r="I341" s="84">
        <f>G341*ENTRY!$P335</f>
        <v>0</v>
      </c>
      <c r="J341" s="84">
        <f>G341*ENTRY!$Q335</f>
        <v>0</v>
      </c>
      <c r="K341" s="82">
        <f t="shared" si="2"/>
        <v>0</v>
      </c>
      <c r="L341" s="82" t="str">
        <f>ENTRY!F335</f>
        <v/>
      </c>
      <c r="M341" s="81" t="str">
        <f>ENTRY!G335</f>
        <v/>
      </c>
      <c r="N341" s="85" t="str">
        <f t="shared" si="3"/>
        <v/>
      </c>
      <c r="O341" s="86">
        <f t="shared" si="4"/>
        <v>0</v>
      </c>
      <c r="P341" s="86">
        <f t="shared" si="5"/>
        <v>0</v>
      </c>
      <c r="Q341" s="86">
        <f t="shared" si="6"/>
        <v>0</v>
      </c>
      <c r="R341" s="86">
        <f t="shared" si="7"/>
        <v>0</v>
      </c>
      <c r="S341" s="87" t="str">
        <f t="shared" ref="S341:V341" si="341">IFERROR(O341-Y341,"")
</f>
        <v/>
      </c>
      <c r="T341" s="87">
        <f t="shared" si="341"/>
        <v>0</v>
      </c>
      <c r="U341" s="87">
        <f t="shared" si="341"/>
        <v>0</v>
      </c>
      <c r="V341" s="87">
        <f t="shared" si="341"/>
        <v>0</v>
      </c>
      <c r="W341" s="88" t="str">
        <f t="shared" si="9"/>
        <v/>
      </c>
      <c r="X341" s="89">
        <f>IFERROR(S341/D341,"")</f>
        <v>0</v>
      </c>
      <c r="Y341" s="90" t="str">
        <f t="shared" si="10"/>
        <v>ERR</v>
      </c>
      <c r="Z341" s="90">
        <f>IF(H341=0,0,CAPITAL!$H$5*Y341)
</f>
        <v>0</v>
      </c>
      <c r="AA341" s="90">
        <f>IF(I341=0,0,CAPITAL!$H$6*Y341)
</f>
        <v>0</v>
      </c>
      <c r="AB341" s="90">
        <f>IF(J341=0,0,CAPITAL!$H$7*Y341)
</f>
        <v>0</v>
      </c>
      <c r="AC341" s="90"/>
    </row>
    <row r="342">
      <c r="A342" s="104"/>
      <c r="B342" s="101">
        <v>337.0</v>
      </c>
      <c r="C342" s="18" t="str">
        <f>ENTRY!B336</f>
        <v>SILVERBEES</v>
      </c>
      <c r="D342" s="93">
        <f>CAPITAL!$C$2</f>
        <v>3350000</v>
      </c>
      <c r="E342" s="94" t="str">
        <f>ENTRY!C336</f>
        <v/>
      </c>
      <c r="F342" s="95" t="str">
        <f>ENTRY!D336</f>
        <v/>
      </c>
      <c r="G342" s="96" t="str">
        <f>ENTRY!E336</f>
        <v/>
      </c>
      <c r="H342" s="97">
        <f>G342*ENTRY!$O336</f>
        <v>0</v>
      </c>
      <c r="I342" s="97">
        <f>G342*ENTRY!$P336</f>
        <v>0</v>
      </c>
      <c r="J342" s="97">
        <f>G342*ENTRY!$Q336</f>
        <v>0</v>
      </c>
      <c r="K342" s="95">
        <f t="shared" si="2"/>
        <v>0</v>
      </c>
      <c r="L342" s="95" t="str">
        <f>ENTRY!F336</f>
        <v/>
      </c>
      <c r="M342" s="94" t="str">
        <f>ENTRY!G336</f>
        <v/>
      </c>
      <c r="N342" s="98" t="str">
        <f t="shared" si="3"/>
        <v/>
      </c>
      <c r="O342" s="99">
        <f t="shared" si="4"/>
        <v>0</v>
      </c>
      <c r="P342" s="99">
        <f t="shared" si="5"/>
        <v>0</v>
      </c>
      <c r="Q342" s="99">
        <f t="shared" si="6"/>
        <v>0</v>
      </c>
      <c r="R342" s="99">
        <f t="shared" si="7"/>
        <v>0</v>
      </c>
      <c r="S342" s="100" t="str">
        <f t="shared" ref="S342:V342" si="342">IFERROR(O342-Y342,"")
</f>
        <v/>
      </c>
      <c r="T342" s="100">
        <f t="shared" si="342"/>
        <v>0</v>
      </c>
      <c r="U342" s="100">
        <f t="shared" si="342"/>
        <v>0</v>
      </c>
      <c r="V342" s="100">
        <f t="shared" si="342"/>
        <v>0</v>
      </c>
      <c r="W342" s="88" t="str">
        <f t="shared" si="9"/>
        <v/>
      </c>
      <c r="X342" s="89">
        <f>S342/D342</f>
        <v>0</v>
      </c>
      <c r="Y342" s="90" t="str">
        <f t="shared" si="10"/>
        <v>ERR</v>
      </c>
      <c r="Z342" s="90">
        <f>IF(H342=0,0,CAPITAL!$H$5*Y342)
</f>
        <v>0</v>
      </c>
      <c r="AA342" s="90">
        <f>IF(I342=0,0,CAPITAL!$H$6*Y342)
</f>
        <v>0</v>
      </c>
      <c r="AB342" s="90">
        <f>IF(J342=0,0,CAPITAL!$H$7*Y342)
</f>
        <v>0</v>
      </c>
      <c r="AC342" s="90"/>
    </row>
    <row r="343">
      <c r="A343" s="104"/>
      <c r="B343" s="101">
        <v>338.0</v>
      </c>
      <c r="C343" s="79" t="str">
        <f>ENTRY!B337</f>
        <v>SILVERBEES</v>
      </c>
      <c r="D343" s="80">
        <f>CAPITAL!$C$2</f>
        <v>3350000</v>
      </c>
      <c r="E343" s="81" t="str">
        <f>ENTRY!C337</f>
        <v/>
      </c>
      <c r="F343" s="82" t="str">
        <f>ENTRY!D337</f>
        <v/>
      </c>
      <c r="G343" s="83" t="str">
        <f>ENTRY!E337</f>
        <v/>
      </c>
      <c r="H343" s="84">
        <f>G343*ENTRY!$O337</f>
        <v>0</v>
      </c>
      <c r="I343" s="84">
        <f>G343*ENTRY!$P337</f>
        <v>0</v>
      </c>
      <c r="J343" s="84">
        <f>G343*ENTRY!$Q337</f>
        <v>0</v>
      </c>
      <c r="K343" s="82">
        <f t="shared" si="2"/>
        <v>0</v>
      </c>
      <c r="L343" s="82" t="str">
        <f>ENTRY!F337</f>
        <v/>
      </c>
      <c r="M343" s="81" t="str">
        <f>ENTRY!G337</f>
        <v/>
      </c>
      <c r="N343" s="85" t="str">
        <f t="shared" si="3"/>
        <v/>
      </c>
      <c r="O343" s="86">
        <f t="shared" si="4"/>
        <v>0</v>
      </c>
      <c r="P343" s="86">
        <f t="shared" si="5"/>
        <v>0</v>
      </c>
      <c r="Q343" s="86">
        <f t="shared" si="6"/>
        <v>0</v>
      </c>
      <c r="R343" s="86">
        <f t="shared" si="7"/>
        <v>0</v>
      </c>
      <c r="S343" s="87" t="str">
        <f t="shared" ref="S343:V343" si="343">IFERROR(O343-Y343,"")
</f>
        <v/>
      </c>
      <c r="T343" s="87">
        <f t="shared" si="343"/>
        <v>0</v>
      </c>
      <c r="U343" s="87">
        <f t="shared" si="343"/>
        <v>0</v>
      </c>
      <c r="V343" s="87">
        <f t="shared" si="343"/>
        <v>0</v>
      </c>
      <c r="W343" s="88" t="str">
        <f t="shared" si="9"/>
        <v/>
      </c>
      <c r="X343" s="89">
        <f>IFERROR(S343/D343,"")</f>
        <v>0</v>
      </c>
      <c r="Y343" s="90" t="str">
        <f t="shared" si="10"/>
        <v>ERR</v>
      </c>
      <c r="Z343" s="90">
        <f>IF(H343=0,0,CAPITAL!$H$5*Y343)
</f>
        <v>0</v>
      </c>
      <c r="AA343" s="90">
        <f>IF(I343=0,0,CAPITAL!$H$6*Y343)
</f>
        <v>0</v>
      </c>
      <c r="AB343" s="90">
        <f>IF(J343=0,0,CAPITAL!$H$7*Y343)
</f>
        <v>0</v>
      </c>
      <c r="AC343" s="90"/>
    </row>
    <row r="344">
      <c r="A344" s="104"/>
      <c r="B344" s="101">
        <v>339.0</v>
      </c>
      <c r="C344" s="18" t="str">
        <f>ENTRY!B338</f>
        <v>SILVERBEES</v>
      </c>
      <c r="D344" s="93">
        <f>CAPITAL!$C$2</f>
        <v>3350000</v>
      </c>
      <c r="E344" s="94" t="str">
        <f>ENTRY!C338</f>
        <v/>
      </c>
      <c r="F344" s="95" t="str">
        <f>ENTRY!D338</f>
        <v/>
      </c>
      <c r="G344" s="96" t="str">
        <f>ENTRY!E338</f>
        <v/>
      </c>
      <c r="H344" s="97">
        <f>G344*ENTRY!$O338</f>
        <v>0</v>
      </c>
      <c r="I344" s="97">
        <f>G344*ENTRY!$P338</f>
        <v>0</v>
      </c>
      <c r="J344" s="97">
        <f>G344*ENTRY!$Q338</f>
        <v>0</v>
      </c>
      <c r="K344" s="95">
        <f t="shared" si="2"/>
        <v>0</v>
      </c>
      <c r="L344" s="95" t="str">
        <f>ENTRY!F338</f>
        <v/>
      </c>
      <c r="M344" s="94" t="str">
        <f>ENTRY!G338</f>
        <v/>
      </c>
      <c r="N344" s="98" t="str">
        <f t="shared" si="3"/>
        <v/>
      </c>
      <c r="O344" s="99">
        <f t="shared" si="4"/>
        <v>0</v>
      </c>
      <c r="P344" s="99">
        <f t="shared" si="5"/>
        <v>0</v>
      </c>
      <c r="Q344" s="99">
        <f t="shared" si="6"/>
        <v>0</v>
      </c>
      <c r="R344" s="99">
        <f t="shared" si="7"/>
        <v>0</v>
      </c>
      <c r="S344" s="100" t="str">
        <f t="shared" ref="S344:V344" si="344">IFERROR(O344-Y344,"")
</f>
        <v/>
      </c>
      <c r="T344" s="100">
        <f t="shared" si="344"/>
        <v>0</v>
      </c>
      <c r="U344" s="100">
        <f t="shared" si="344"/>
        <v>0</v>
      </c>
      <c r="V344" s="100">
        <f t="shared" si="344"/>
        <v>0</v>
      </c>
      <c r="W344" s="88" t="str">
        <f t="shared" si="9"/>
        <v/>
      </c>
      <c r="X344" s="89">
        <f>S344/D344</f>
        <v>0</v>
      </c>
      <c r="Y344" s="90" t="str">
        <f t="shared" si="10"/>
        <v>ERR</v>
      </c>
      <c r="Z344" s="90">
        <f>IF(H344=0,0,CAPITAL!$H$5*Y344)
</f>
        <v>0</v>
      </c>
      <c r="AA344" s="90">
        <f>IF(I344=0,0,CAPITAL!$H$6*Y344)
</f>
        <v>0</v>
      </c>
      <c r="AB344" s="90">
        <f>IF(J344=0,0,CAPITAL!$H$7*Y344)
</f>
        <v>0</v>
      </c>
      <c r="AC344" s="90"/>
    </row>
    <row r="345">
      <c r="A345" s="104"/>
      <c r="B345" s="101">
        <v>340.0</v>
      </c>
      <c r="C345" s="79" t="str">
        <f>ENTRY!B339</f>
        <v>SILVERBEES</v>
      </c>
      <c r="D345" s="80">
        <f>CAPITAL!$C$2</f>
        <v>3350000</v>
      </c>
      <c r="E345" s="81" t="str">
        <f>ENTRY!C339</f>
        <v/>
      </c>
      <c r="F345" s="82" t="str">
        <f>ENTRY!D339</f>
        <v/>
      </c>
      <c r="G345" s="83" t="str">
        <f>ENTRY!E339</f>
        <v/>
      </c>
      <c r="H345" s="84">
        <f>G345*ENTRY!$O339</f>
        <v>0</v>
      </c>
      <c r="I345" s="84">
        <f>G345*ENTRY!$P339</f>
        <v>0</v>
      </c>
      <c r="J345" s="84">
        <f>G345*ENTRY!$Q339</f>
        <v>0</v>
      </c>
      <c r="K345" s="82">
        <f t="shared" si="2"/>
        <v>0</v>
      </c>
      <c r="L345" s="82" t="str">
        <f>ENTRY!F339</f>
        <v/>
      </c>
      <c r="M345" s="81" t="str">
        <f>ENTRY!G339</f>
        <v/>
      </c>
      <c r="N345" s="85" t="str">
        <f t="shared" si="3"/>
        <v/>
      </c>
      <c r="O345" s="86">
        <f t="shared" si="4"/>
        <v>0</v>
      </c>
      <c r="P345" s="86">
        <f t="shared" si="5"/>
        <v>0</v>
      </c>
      <c r="Q345" s="86">
        <f t="shared" si="6"/>
        <v>0</v>
      </c>
      <c r="R345" s="86">
        <f t="shared" si="7"/>
        <v>0</v>
      </c>
      <c r="S345" s="87" t="str">
        <f t="shared" ref="S345:V345" si="345">IFERROR(O345-Y345,"")
</f>
        <v/>
      </c>
      <c r="T345" s="87">
        <f t="shared" si="345"/>
        <v>0</v>
      </c>
      <c r="U345" s="87">
        <f t="shared" si="345"/>
        <v>0</v>
      </c>
      <c r="V345" s="87">
        <f t="shared" si="345"/>
        <v>0</v>
      </c>
      <c r="W345" s="88" t="str">
        <f t="shared" si="9"/>
        <v/>
      </c>
      <c r="X345" s="89">
        <f>IFERROR(S345/D345,"")</f>
        <v>0</v>
      </c>
      <c r="Y345" s="90" t="str">
        <f t="shared" si="10"/>
        <v>ERR</v>
      </c>
      <c r="Z345" s="90">
        <f>IF(H345=0,0,CAPITAL!$H$5*Y345)
</f>
        <v>0</v>
      </c>
      <c r="AA345" s="90">
        <f>IF(I345=0,0,CAPITAL!$H$6*Y345)
</f>
        <v>0</v>
      </c>
      <c r="AB345" s="90">
        <f>IF(J345=0,0,CAPITAL!$H$7*Y345)
</f>
        <v>0</v>
      </c>
      <c r="AC345" s="90"/>
    </row>
    <row r="346">
      <c r="A346" s="104"/>
      <c r="B346" s="101">
        <v>341.0</v>
      </c>
      <c r="C346" s="18" t="str">
        <f>ENTRY!B340</f>
        <v>SILVERBEES</v>
      </c>
      <c r="D346" s="93">
        <f>CAPITAL!$C$2</f>
        <v>3350000</v>
      </c>
      <c r="E346" s="94" t="str">
        <f>ENTRY!C340</f>
        <v/>
      </c>
      <c r="F346" s="95" t="str">
        <f>ENTRY!D340</f>
        <v/>
      </c>
      <c r="G346" s="96" t="str">
        <f>ENTRY!E340</f>
        <v/>
      </c>
      <c r="H346" s="97">
        <f>G346*ENTRY!$O340</f>
        <v>0</v>
      </c>
      <c r="I346" s="97">
        <f>G346*ENTRY!$P340</f>
        <v>0</v>
      </c>
      <c r="J346" s="97">
        <f>G346*ENTRY!$Q340</f>
        <v>0</v>
      </c>
      <c r="K346" s="95">
        <f t="shared" si="2"/>
        <v>0</v>
      </c>
      <c r="L346" s="95" t="str">
        <f>ENTRY!F340</f>
        <v/>
      </c>
      <c r="M346" s="94" t="str">
        <f>ENTRY!G340</f>
        <v/>
      </c>
      <c r="N346" s="98" t="str">
        <f t="shared" si="3"/>
        <v/>
      </c>
      <c r="O346" s="99">
        <f t="shared" si="4"/>
        <v>0</v>
      </c>
      <c r="P346" s="99">
        <f t="shared" si="5"/>
        <v>0</v>
      </c>
      <c r="Q346" s="99">
        <f t="shared" si="6"/>
        <v>0</v>
      </c>
      <c r="R346" s="99">
        <f t="shared" si="7"/>
        <v>0</v>
      </c>
      <c r="S346" s="100" t="str">
        <f t="shared" ref="S346:V346" si="346">IFERROR(O346-Y346,"")
</f>
        <v/>
      </c>
      <c r="T346" s="100">
        <f t="shared" si="346"/>
        <v>0</v>
      </c>
      <c r="U346" s="100">
        <f t="shared" si="346"/>
        <v>0</v>
      </c>
      <c r="V346" s="100">
        <f t="shared" si="346"/>
        <v>0</v>
      </c>
      <c r="W346" s="88" t="str">
        <f t="shared" si="9"/>
        <v/>
      </c>
      <c r="X346" s="89">
        <f>S346/D346</f>
        <v>0</v>
      </c>
      <c r="Y346" s="90" t="str">
        <f t="shared" si="10"/>
        <v>ERR</v>
      </c>
      <c r="Z346" s="90">
        <f>IF(H346=0,0,CAPITAL!$H$5*Y346)
</f>
        <v>0</v>
      </c>
      <c r="AA346" s="90">
        <f>IF(I346=0,0,CAPITAL!$H$6*Y346)
</f>
        <v>0</v>
      </c>
      <c r="AB346" s="90">
        <f>IF(J346=0,0,CAPITAL!$H$7*Y346)
</f>
        <v>0</v>
      </c>
      <c r="AC346" s="90"/>
    </row>
    <row r="347">
      <c r="A347" s="104"/>
      <c r="B347" s="101">
        <v>342.0</v>
      </c>
      <c r="C347" s="79" t="str">
        <f>ENTRY!B341</f>
        <v>SILVERBEES</v>
      </c>
      <c r="D347" s="80">
        <f>CAPITAL!$C$2</f>
        <v>3350000</v>
      </c>
      <c r="E347" s="81" t="str">
        <f>ENTRY!C341</f>
        <v/>
      </c>
      <c r="F347" s="82" t="str">
        <f>ENTRY!D341</f>
        <v/>
      </c>
      <c r="G347" s="83" t="str">
        <f>ENTRY!E341</f>
        <v/>
      </c>
      <c r="H347" s="84">
        <f>G347*ENTRY!$O341</f>
        <v>0</v>
      </c>
      <c r="I347" s="84">
        <f>G347*ENTRY!$P341</f>
        <v>0</v>
      </c>
      <c r="J347" s="84">
        <f>G347*ENTRY!$Q341</f>
        <v>0</v>
      </c>
      <c r="K347" s="82">
        <f t="shared" si="2"/>
        <v>0</v>
      </c>
      <c r="L347" s="82" t="str">
        <f>ENTRY!F341</f>
        <v/>
      </c>
      <c r="M347" s="81" t="str">
        <f>ENTRY!G341</f>
        <v/>
      </c>
      <c r="N347" s="85" t="str">
        <f t="shared" si="3"/>
        <v/>
      </c>
      <c r="O347" s="86">
        <f t="shared" si="4"/>
        <v>0</v>
      </c>
      <c r="P347" s="86">
        <f t="shared" si="5"/>
        <v>0</v>
      </c>
      <c r="Q347" s="86">
        <f t="shared" si="6"/>
        <v>0</v>
      </c>
      <c r="R347" s="86">
        <f t="shared" si="7"/>
        <v>0</v>
      </c>
      <c r="S347" s="87" t="str">
        <f t="shared" ref="S347:V347" si="347">IFERROR(O347-Y347,"")
</f>
        <v/>
      </c>
      <c r="T347" s="87">
        <f t="shared" si="347"/>
        <v>0</v>
      </c>
      <c r="U347" s="87">
        <f t="shared" si="347"/>
        <v>0</v>
      </c>
      <c r="V347" s="87">
        <f t="shared" si="347"/>
        <v>0</v>
      </c>
      <c r="W347" s="88" t="str">
        <f t="shared" si="9"/>
        <v/>
      </c>
      <c r="X347" s="89">
        <f>IFERROR(S347/D347,"")</f>
        <v>0</v>
      </c>
      <c r="Y347" s="90" t="str">
        <f t="shared" si="10"/>
        <v>ERR</v>
      </c>
      <c r="Z347" s="90">
        <f>IF(H347=0,0,CAPITAL!$H$5*Y347)
</f>
        <v>0</v>
      </c>
      <c r="AA347" s="90">
        <f>IF(I347=0,0,CAPITAL!$H$6*Y347)
</f>
        <v>0</v>
      </c>
      <c r="AB347" s="90">
        <f>IF(J347=0,0,CAPITAL!$H$7*Y347)
</f>
        <v>0</v>
      </c>
      <c r="AC347" s="90"/>
    </row>
    <row r="348">
      <c r="A348" s="104"/>
      <c r="B348" s="101">
        <v>343.0</v>
      </c>
      <c r="C348" s="18" t="str">
        <f>ENTRY!B342</f>
        <v>SILVERBEES</v>
      </c>
      <c r="D348" s="93">
        <f>CAPITAL!$C$2</f>
        <v>3350000</v>
      </c>
      <c r="E348" s="94" t="str">
        <f>ENTRY!C342</f>
        <v/>
      </c>
      <c r="F348" s="95" t="str">
        <f>ENTRY!D342</f>
        <v/>
      </c>
      <c r="G348" s="96" t="str">
        <f>ENTRY!E342</f>
        <v/>
      </c>
      <c r="H348" s="97">
        <f>G348*ENTRY!$O342</f>
        <v>0</v>
      </c>
      <c r="I348" s="97">
        <f>G348*ENTRY!$P342</f>
        <v>0</v>
      </c>
      <c r="J348" s="97">
        <f>G348*ENTRY!$Q342</f>
        <v>0</v>
      </c>
      <c r="K348" s="95">
        <f t="shared" si="2"/>
        <v>0</v>
      </c>
      <c r="L348" s="95" t="str">
        <f>ENTRY!F342</f>
        <v/>
      </c>
      <c r="M348" s="94" t="str">
        <f>ENTRY!G342</f>
        <v/>
      </c>
      <c r="N348" s="98" t="str">
        <f t="shared" si="3"/>
        <v/>
      </c>
      <c r="O348" s="99">
        <f t="shared" si="4"/>
        <v>0</v>
      </c>
      <c r="P348" s="99">
        <f t="shared" si="5"/>
        <v>0</v>
      </c>
      <c r="Q348" s="99">
        <f t="shared" si="6"/>
        <v>0</v>
      </c>
      <c r="R348" s="99">
        <f t="shared" si="7"/>
        <v>0</v>
      </c>
      <c r="S348" s="100" t="str">
        <f t="shared" ref="S348:V348" si="348">IFERROR(O348-Y348,"")
</f>
        <v/>
      </c>
      <c r="T348" s="100">
        <f t="shared" si="348"/>
        <v>0</v>
      </c>
      <c r="U348" s="100">
        <f t="shared" si="348"/>
        <v>0</v>
      </c>
      <c r="V348" s="100">
        <f t="shared" si="348"/>
        <v>0</v>
      </c>
      <c r="W348" s="88" t="str">
        <f t="shared" si="9"/>
        <v/>
      </c>
      <c r="X348" s="89">
        <f>S348/D348</f>
        <v>0</v>
      </c>
      <c r="Y348" s="90" t="str">
        <f t="shared" si="10"/>
        <v>ERR</v>
      </c>
      <c r="Z348" s="90">
        <f>IF(H348=0,0,CAPITAL!$H$5*Y348)
</f>
        <v>0</v>
      </c>
      <c r="AA348" s="90">
        <f>IF(I348=0,0,CAPITAL!$H$6*Y348)
</f>
        <v>0</v>
      </c>
      <c r="AB348" s="90">
        <f>IF(J348=0,0,CAPITAL!$H$7*Y348)
</f>
        <v>0</v>
      </c>
      <c r="AC348" s="90"/>
    </row>
    <row r="349">
      <c r="A349" s="104"/>
      <c r="B349" s="101">
        <v>344.0</v>
      </c>
      <c r="C349" s="79" t="str">
        <f>ENTRY!B343</f>
        <v>SILVERBEES</v>
      </c>
      <c r="D349" s="80">
        <f>CAPITAL!$C$2</f>
        <v>3350000</v>
      </c>
      <c r="E349" s="81" t="str">
        <f>ENTRY!C343</f>
        <v/>
      </c>
      <c r="F349" s="82" t="str">
        <f>ENTRY!D343</f>
        <v/>
      </c>
      <c r="G349" s="83" t="str">
        <f>ENTRY!E343</f>
        <v/>
      </c>
      <c r="H349" s="84">
        <f>G349*ENTRY!$O343</f>
        <v>0</v>
      </c>
      <c r="I349" s="84">
        <f>G349*ENTRY!$P343</f>
        <v>0</v>
      </c>
      <c r="J349" s="84">
        <f>G349*ENTRY!$Q343</f>
        <v>0</v>
      </c>
      <c r="K349" s="82">
        <f t="shared" si="2"/>
        <v>0</v>
      </c>
      <c r="L349" s="82" t="str">
        <f>ENTRY!F343</f>
        <v/>
      </c>
      <c r="M349" s="81" t="str">
        <f>ENTRY!G343</f>
        <v/>
      </c>
      <c r="N349" s="85" t="str">
        <f t="shared" si="3"/>
        <v/>
      </c>
      <c r="O349" s="86">
        <f t="shared" si="4"/>
        <v>0</v>
      </c>
      <c r="P349" s="86">
        <f t="shared" si="5"/>
        <v>0</v>
      </c>
      <c r="Q349" s="86">
        <f t="shared" si="6"/>
        <v>0</v>
      </c>
      <c r="R349" s="86">
        <f t="shared" si="7"/>
        <v>0</v>
      </c>
      <c r="S349" s="87" t="str">
        <f t="shared" ref="S349:V349" si="349">IFERROR(O349-Y349,"")
</f>
        <v/>
      </c>
      <c r="T349" s="87">
        <f t="shared" si="349"/>
        <v>0</v>
      </c>
      <c r="U349" s="87">
        <f t="shared" si="349"/>
        <v>0</v>
      </c>
      <c r="V349" s="87">
        <f t="shared" si="349"/>
        <v>0</v>
      </c>
      <c r="W349" s="88" t="str">
        <f t="shared" si="9"/>
        <v/>
      </c>
      <c r="X349" s="89">
        <f>IFERROR(S349/D349,"")</f>
        <v>0</v>
      </c>
      <c r="Y349" s="90" t="str">
        <f t="shared" si="10"/>
        <v>ERR</v>
      </c>
      <c r="Z349" s="90">
        <f>IF(H349=0,0,CAPITAL!$H$5*Y349)
</f>
        <v>0</v>
      </c>
      <c r="AA349" s="90">
        <f>IF(I349=0,0,CAPITAL!$H$6*Y349)
</f>
        <v>0</v>
      </c>
      <c r="AB349" s="90">
        <f>IF(J349=0,0,CAPITAL!$H$7*Y349)
</f>
        <v>0</v>
      </c>
      <c r="AC349" s="90"/>
    </row>
    <row r="350">
      <c r="A350" s="104"/>
      <c r="B350" s="101">
        <v>345.0</v>
      </c>
      <c r="C350" s="18" t="str">
        <f>ENTRY!B344</f>
        <v>SILVERBEES</v>
      </c>
      <c r="D350" s="93">
        <f>CAPITAL!$C$2</f>
        <v>3350000</v>
      </c>
      <c r="E350" s="94" t="str">
        <f>ENTRY!C344</f>
        <v/>
      </c>
      <c r="F350" s="95" t="str">
        <f>ENTRY!D344</f>
        <v/>
      </c>
      <c r="G350" s="96" t="str">
        <f>ENTRY!E344</f>
        <v/>
      </c>
      <c r="H350" s="97">
        <f>G350*ENTRY!$O344</f>
        <v>0</v>
      </c>
      <c r="I350" s="97">
        <f>G350*ENTRY!$P344</f>
        <v>0</v>
      </c>
      <c r="J350" s="97">
        <f>G350*ENTRY!$Q344</f>
        <v>0</v>
      </c>
      <c r="K350" s="95">
        <f t="shared" si="2"/>
        <v>0</v>
      </c>
      <c r="L350" s="95" t="str">
        <f>ENTRY!F344</f>
        <v/>
      </c>
      <c r="M350" s="94" t="str">
        <f>ENTRY!G344</f>
        <v/>
      </c>
      <c r="N350" s="98" t="str">
        <f t="shared" si="3"/>
        <v/>
      </c>
      <c r="O350" s="99">
        <f t="shared" si="4"/>
        <v>0</v>
      </c>
      <c r="P350" s="99">
        <f t="shared" si="5"/>
        <v>0</v>
      </c>
      <c r="Q350" s="99">
        <f t="shared" si="6"/>
        <v>0</v>
      </c>
      <c r="R350" s="99">
        <f t="shared" si="7"/>
        <v>0</v>
      </c>
      <c r="S350" s="100" t="str">
        <f t="shared" ref="S350:V350" si="350">IFERROR(O350-Y350,"")
</f>
        <v/>
      </c>
      <c r="T350" s="100">
        <f t="shared" si="350"/>
        <v>0</v>
      </c>
      <c r="U350" s="100">
        <f t="shared" si="350"/>
        <v>0</v>
      </c>
      <c r="V350" s="100">
        <f t="shared" si="350"/>
        <v>0</v>
      </c>
      <c r="W350" s="88" t="str">
        <f t="shared" si="9"/>
        <v/>
      </c>
      <c r="X350" s="89">
        <f>S350/D350</f>
        <v>0</v>
      </c>
      <c r="Y350" s="90" t="str">
        <f t="shared" si="10"/>
        <v>ERR</v>
      </c>
      <c r="Z350" s="90">
        <f>IF(H350=0,0,CAPITAL!$H$5*Y350)
</f>
        <v>0</v>
      </c>
      <c r="AA350" s="90">
        <f>IF(I350=0,0,CAPITAL!$H$6*Y350)
</f>
        <v>0</v>
      </c>
      <c r="AB350" s="90">
        <f>IF(J350=0,0,CAPITAL!$H$7*Y350)
</f>
        <v>0</v>
      </c>
      <c r="AC350" s="90"/>
    </row>
    <row r="351">
      <c r="A351" s="104"/>
      <c r="B351" s="101">
        <v>346.0</v>
      </c>
      <c r="C351" s="79" t="str">
        <f>ENTRY!B345</f>
        <v>SILVERBEES</v>
      </c>
      <c r="D351" s="80">
        <f>CAPITAL!$C$2</f>
        <v>3350000</v>
      </c>
      <c r="E351" s="81" t="str">
        <f>ENTRY!C345</f>
        <v/>
      </c>
      <c r="F351" s="82" t="str">
        <f>ENTRY!D345</f>
        <v/>
      </c>
      <c r="G351" s="83" t="str">
        <f>ENTRY!E345</f>
        <v/>
      </c>
      <c r="H351" s="84">
        <f>G351*ENTRY!$O345</f>
        <v>0</v>
      </c>
      <c r="I351" s="84">
        <f>G351*ENTRY!$P345</f>
        <v>0</v>
      </c>
      <c r="J351" s="84">
        <f>G351*ENTRY!$Q345</f>
        <v>0</v>
      </c>
      <c r="K351" s="82">
        <f t="shared" si="2"/>
        <v>0</v>
      </c>
      <c r="L351" s="82" t="str">
        <f>ENTRY!F345</f>
        <v/>
      </c>
      <c r="M351" s="81" t="str">
        <f>ENTRY!G345</f>
        <v/>
      </c>
      <c r="N351" s="85" t="str">
        <f t="shared" si="3"/>
        <v/>
      </c>
      <c r="O351" s="86">
        <f t="shared" si="4"/>
        <v>0</v>
      </c>
      <c r="P351" s="86">
        <f t="shared" si="5"/>
        <v>0</v>
      </c>
      <c r="Q351" s="86">
        <f t="shared" si="6"/>
        <v>0</v>
      </c>
      <c r="R351" s="86">
        <f t="shared" si="7"/>
        <v>0</v>
      </c>
      <c r="S351" s="87" t="str">
        <f t="shared" ref="S351:V351" si="351">IFERROR(O351-Y351,"")
</f>
        <v/>
      </c>
      <c r="T351" s="87">
        <f t="shared" si="351"/>
        <v>0</v>
      </c>
      <c r="U351" s="87">
        <f t="shared" si="351"/>
        <v>0</v>
      </c>
      <c r="V351" s="87">
        <f t="shared" si="351"/>
        <v>0</v>
      </c>
      <c r="W351" s="88" t="str">
        <f t="shared" si="9"/>
        <v/>
      </c>
      <c r="X351" s="89">
        <f>IFERROR(S351/D351,"")</f>
        <v>0</v>
      </c>
      <c r="Y351" s="90" t="str">
        <f t="shared" si="10"/>
        <v>ERR</v>
      </c>
      <c r="Z351" s="90">
        <f>IF(H351=0,0,CAPITAL!$H$5*Y351)
</f>
        <v>0</v>
      </c>
      <c r="AA351" s="90">
        <f>IF(I351=0,0,CAPITAL!$H$6*Y351)
</f>
        <v>0</v>
      </c>
      <c r="AB351" s="90">
        <f>IF(J351=0,0,CAPITAL!$H$7*Y351)
</f>
        <v>0</v>
      </c>
      <c r="AC351" s="90"/>
    </row>
    <row r="352">
      <c r="A352" s="104"/>
      <c r="B352" s="101">
        <v>347.0</v>
      </c>
      <c r="C352" s="18" t="str">
        <f>ENTRY!B346</f>
        <v>SILVERBEES</v>
      </c>
      <c r="D352" s="93">
        <f>CAPITAL!$C$2</f>
        <v>3350000</v>
      </c>
      <c r="E352" s="94" t="str">
        <f>ENTRY!C346</f>
        <v/>
      </c>
      <c r="F352" s="95" t="str">
        <f>ENTRY!D346</f>
        <v/>
      </c>
      <c r="G352" s="96" t="str">
        <f>ENTRY!E346</f>
        <v/>
      </c>
      <c r="H352" s="97">
        <f>G352*ENTRY!$O346</f>
        <v>0</v>
      </c>
      <c r="I352" s="97">
        <f>G352*ENTRY!$P346</f>
        <v>0</v>
      </c>
      <c r="J352" s="97">
        <f>G352*ENTRY!$Q346</f>
        <v>0</v>
      </c>
      <c r="K352" s="95">
        <f t="shared" si="2"/>
        <v>0</v>
      </c>
      <c r="L352" s="95" t="str">
        <f>ENTRY!F346</f>
        <v/>
      </c>
      <c r="M352" s="94" t="str">
        <f>ENTRY!G346</f>
        <v/>
      </c>
      <c r="N352" s="98" t="str">
        <f t="shared" si="3"/>
        <v/>
      </c>
      <c r="O352" s="99">
        <f t="shared" si="4"/>
        <v>0</v>
      </c>
      <c r="P352" s="99">
        <f t="shared" si="5"/>
        <v>0</v>
      </c>
      <c r="Q352" s="99">
        <f t="shared" si="6"/>
        <v>0</v>
      </c>
      <c r="R352" s="99">
        <f t="shared" si="7"/>
        <v>0</v>
      </c>
      <c r="S352" s="100" t="str">
        <f t="shared" ref="S352:V352" si="352">IFERROR(O352-Y352,"")
</f>
        <v/>
      </c>
      <c r="T352" s="100">
        <f t="shared" si="352"/>
        <v>0</v>
      </c>
      <c r="U352" s="100">
        <f t="shared" si="352"/>
        <v>0</v>
      </c>
      <c r="V352" s="100">
        <f t="shared" si="352"/>
        <v>0</v>
      </c>
      <c r="W352" s="88" t="str">
        <f t="shared" si="9"/>
        <v/>
      </c>
      <c r="X352" s="89">
        <f>S352/D352</f>
        <v>0</v>
      </c>
      <c r="Y352" s="90" t="str">
        <f t="shared" si="10"/>
        <v>ERR</v>
      </c>
      <c r="Z352" s="90">
        <f>IF(H352=0,0,CAPITAL!$H$5*Y352)
</f>
        <v>0</v>
      </c>
      <c r="AA352" s="90">
        <f>IF(I352=0,0,CAPITAL!$H$6*Y352)
</f>
        <v>0</v>
      </c>
      <c r="AB352" s="90">
        <f>IF(J352=0,0,CAPITAL!$H$7*Y352)
</f>
        <v>0</v>
      </c>
      <c r="AC352" s="90"/>
    </row>
    <row r="353">
      <c r="A353" s="104"/>
      <c r="B353" s="101">
        <v>348.0</v>
      </c>
      <c r="C353" s="79" t="str">
        <f>ENTRY!B347</f>
        <v>SILVERBEES</v>
      </c>
      <c r="D353" s="80">
        <f>CAPITAL!$C$2</f>
        <v>3350000</v>
      </c>
      <c r="E353" s="81" t="str">
        <f>ENTRY!C347</f>
        <v/>
      </c>
      <c r="F353" s="82" t="str">
        <f>ENTRY!D347</f>
        <v/>
      </c>
      <c r="G353" s="83" t="str">
        <f>ENTRY!E347</f>
        <v/>
      </c>
      <c r="H353" s="84">
        <f>G353*ENTRY!$O347</f>
        <v>0</v>
      </c>
      <c r="I353" s="84">
        <f>G353*ENTRY!$P347</f>
        <v>0</v>
      </c>
      <c r="J353" s="84">
        <f>G353*ENTRY!$Q347</f>
        <v>0</v>
      </c>
      <c r="K353" s="82">
        <f t="shared" si="2"/>
        <v>0</v>
      </c>
      <c r="L353" s="82" t="str">
        <f>ENTRY!F347</f>
        <v/>
      </c>
      <c r="M353" s="81" t="str">
        <f>ENTRY!G347</f>
        <v/>
      </c>
      <c r="N353" s="85" t="str">
        <f t="shared" si="3"/>
        <v/>
      </c>
      <c r="O353" s="86">
        <f t="shared" si="4"/>
        <v>0</v>
      </c>
      <c r="P353" s="86">
        <f t="shared" si="5"/>
        <v>0</v>
      </c>
      <c r="Q353" s="86">
        <f t="shared" si="6"/>
        <v>0</v>
      </c>
      <c r="R353" s="86">
        <f t="shared" si="7"/>
        <v>0</v>
      </c>
      <c r="S353" s="87" t="str">
        <f t="shared" ref="S353:V353" si="353">IFERROR(O353-Y353,"")
</f>
        <v/>
      </c>
      <c r="T353" s="87">
        <f t="shared" si="353"/>
        <v>0</v>
      </c>
      <c r="U353" s="87">
        <f t="shared" si="353"/>
        <v>0</v>
      </c>
      <c r="V353" s="87">
        <f t="shared" si="353"/>
        <v>0</v>
      </c>
      <c r="W353" s="88" t="str">
        <f t="shared" si="9"/>
        <v/>
      </c>
      <c r="X353" s="89">
        <f>IFERROR(S353/D353,"")</f>
        <v>0</v>
      </c>
      <c r="Y353" s="90" t="str">
        <f t="shared" si="10"/>
        <v>ERR</v>
      </c>
      <c r="Z353" s="90">
        <f>IF(H353=0,0,CAPITAL!$H$5*Y353)
</f>
        <v>0</v>
      </c>
      <c r="AA353" s="90">
        <f>IF(I353=0,0,CAPITAL!$H$6*Y353)
</f>
        <v>0</v>
      </c>
      <c r="AB353" s="90">
        <f>IF(J353=0,0,CAPITAL!$H$7*Y353)
</f>
        <v>0</v>
      </c>
      <c r="AC353" s="90"/>
    </row>
    <row r="354">
      <c r="A354" s="104"/>
      <c r="B354" s="101">
        <v>349.0</v>
      </c>
      <c r="C354" s="18" t="str">
        <f>ENTRY!B348</f>
        <v>SILVERBEES</v>
      </c>
      <c r="D354" s="93">
        <f>CAPITAL!$C$2</f>
        <v>3350000</v>
      </c>
      <c r="E354" s="94" t="str">
        <f>ENTRY!C348</f>
        <v/>
      </c>
      <c r="F354" s="95" t="str">
        <f>ENTRY!D348</f>
        <v/>
      </c>
      <c r="G354" s="96" t="str">
        <f>ENTRY!E348</f>
        <v/>
      </c>
      <c r="H354" s="97">
        <f>G354*ENTRY!$O348</f>
        <v>0</v>
      </c>
      <c r="I354" s="97">
        <f>G354*ENTRY!$P348</f>
        <v>0</v>
      </c>
      <c r="J354" s="97">
        <f>G354*ENTRY!$Q348</f>
        <v>0</v>
      </c>
      <c r="K354" s="95">
        <f t="shared" si="2"/>
        <v>0</v>
      </c>
      <c r="L354" s="95" t="str">
        <f>ENTRY!F348</f>
        <v/>
      </c>
      <c r="M354" s="94" t="str">
        <f>ENTRY!G348</f>
        <v/>
      </c>
      <c r="N354" s="98" t="str">
        <f t="shared" si="3"/>
        <v/>
      </c>
      <c r="O354" s="99">
        <f t="shared" si="4"/>
        <v>0</v>
      </c>
      <c r="P354" s="99">
        <f t="shared" si="5"/>
        <v>0</v>
      </c>
      <c r="Q354" s="99">
        <f t="shared" si="6"/>
        <v>0</v>
      </c>
      <c r="R354" s="99">
        <f t="shared" si="7"/>
        <v>0</v>
      </c>
      <c r="S354" s="100" t="str">
        <f t="shared" ref="S354:V354" si="354">IFERROR(O354-Y354,"")
</f>
        <v/>
      </c>
      <c r="T354" s="100">
        <f t="shared" si="354"/>
        <v>0</v>
      </c>
      <c r="U354" s="100">
        <f t="shared" si="354"/>
        <v>0</v>
      </c>
      <c r="V354" s="100">
        <f t="shared" si="354"/>
        <v>0</v>
      </c>
      <c r="W354" s="88" t="str">
        <f t="shared" si="9"/>
        <v/>
      </c>
      <c r="X354" s="89">
        <f>S354/D354</f>
        <v>0</v>
      </c>
      <c r="Y354" s="90" t="str">
        <f t="shared" si="10"/>
        <v>ERR</v>
      </c>
      <c r="Z354" s="90">
        <f>IF(H354=0,0,CAPITAL!$H$5*Y354)
</f>
        <v>0</v>
      </c>
      <c r="AA354" s="90">
        <f>IF(I354=0,0,CAPITAL!$H$6*Y354)
</f>
        <v>0</v>
      </c>
      <c r="AB354" s="90">
        <f>IF(J354=0,0,CAPITAL!$H$7*Y354)
</f>
        <v>0</v>
      </c>
      <c r="AC354" s="90"/>
    </row>
    <row r="355">
      <c r="A355" s="104"/>
      <c r="B355" s="101">
        <v>350.0</v>
      </c>
      <c r="C355" s="79" t="str">
        <f>ENTRY!B349</f>
        <v>SILVERBEES</v>
      </c>
      <c r="D355" s="80">
        <f>CAPITAL!$C$2</f>
        <v>3350000</v>
      </c>
      <c r="E355" s="81" t="str">
        <f>ENTRY!C349</f>
        <v/>
      </c>
      <c r="F355" s="82" t="str">
        <f>ENTRY!D349</f>
        <v/>
      </c>
      <c r="G355" s="83" t="str">
        <f>ENTRY!E349</f>
        <v/>
      </c>
      <c r="H355" s="84">
        <f>G355*ENTRY!$O349</f>
        <v>0</v>
      </c>
      <c r="I355" s="84">
        <f>G355*ENTRY!$P349</f>
        <v>0</v>
      </c>
      <c r="J355" s="84">
        <f>G355*ENTRY!$Q349</f>
        <v>0</v>
      </c>
      <c r="K355" s="82">
        <f t="shared" si="2"/>
        <v>0</v>
      </c>
      <c r="L355" s="82" t="str">
        <f>ENTRY!F349</f>
        <v/>
      </c>
      <c r="M355" s="81" t="str">
        <f>ENTRY!G349</f>
        <v/>
      </c>
      <c r="N355" s="85" t="str">
        <f t="shared" si="3"/>
        <v/>
      </c>
      <c r="O355" s="86">
        <f t="shared" si="4"/>
        <v>0</v>
      </c>
      <c r="P355" s="86">
        <f t="shared" si="5"/>
        <v>0</v>
      </c>
      <c r="Q355" s="86">
        <f t="shared" si="6"/>
        <v>0</v>
      </c>
      <c r="R355" s="86">
        <f t="shared" si="7"/>
        <v>0</v>
      </c>
      <c r="S355" s="87" t="str">
        <f t="shared" ref="S355:V355" si="355">IFERROR(O355-Y355,"")
</f>
        <v/>
      </c>
      <c r="T355" s="87">
        <f t="shared" si="355"/>
        <v>0</v>
      </c>
      <c r="U355" s="87">
        <f t="shared" si="355"/>
        <v>0</v>
      </c>
      <c r="V355" s="87">
        <f t="shared" si="355"/>
        <v>0</v>
      </c>
      <c r="W355" s="88" t="str">
        <f t="shared" si="9"/>
        <v/>
      </c>
      <c r="X355" s="89">
        <f>IFERROR(S355/D355,"")</f>
        <v>0</v>
      </c>
      <c r="Y355" s="90" t="str">
        <f t="shared" si="10"/>
        <v>ERR</v>
      </c>
      <c r="Z355" s="90">
        <f>IF(H355=0,0,CAPITAL!$H$5*Y355)
</f>
        <v>0</v>
      </c>
      <c r="AA355" s="90">
        <f>IF(I355=0,0,CAPITAL!$H$6*Y355)
</f>
        <v>0</v>
      </c>
      <c r="AB355" s="90">
        <f>IF(J355=0,0,CAPITAL!$H$7*Y355)
</f>
        <v>0</v>
      </c>
      <c r="AC355" s="90"/>
    </row>
    <row r="356">
      <c r="A356" s="104"/>
      <c r="B356" s="101">
        <v>351.0</v>
      </c>
      <c r="C356" s="18" t="str">
        <f>ENTRY!B350</f>
        <v>SILVERBEES</v>
      </c>
      <c r="D356" s="93">
        <f>CAPITAL!$C$2</f>
        <v>3350000</v>
      </c>
      <c r="E356" s="94" t="str">
        <f>ENTRY!C350</f>
        <v/>
      </c>
      <c r="F356" s="95" t="str">
        <f>ENTRY!D350</f>
        <v/>
      </c>
      <c r="G356" s="96" t="str">
        <f>ENTRY!E350</f>
        <v/>
      </c>
      <c r="H356" s="97">
        <f>G356*ENTRY!$O350</f>
        <v>0</v>
      </c>
      <c r="I356" s="97">
        <f>G356*ENTRY!$P350</f>
        <v>0</v>
      </c>
      <c r="J356" s="97">
        <f>G356*ENTRY!$Q350</f>
        <v>0</v>
      </c>
      <c r="K356" s="95">
        <f t="shared" si="2"/>
        <v>0</v>
      </c>
      <c r="L356" s="95" t="str">
        <f>ENTRY!F350</f>
        <v/>
      </c>
      <c r="M356" s="94" t="str">
        <f>ENTRY!G350</f>
        <v/>
      </c>
      <c r="N356" s="98" t="str">
        <f t="shared" si="3"/>
        <v/>
      </c>
      <c r="O356" s="99">
        <f t="shared" si="4"/>
        <v>0</v>
      </c>
      <c r="P356" s="99">
        <f t="shared" si="5"/>
        <v>0</v>
      </c>
      <c r="Q356" s="99">
        <f t="shared" si="6"/>
        <v>0</v>
      </c>
      <c r="R356" s="99">
        <f t="shared" si="7"/>
        <v>0</v>
      </c>
      <c r="S356" s="100" t="str">
        <f t="shared" ref="S356:V356" si="356">IFERROR(O356-Y356,"")
</f>
        <v/>
      </c>
      <c r="T356" s="100">
        <f t="shared" si="356"/>
        <v>0</v>
      </c>
      <c r="U356" s="100">
        <f t="shared" si="356"/>
        <v>0</v>
      </c>
      <c r="V356" s="100">
        <f t="shared" si="356"/>
        <v>0</v>
      </c>
      <c r="W356" s="88" t="str">
        <f t="shared" si="9"/>
        <v/>
      </c>
      <c r="X356" s="89">
        <f>S356/D356</f>
        <v>0</v>
      </c>
      <c r="Y356" s="90" t="str">
        <f t="shared" si="10"/>
        <v>ERR</v>
      </c>
      <c r="Z356" s="90">
        <f>IF(H356=0,0,CAPITAL!$H$5*Y356)
</f>
        <v>0</v>
      </c>
      <c r="AA356" s="90">
        <f>IF(I356=0,0,CAPITAL!$H$6*Y356)
</f>
        <v>0</v>
      </c>
      <c r="AB356" s="90">
        <f>IF(J356=0,0,CAPITAL!$H$7*Y356)
</f>
        <v>0</v>
      </c>
      <c r="AC356" s="90"/>
    </row>
    <row r="357">
      <c r="A357" s="104"/>
      <c r="B357" s="101">
        <v>352.0</v>
      </c>
      <c r="C357" s="79" t="str">
        <f>ENTRY!B351</f>
        <v>SILVERBEES</v>
      </c>
      <c r="D357" s="80">
        <f>CAPITAL!$C$2</f>
        <v>3350000</v>
      </c>
      <c r="E357" s="81" t="str">
        <f>ENTRY!C351</f>
        <v/>
      </c>
      <c r="F357" s="82" t="str">
        <f>ENTRY!D351</f>
        <v/>
      </c>
      <c r="G357" s="83" t="str">
        <f>ENTRY!E351</f>
        <v/>
      </c>
      <c r="H357" s="84">
        <f>G357*ENTRY!$O351</f>
        <v>0</v>
      </c>
      <c r="I357" s="84">
        <f>G357*ENTRY!$P351</f>
        <v>0</v>
      </c>
      <c r="J357" s="84">
        <f>G357*ENTRY!$Q351</f>
        <v>0</v>
      </c>
      <c r="K357" s="82">
        <f t="shared" si="2"/>
        <v>0</v>
      </c>
      <c r="L357" s="82" t="str">
        <f>ENTRY!F351</f>
        <v/>
      </c>
      <c r="M357" s="81" t="str">
        <f>ENTRY!G351</f>
        <v/>
      </c>
      <c r="N357" s="85" t="str">
        <f t="shared" si="3"/>
        <v/>
      </c>
      <c r="O357" s="86">
        <f t="shared" si="4"/>
        <v>0</v>
      </c>
      <c r="P357" s="86">
        <f t="shared" si="5"/>
        <v>0</v>
      </c>
      <c r="Q357" s="86">
        <f t="shared" si="6"/>
        <v>0</v>
      </c>
      <c r="R357" s="86">
        <f t="shared" si="7"/>
        <v>0</v>
      </c>
      <c r="S357" s="87" t="str">
        <f t="shared" ref="S357:V357" si="357">IFERROR(O357-Y357,"")
</f>
        <v/>
      </c>
      <c r="T357" s="87">
        <f t="shared" si="357"/>
        <v>0</v>
      </c>
      <c r="U357" s="87">
        <f t="shared" si="357"/>
        <v>0</v>
      </c>
      <c r="V357" s="87">
        <f t="shared" si="357"/>
        <v>0</v>
      </c>
      <c r="W357" s="88" t="str">
        <f t="shared" si="9"/>
        <v/>
      </c>
      <c r="X357" s="89">
        <f>IFERROR(S357/D357,"")</f>
        <v>0</v>
      </c>
      <c r="Y357" s="90" t="str">
        <f t="shared" si="10"/>
        <v>ERR</v>
      </c>
      <c r="Z357" s="90">
        <f>IF(H357=0,0,CAPITAL!$H$5*Y357)
</f>
        <v>0</v>
      </c>
      <c r="AA357" s="90">
        <f>IF(I357=0,0,CAPITAL!$H$6*Y357)
</f>
        <v>0</v>
      </c>
      <c r="AB357" s="90">
        <f>IF(J357=0,0,CAPITAL!$H$7*Y357)
</f>
        <v>0</v>
      </c>
      <c r="AC357" s="90"/>
    </row>
    <row r="358">
      <c r="A358" s="104"/>
      <c r="B358" s="101">
        <v>353.0</v>
      </c>
      <c r="C358" s="18" t="str">
        <f>ENTRY!B352</f>
        <v>SILVERBEES</v>
      </c>
      <c r="D358" s="93">
        <f>CAPITAL!$C$2</f>
        <v>3350000</v>
      </c>
      <c r="E358" s="94" t="str">
        <f>ENTRY!C352</f>
        <v/>
      </c>
      <c r="F358" s="95" t="str">
        <f>ENTRY!D352</f>
        <v/>
      </c>
      <c r="G358" s="96" t="str">
        <f>ENTRY!E352</f>
        <v/>
      </c>
      <c r="H358" s="97">
        <f>G358*ENTRY!$O352</f>
        <v>0</v>
      </c>
      <c r="I358" s="97">
        <f>G358*ENTRY!$P352</f>
        <v>0</v>
      </c>
      <c r="J358" s="97">
        <f>G358*ENTRY!$Q352</f>
        <v>0</v>
      </c>
      <c r="K358" s="95">
        <f t="shared" si="2"/>
        <v>0</v>
      </c>
      <c r="L358" s="95" t="str">
        <f>ENTRY!F352</f>
        <v/>
      </c>
      <c r="M358" s="94" t="str">
        <f>ENTRY!G352</f>
        <v/>
      </c>
      <c r="N358" s="98" t="str">
        <f t="shared" si="3"/>
        <v/>
      </c>
      <c r="O358" s="99">
        <f t="shared" si="4"/>
        <v>0</v>
      </c>
      <c r="P358" s="99">
        <f t="shared" si="5"/>
        <v>0</v>
      </c>
      <c r="Q358" s="99">
        <f t="shared" si="6"/>
        <v>0</v>
      </c>
      <c r="R358" s="99">
        <f t="shared" si="7"/>
        <v>0</v>
      </c>
      <c r="S358" s="100" t="str">
        <f t="shared" ref="S358:V358" si="358">IFERROR(O358-Y358,"")
</f>
        <v/>
      </c>
      <c r="T358" s="100">
        <f t="shared" si="358"/>
        <v>0</v>
      </c>
      <c r="U358" s="100">
        <f t="shared" si="358"/>
        <v>0</v>
      </c>
      <c r="V358" s="100">
        <f t="shared" si="358"/>
        <v>0</v>
      </c>
      <c r="W358" s="88" t="str">
        <f t="shared" si="9"/>
        <v/>
      </c>
      <c r="X358" s="89">
        <f>S358/D358</f>
        <v>0</v>
      </c>
      <c r="Y358" s="90" t="str">
        <f t="shared" si="10"/>
        <v>ERR</v>
      </c>
      <c r="Z358" s="90">
        <f>IF(H358=0,0,CAPITAL!$H$5*Y358)
</f>
        <v>0</v>
      </c>
      <c r="AA358" s="90">
        <f>IF(I358=0,0,CAPITAL!$H$6*Y358)
</f>
        <v>0</v>
      </c>
      <c r="AB358" s="90">
        <f>IF(J358=0,0,CAPITAL!$H$7*Y358)
</f>
        <v>0</v>
      </c>
      <c r="AC358" s="90"/>
    </row>
    <row r="359">
      <c r="A359" s="104"/>
      <c r="B359" s="101">
        <v>354.0</v>
      </c>
      <c r="C359" s="79" t="str">
        <f>ENTRY!B353</f>
        <v>SILVERBEES</v>
      </c>
      <c r="D359" s="80">
        <f>CAPITAL!$C$2</f>
        <v>3350000</v>
      </c>
      <c r="E359" s="81" t="str">
        <f>ENTRY!C353</f>
        <v/>
      </c>
      <c r="F359" s="82" t="str">
        <f>ENTRY!D353</f>
        <v/>
      </c>
      <c r="G359" s="83" t="str">
        <f>ENTRY!E353</f>
        <v/>
      </c>
      <c r="H359" s="84">
        <f>G359*ENTRY!$O353</f>
        <v>0</v>
      </c>
      <c r="I359" s="84">
        <f>G359*ENTRY!$P353</f>
        <v>0</v>
      </c>
      <c r="J359" s="84">
        <f>G359*ENTRY!$Q353</f>
        <v>0</v>
      </c>
      <c r="K359" s="82">
        <f t="shared" si="2"/>
        <v>0</v>
      </c>
      <c r="L359" s="82" t="str">
        <f>ENTRY!F353</f>
        <v/>
      </c>
      <c r="M359" s="81" t="str">
        <f>ENTRY!G353</f>
        <v/>
      </c>
      <c r="N359" s="85" t="str">
        <f t="shared" si="3"/>
        <v/>
      </c>
      <c r="O359" s="86">
        <f t="shared" si="4"/>
        <v>0</v>
      </c>
      <c r="P359" s="86">
        <f t="shared" si="5"/>
        <v>0</v>
      </c>
      <c r="Q359" s="86">
        <f t="shared" si="6"/>
        <v>0</v>
      </c>
      <c r="R359" s="86">
        <f t="shared" si="7"/>
        <v>0</v>
      </c>
      <c r="S359" s="87" t="str">
        <f t="shared" ref="S359:V359" si="359">IFERROR(O359-Y359,"")
</f>
        <v/>
      </c>
      <c r="T359" s="87">
        <f t="shared" si="359"/>
        <v>0</v>
      </c>
      <c r="U359" s="87">
        <f t="shared" si="359"/>
        <v>0</v>
      </c>
      <c r="V359" s="87">
        <f t="shared" si="359"/>
        <v>0</v>
      </c>
      <c r="W359" s="88" t="str">
        <f t="shared" si="9"/>
        <v/>
      </c>
      <c r="X359" s="89">
        <f>IFERROR(S359/D359,"")</f>
        <v>0</v>
      </c>
      <c r="Y359" s="90" t="str">
        <f t="shared" si="10"/>
        <v>ERR</v>
      </c>
      <c r="Z359" s="90">
        <f>IF(H359=0,0,CAPITAL!$H$5*Y359)
</f>
        <v>0</v>
      </c>
      <c r="AA359" s="90">
        <f>IF(I359=0,0,CAPITAL!$H$6*Y359)
</f>
        <v>0</v>
      </c>
      <c r="AB359" s="90">
        <f>IF(J359=0,0,CAPITAL!$H$7*Y359)
</f>
        <v>0</v>
      </c>
      <c r="AC359" s="90"/>
    </row>
    <row r="360">
      <c r="A360" s="104"/>
      <c r="B360" s="101">
        <v>355.0</v>
      </c>
      <c r="C360" s="18" t="str">
        <f>ENTRY!B354</f>
        <v>SILVERBEES</v>
      </c>
      <c r="D360" s="93">
        <f>CAPITAL!$C$2</f>
        <v>3350000</v>
      </c>
      <c r="E360" s="94" t="str">
        <f>ENTRY!C354</f>
        <v/>
      </c>
      <c r="F360" s="95" t="str">
        <f>ENTRY!D354</f>
        <v/>
      </c>
      <c r="G360" s="96" t="str">
        <f>ENTRY!E354</f>
        <v/>
      </c>
      <c r="H360" s="97">
        <f>G360*ENTRY!$O354</f>
        <v>0</v>
      </c>
      <c r="I360" s="97">
        <f>G360*ENTRY!$P354</f>
        <v>0</v>
      </c>
      <c r="J360" s="97">
        <f>G360*ENTRY!$Q354</f>
        <v>0</v>
      </c>
      <c r="K360" s="95">
        <f t="shared" si="2"/>
        <v>0</v>
      </c>
      <c r="L360" s="95" t="str">
        <f>ENTRY!F354</f>
        <v/>
      </c>
      <c r="M360" s="94" t="str">
        <f>ENTRY!G354</f>
        <v/>
      </c>
      <c r="N360" s="98" t="str">
        <f t="shared" si="3"/>
        <v/>
      </c>
      <c r="O360" s="99">
        <f t="shared" si="4"/>
        <v>0</v>
      </c>
      <c r="P360" s="99">
        <f t="shared" si="5"/>
        <v>0</v>
      </c>
      <c r="Q360" s="99">
        <f t="shared" si="6"/>
        <v>0</v>
      </c>
      <c r="R360" s="99">
        <f t="shared" si="7"/>
        <v>0</v>
      </c>
      <c r="S360" s="100" t="str">
        <f t="shared" ref="S360:V360" si="360">IFERROR(O360-Y360,"")
</f>
        <v/>
      </c>
      <c r="T360" s="100">
        <f t="shared" si="360"/>
        <v>0</v>
      </c>
      <c r="U360" s="100">
        <f t="shared" si="360"/>
        <v>0</v>
      </c>
      <c r="V360" s="100">
        <f t="shared" si="360"/>
        <v>0</v>
      </c>
      <c r="W360" s="88" t="str">
        <f t="shared" si="9"/>
        <v/>
      </c>
      <c r="X360" s="89">
        <f>S360/D360</f>
        <v>0</v>
      </c>
      <c r="Y360" s="90" t="str">
        <f t="shared" si="10"/>
        <v>ERR</v>
      </c>
      <c r="Z360" s="90">
        <f>IF(H360=0,0,CAPITAL!$H$5*Y360)
</f>
        <v>0</v>
      </c>
      <c r="AA360" s="90">
        <f>IF(I360=0,0,CAPITAL!$H$6*Y360)
</f>
        <v>0</v>
      </c>
      <c r="AB360" s="90">
        <f>IF(J360=0,0,CAPITAL!$H$7*Y360)
</f>
        <v>0</v>
      </c>
      <c r="AC360" s="90"/>
    </row>
    <row r="361">
      <c r="A361" s="104"/>
      <c r="B361" s="101">
        <v>356.0</v>
      </c>
      <c r="C361" s="79" t="str">
        <f>ENTRY!B355</f>
        <v>SILVERBEES</v>
      </c>
      <c r="D361" s="80">
        <f>CAPITAL!$C$2</f>
        <v>3350000</v>
      </c>
      <c r="E361" s="81" t="str">
        <f>ENTRY!C355</f>
        <v/>
      </c>
      <c r="F361" s="82" t="str">
        <f>ENTRY!D355</f>
        <v/>
      </c>
      <c r="G361" s="83" t="str">
        <f>ENTRY!E355</f>
        <v/>
      </c>
      <c r="H361" s="84">
        <f>G361*ENTRY!$O355</f>
        <v>0</v>
      </c>
      <c r="I361" s="84">
        <f>G361*ENTRY!$P355</f>
        <v>0</v>
      </c>
      <c r="J361" s="84">
        <f>G361*ENTRY!$Q355</f>
        <v>0</v>
      </c>
      <c r="K361" s="82">
        <f t="shared" si="2"/>
        <v>0</v>
      </c>
      <c r="L361" s="82" t="str">
        <f>ENTRY!F355</f>
        <v/>
      </c>
      <c r="M361" s="81" t="str">
        <f>ENTRY!G355</f>
        <v/>
      </c>
      <c r="N361" s="85" t="str">
        <f t="shared" si="3"/>
        <v/>
      </c>
      <c r="O361" s="86">
        <f t="shared" si="4"/>
        <v>0</v>
      </c>
      <c r="P361" s="86">
        <f t="shared" si="5"/>
        <v>0</v>
      </c>
      <c r="Q361" s="86">
        <f t="shared" si="6"/>
        <v>0</v>
      </c>
      <c r="R361" s="86">
        <f t="shared" si="7"/>
        <v>0</v>
      </c>
      <c r="S361" s="87" t="str">
        <f t="shared" ref="S361:V361" si="361">IFERROR(O361-Y361,"")
</f>
        <v/>
      </c>
      <c r="T361" s="87">
        <f t="shared" si="361"/>
        <v>0</v>
      </c>
      <c r="U361" s="87">
        <f t="shared" si="361"/>
        <v>0</v>
      </c>
      <c r="V361" s="87">
        <f t="shared" si="361"/>
        <v>0</v>
      </c>
      <c r="W361" s="88" t="str">
        <f t="shared" si="9"/>
        <v/>
      </c>
      <c r="X361" s="89">
        <f>IFERROR(S361/D361,"")</f>
        <v>0</v>
      </c>
      <c r="Y361" s="90" t="str">
        <f t="shared" si="10"/>
        <v>ERR</v>
      </c>
      <c r="Z361" s="90">
        <f>IF(H361=0,0,CAPITAL!$H$5*Y361)
</f>
        <v>0</v>
      </c>
      <c r="AA361" s="90">
        <f>IF(I361=0,0,CAPITAL!$H$6*Y361)
</f>
        <v>0</v>
      </c>
      <c r="AB361" s="90">
        <f>IF(J361=0,0,CAPITAL!$H$7*Y361)
</f>
        <v>0</v>
      </c>
      <c r="AC361" s="90"/>
    </row>
    <row r="362">
      <c r="A362" s="104"/>
      <c r="B362" s="101">
        <v>357.0</v>
      </c>
      <c r="C362" s="18" t="str">
        <f>ENTRY!B356</f>
        <v>SILVERBEES</v>
      </c>
      <c r="D362" s="93">
        <f>CAPITAL!$C$2</f>
        <v>3350000</v>
      </c>
      <c r="E362" s="94" t="str">
        <f>ENTRY!C356</f>
        <v/>
      </c>
      <c r="F362" s="95" t="str">
        <f>ENTRY!D356</f>
        <v/>
      </c>
      <c r="G362" s="96" t="str">
        <f>ENTRY!E356</f>
        <v/>
      </c>
      <c r="H362" s="97">
        <f>G362*ENTRY!$O356</f>
        <v>0</v>
      </c>
      <c r="I362" s="97">
        <f>G362*ENTRY!$P356</f>
        <v>0</v>
      </c>
      <c r="J362" s="97">
        <f>G362*ENTRY!$Q356</f>
        <v>0</v>
      </c>
      <c r="K362" s="95">
        <f t="shared" si="2"/>
        <v>0</v>
      </c>
      <c r="L362" s="95" t="str">
        <f>ENTRY!F356</f>
        <v/>
      </c>
      <c r="M362" s="94" t="str">
        <f>ENTRY!G356</f>
        <v/>
      </c>
      <c r="N362" s="98" t="str">
        <f t="shared" si="3"/>
        <v/>
      </c>
      <c r="O362" s="99">
        <f t="shared" si="4"/>
        <v>0</v>
      </c>
      <c r="P362" s="99">
        <f t="shared" si="5"/>
        <v>0</v>
      </c>
      <c r="Q362" s="99">
        <f t="shared" si="6"/>
        <v>0</v>
      </c>
      <c r="R362" s="99">
        <f t="shared" si="7"/>
        <v>0</v>
      </c>
      <c r="S362" s="100" t="str">
        <f t="shared" ref="S362:V362" si="362">IFERROR(O362-Y362,"")
</f>
        <v/>
      </c>
      <c r="T362" s="100">
        <f t="shared" si="362"/>
        <v>0</v>
      </c>
      <c r="U362" s="100">
        <f t="shared" si="362"/>
        <v>0</v>
      </c>
      <c r="V362" s="100">
        <f t="shared" si="362"/>
        <v>0</v>
      </c>
      <c r="W362" s="88" t="str">
        <f t="shared" si="9"/>
        <v/>
      </c>
      <c r="X362" s="89">
        <f>S362/D362</f>
        <v>0</v>
      </c>
      <c r="Y362" s="90" t="str">
        <f t="shared" si="10"/>
        <v>ERR</v>
      </c>
      <c r="Z362" s="90">
        <f>IF(H362=0,0,CAPITAL!$H$5*Y362)
</f>
        <v>0</v>
      </c>
      <c r="AA362" s="90">
        <f>IF(I362=0,0,CAPITAL!$H$6*Y362)
</f>
        <v>0</v>
      </c>
      <c r="AB362" s="90">
        <f>IF(J362=0,0,CAPITAL!$H$7*Y362)
</f>
        <v>0</v>
      </c>
      <c r="AC362" s="90"/>
    </row>
    <row r="363">
      <c r="A363" s="104"/>
      <c r="B363" s="101">
        <v>358.0</v>
      </c>
      <c r="C363" s="79" t="str">
        <f>ENTRY!B357</f>
        <v>SILVERBEES</v>
      </c>
      <c r="D363" s="80">
        <f>CAPITAL!$C$2</f>
        <v>3350000</v>
      </c>
      <c r="E363" s="81" t="str">
        <f>ENTRY!C357</f>
        <v/>
      </c>
      <c r="F363" s="82" t="str">
        <f>ENTRY!D357</f>
        <v/>
      </c>
      <c r="G363" s="83" t="str">
        <f>ENTRY!E357</f>
        <v/>
      </c>
      <c r="H363" s="84">
        <f>G363*ENTRY!$O357</f>
        <v>0</v>
      </c>
      <c r="I363" s="84">
        <f>G363*ENTRY!$P357</f>
        <v>0</v>
      </c>
      <c r="J363" s="84">
        <f>G363*ENTRY!$Q357</f>
        <v>0</v>
      </c>
      <c r="K363" s="82">
        <f t="shared" si="2"/>
        <v>0</v>
      </c>
      <c r="L363" s="82" t="str">
        <f>ENTRY!F357</f>
        <v/>
      </c>
      <c r="M363" s="81" t="str">
        <f>ENTRY!G357</f>
        <v/>
      </c>
      <c r="N363" s="85" t="str">
        <f t="shared" si="3"/>
        <v/>
      </c>
      <c r="O363" s="86">
        <f t="shared" si="4"/>
        <v>0</v>
      </c>
      <c r="P363" s="86">
        <f t="shared" si="5"/>
        <v>0</v>
      </c>
      <c r="Q363" s="86">
        <f t="shared" si="6"/>
        <v>0</v>
      </c>
      <c r="R363" s="86">
        <f t="shared" si="7"/>
        <v>0</v>
      </c>
      <c r="S363" s="87" t="str">
        <f t="shared" ref="S363:V363" si="363">IFERROR(O363-Y363,"")
</f>
        <v/>
      </c>
      <c r="T363" s="87">
        <f t="shared" si="363"/>
        <v>0</v>
      </c>
      <c r="U363" s="87">
        <f t="shared" si="363"/>
        <v>0</v>
      </c>
      <c r="V363" s="87">
        <f t="shared" si="363"/>
        <v>0</v>
      </c>
      <c r="W363" s="88" t="str">
        <f t="shared" si="9"/>
        <v/>
      </c>
      <c r="X363" s="89">
        <f>IFERROR(S363/D363,"")</f>
        <v>0</v>
      </c>
      <c r="Y363" s="90" t="str">
        <f t="shared" si="10"/>
        <v>ERR</v>
      </c>
      <c r="Z363" s="90">
        <f>IF(H363=0,0,CAPITAL!$H$5*Y363)
</f>
        <v>0</v>
      </c>
      <c r="AA363" s="90">
        <f>IF(I363=0,0,CAPITAL!$H$6*Y363)
</f>
        <v>0</v>
      </c>
      <c r="AB363" s="90">
        <f>IF(J363=0,0,CAPITAL!$H$7*Y363)
</f>
        <v>0</v>
      </c>
      <c r="AC363" s="90"/>
    </row>
    <row r="364">
      <c r="A364" s="104"/>
      <c r="B364" s="101">
        <v>359.0</v>
      </c>
      <c r="C364" s="18" t="str">
        <f>ENTRY!B358</f>
        <v>SILVERBEES</v>
      </c>
      <c r="D364" s="93">
        <f>CAPITAL!$C$2</f>
        <v>3350000</v>
      </c>
      <c r="E364" s="94" t="str">
        <f>ENTRY!C358</f>
        <v/>
      </c>
      <c r="F364" s="95" t="str">
        <f>ENTRY!D358</f>
        <v/>
      </c>
      <c r="G364" s="96" t="str">
        <f>ENTRY!E358</f>
        <v/>
      </c>
      <c r="H364" s="97">
        <f>G364*ENTRY!$O358</f>
        <v>0</v>
      </c>
      <c r="I364" s="97">
        <f>G364*ENTRY!$P358</f>
        <v>0</v>
      </c>
      <c r="J364" s="97">
        <f>G364*ENTRY!$Q358</f>
        <v>0</v>
      </c>
      <c r="K364" s="95">
        <f t="shared" si="2"/>
        <v>0</v>
      </c>
      <c r="L364" s="95" t="str">
        <f>ENTRY!F358</f>
        <v/>
      </c>
      <c r="M364" s="94" t="str">
        <f>ENTRY!G358</f>
        <v/>
      </c>
      <c r="N364" s="98" t="str">
        <f t="shared" si="3"/>
        <v/>
      </c>
      <c r="O364" s="99">
        <f t="shared" si="4"/>
        <v>0</v>
      </c>
      <c r="P364" s="99">
        <f t="shared" si="5"/>
        <v>0</v>
      </c>
      <c r="Q364" s="99">
        <f t="shared" si="6"/>
        <v>0</v>
      </c>
      <c r="R364" s="99">
        <f t="shared" si="7"/>
        <v>0</v>
      </c>
      <c r="S364" s="100" t="str">
        <f t="shared" ref="S364:V364" si="364">IFERROR(O364-Y364,"")
</f>
        <v/>
      </c>
      <c r="T364" s="100">
        <f t="shared" si="364"/>
        <v>0</v>
      </c>
      <c r="U364" s="100">
        <f t="shared" si="364"/>
        <v>0</v>
      </c>
      <c r="V364" s="100">
        <f t="shared" si="364"/>
        <v>0</v>
      </c>
      <c r="W364" s="88" t="str">
        <f t="shared" si="9"/>
        <v/>
      </c>
      <c r="X364" s="89">
        <f>S364/D364</f>
        <v>0</v>
      </c>
      <c r="Y364" s="90" t="str">
        <f t="shared" si="10"/>
        <v>ERR</v>
      </c>
      <c r="Z364" s="90">
        <f>IF(H364=0,0,CAPITAL!$H$5*Y364)
</f>
        <v>0</v>
      </c>
      <c r="AA364" s="90">
        <f>IF(I364=0,0,CAPITAL!$H$6*Y364)
</f>
        <v>0</v>
      </c>
      <c r="AB364" s="90">
        <f>IF(J364=0,0,CAPITAL!$H$7*Y364)
</f>
        <v>0</v>
      </c>
      <c r="AC364" s="90"/>
    </row>
    <row r="365">
      <c r="A365" s="104"/>
      <c r="B365" s="101">
        <v>360.0</v>
      </c>
      <c r="C365" s="79" t="str">
        <f>ENTRY!B359</f>
        <v>SILVERBEES</v>
      </c>
      <c r="D365" s="80">
        <f>CAPITAL!$C$2</f>
        <v>3350000</v>
      </c>
      <c r="E365" s="81" t="str">
        <f>ENTRY!C359</f>
        <v/>
      </c>
      <c r="F365" s="82" t="str">
        <f>ENTRY!D359</f>
        <v/>
      </c>
      <c r="G365" s="83" t="str">
        <f>ENTRY!E359</f>
        <v/>
      </c>
      <c r="H365" s="84">
        <f>G365*ENTRY!$O359</f>
        <v>0</v>
      </c>
      <c r="I365" s="84">
        <f>G365*ENTRY!$P359</f>
        <v>0</v>
      </c>
      <c r="J365" s="84">
        <f>G365*ENTRY!$Q359</f>
        <v>0</v>
      </c>
      <c r="K365" s="82">
        <f t="shared" si="2"/>
        <v>0</v>
      </c>
      <c r="L365" s="82" t="str">
        <f>ENTRY!F359</f>
        <v/>
      </c>
      <c r="M365" s="81" t="str">
        <f>ENTRY!G359</f>
        <v/>
      </c>
      <c r="N365" s="85" t="str">
        <f t="shared" si="3"/>
        <v/>
      </c>
      <c r="O365" s="86">
        <f t="shared" si="4"/>
        <v>0</v>
      </c>
      <c r="P365" s="86">
        <f t="shared" si="5"/>
        <v>0</v>
      </c>
      <c r="Q365" s="86">
        <f t="shared" si="6"/>
        <v>0</v>
      </c>
      <c r="R365" s="86">
        <f t="shared" si="7"/>
        <v>0</v>
      </c>
      <c r="S365" s="87" t="str">
        <f t="shared" ref="S365:V365" si="365">IFERROR(O365-Y365,"")
</f>
        <v/>
      </c>
      <c r="T365" s="87">
        <f t="shared" si="365"/>
        <v>0</v>
      </c>
      <c r="U365" s="87">
        <f t="shared" si="365"/>
        <v>0</v>
      </c>
      <c r="V365" s="87">
        <f t="shared" si="365"/>
        <v>0</v>
      </c>
      <c r="W365" s="88" t="str">
        <f t="shared" si="9"/>
        <v/>
      </c>
      <c r="X365" s="89">
        <f>IFERROR(S365/D365,"")</f>
        <v>0</v>
      </c>
      <c r="Y365" s="90" t="str">
        <f t="shared" si="10"/>
        <v>ERR</v>
      </c>
      <c r="Z365" s="90">
        <f>IF(H365=0,0,CAPITAL!$H$5*Y365)
</f>
        <v>0</v>
      </c>
      <c r="AA365" s="90">
        <f>IF(I365=0,0,CAPITAL!$H$6*Y365)
</f>
        <v>0</v>
      </c>
      <c r="AB365" s="90">
        <f>IF(J365=0,0,CAPITAL!$H$7*Y365)
</f>
        <v>0</v>
      </c>
      <c r="AC365" s="90"/>
    </row>
    <row r="366">
      <c r="A366" s="104"/>
      <c r="B366" s="101">
        <v>361.0</v>
      </c>
      <c r="C366" s="18" t="str">
        <f>ENTRY!B360</f>
        <v>SILVERBEES</v>
      </c>
      <c r="D366" s="93">
        <f>CAPITAL!$C$2</f>
        <v>3350000</v>
      </c>
      <c r="E366" s="94" t="str">
        <f>ENTRY!C360</f>
        <v/>
      </c>
      <c r="F366" s="95" t="str">
        <f>ENTRY!D360</f>
        <v/>
      </c>
      <c r="G366" s="96" t="str">
        <f>ENTRY!E360</f>
        <v/>
      </c>
      <c r="H366" s="97">
        <f>G366*ENTRY!$O360</f>
        <v>0</v>
      </c>
      <c r="I366" s="97">
        <f>G366*ENTRY!$P360</f>
        <v>0</v>
      </c>
      <c r="J366" s="97">
        <f>G366*ENTRY!$Q360</f>
        <v>0</v>
      </c>
      <c r="K366" s="95">
        <f t="shared" si="2"/>
        <v>0</v>
      </c>
      <c r="L366" s="95" t="str">
        <f>ENTRY!F360</f>
        <v/>
      </c>
      <c r="M366" s="94" t="str">
        <f>ENTRY!G360</f>
        <v/>
      </c>
      <c r="N366" s="98" t="str">
        <f t="shared" si="3"/>
        <v/>
      </c>
      <c r="O366" s="99">
        <f t="shared" si="4"/>
        <v>0</v>
      </c>
      <c r="P366" s="99">
        <f t="shared" si="5"/>
        <v>0</v>
      </c>
      <c r="Q366" s="99">
        <f t="shared" si="6"/>
        <v>0</v>
      </c>
      <c r="R366" s="99">
        <f t="shared" si="7"/>
        <v>0</v>
      </c>
      <c r="S366" s="100" t="str">
        <f t="shared" ref="S366:V366" si="366">IFERROR(O366-Y366,"")
</f>
        <v/>
      </c>
      <c r="T366" s="100">
        <f t="shared" si="366"/>
        <v>0</v>
      </c>
      <c r="U366" s="100">
        <f t="shared" si="366"/>
        <v>0</v>
      </c>
      <c r="V366" s="100">
        <f t="shared" si="366"/>
        <v>0</v>
      </c>
      <c r="W366" s="88" t="str">
        <f t="shared" si="9"/>
        <v/>
      </c>
      <c r="X366" s="89">
        <f>S366/D366</f>
        <v>0</v>
      </c>
      <c r="Y366" s="90" t="str">
        <f t="shared" si="10"/>
        <v>ERR</v>
      </c>
      <c r="Z366" s="90">
        <f>IF(H366=0,0,CAPITAL!$H$5*Y366)
</f>
        <v>0</v>
      </c>
      <c r="AA366" s="90">
        <f>IF(I366=0,0,CAPITAL!$H$6*Y366)
</f>
        <v>0</v>
      </c>
      <c r="AB366" s="90">
        <f>IF(J366=0,0,CAPITAL!$H$7*Y366)
</f>
        <v>0</v>
      </c>
      <c r="AC366" s="90"/>
    </row>
    <row r="367">
      <c r="A367" s="104"/>
      <c r="B367" s="101">
        <v>362.0</v>
      </c>
      <c r="C367" s="79" t="str">
        <f>ENTRY!B361</f>
        <v>SILVERBEES</v>
      </c>
      <c r="D367" s="80">
        <f>CAPITAL!$C$2</f>
        <v>3350000</v>
      </c>
      <c r="E367" s="81" t="str">
        <f>ENTRY!C361</f>
        <v/>
      </c>
      <c r="F367" s="82" t="str">
        <f>ENTRY!D361</f>
        <v/>
      </c>
      <c r="G367" s="83" t="str">
        <f>ENTRY!E361</f>
        <v/>
      </c>
      <c r="H367" s="84">
        <f>G367*ENTRY!$O361</f>
        <v>0</v>
      </c>
      <c r="I367" s="84">
        <f>G367*ENTRY!$P361</f>
        <v>0</v>
      </c>
      <c r="J367" s="84">
        <f>G367*ENTRY!$Q361</f>
        <v>0</v>
      </c>
      <c r="K367" s="82">
        <f t="shared" si="2"/>
        <v>0</v>
      </c>
      <c r="L367" s="82" t="str">
        <f>ENTRY!F361</f>
        <v/>
      </c>
      <c r="M367" s="81" t="str">
        <f>ENTRY!G361</f>
        <v/>
      </c>
      <c r="N367" s="85" t="str">
        <f t="shared" si="3"/>
        <v/>
      </c>
      <c r="O367" s="86">
        <f t="shared" si="4"/>
        <v>0</v>
      </c>
      <c r="P367" s="86">
        <f t="shared" si="5"/>
        <v>0</v>
      </c>
      <c r="Q367" s="86">
        <f t="shared" si="6"/>
        <v>0</v>
      </c>
      <c r="R367" s="86">
        <f t="shared" si="7"/>
        <v>0</v>
      </c>
      <c r="S367" s="87" t="str">
        <f t="shared" ref="S367:V367" si="367">IFERROR(O367-Y367,"")
</f>
        <v/>
      </c>
      <c r="T367" s="87">
        <f t="shared" si="367"/>
        <v>0</v>
      </c>
      <c r="U367" s="87">
        <f t="shared" si="367"/>
        <v>0</v>
      </c>
      <c r="V367" s="87">
        <f t="shared" si="367"/>
        <v>0</v>
      </c>
      <c r="W367" s="88" t="str">
        <f t="shared" si="9"/>
        <v/>
      </c>
      <c r="X367" s="89">
        <f>IFERROR(S367/D367,"")</f>
        <v>0</v>
      </c>
      <c r="Y367" s="90" t="str">
        <f t="shared" si="10"/>
        <v>ERR</v>
      </c>
      <c r="Z367" s="90">
        <f>IF(H367=0,0,CAPITAL!$H$5*Y367)
</f>
        <v>0</v>
      </c>
      <c r="AA367" s="90">
        <f>IF(I367=0,0,CAPITAL!$H$6*Y367)
</f>
        <v>0</v>
      </c>
      <c r="AB367" s="90">
        <f>IF(J367=0,0,CAPITAL!$H$7*Y367)
</f>
        <v>0</v>
      </c>
      <c r="AC367" s="90"/>
    </row>
    <row r="368">
      <c r="A368" s="104"/>
      <c r="B368" s="101">
        <v>363.0</v>
      </c>
      <c r="C368" s="18" t="str">
        <f>ENTRY!B362</f>
        <v>SILVERBEES</v>
      </c>
      <c r="D368" s="93">
        <f>CAPITAL!$C$2</f>
        <v>3350000</v>
      </c>
      <c r="E368" s="94" t="str">
        <f>ENTRY!C362</f>
        <v/>
      </c>
      <c r="F368" s="95" t="str">
        <f>ENTRY!D362</f>
        <v/>
      </c>
      <c r="G368" s="96" t="str">
        <f>ENTRY!E362</f>
        <v/>
      </c>
      <c r="H368" s="97">
        <f>G368*ENTRY!$O362</f>
        <v>0</v>
      </c>
      <c r="I368" s="97">
        <f>G368*ENTRY!$P362</f>
        <v>0</v>
      </c>
      <c r="J368" s="97">
        <f>G368*ENTRY!$Q362</f>
        <v>0</v>
      </c>
      <c r="K368" s="95">
        <f t="shared" si="2"/>
        <v>0</v>
      </c>
      <c r="L368" s="95" t="str">
        <f>ENTRY!F362</f>
        <v/>
      </c>
      <c r="M368" s="94" t="str">
        <f>ENTRY!G362</f>
        <v/>
      </c>
      <c r="N368" s="98" t="str">
        <f t="shared" si="3"/>
        <v/>
      </c>
      <c r="O368" s="99">
        <f t="shared" si="4"/>
        <v>0</v>
      </c>
      <c r="P368" s="99">
        <f t="shared" si="5"/>
        <v>0</v>
      </c>
      <c r="Q368" s="99">
        <f t="shared" si="6"/>
        <v>0</v>
      </c>
      <c r="R368" s="99">
        <f t="shared" si="7"/>
        <v>0</v>
      </c>
      <c r="S368" s="100" t="str">
        <f t="shared" ref="S368:V368" si="368">IFERROR(O368-Y368,"")
</f>
        <v/>
      </c>
      <c r="T368" s="100">
        <f t="shared" si="368"/>
        <v>0</v>
      </c>
      <c r="U368" s="100">
        <f t="shared" si="368"/>
        <v>0</v>
      </c>
      <c r="V368" s="100">
        <f t="shared" si="368"/>
        <v>0</v>
      </c>
      <c r="W368" s="88" t="str">
        <f t="shared" si="9"/>
        <v/>
      </c>
      <c r="X368" s="89">
        <f>S368/D368</f>
        <v>0</v>
      </c>
      <c r="Y368" s="90" t="str">
        <f t="shared" si="10"/>
        <v>ERR</v>
      </c>
      <c r="Z368" s="90">
        <f>IF(H368=0,0,CAPITAL!$H$5*Y368)
</f>
        <v>0</v>
      </c>
      <c r="AA368" s="90">
        <f>IF(I368=0,0,CAPITAL!$H$6*Y368)
</f>
        <v>0</v>
      </c>
      <c r="AB368" s="90">
        <f>IF(J368=0,0,CAPITAL!$H$7*Y368)
</f>
        <v>0</v>
      </c>
      <c r="AC368" s="90"/>
    </row>
    <row r="369">
      <c r="A369" s="104"/>
      <c r="B369" s="101">
        <v>364.0</v>
      </c>
      <c r="C369" s="79" t="str">
        <f>ENTRY!B363</f>
        <v>SILVERBEES</v>
      </c>
      <c r="D369" s="80">
        <f>CAPITAL!$C$2</f>
        <v>3350000</v>
      </c>
      <c r="E369" s="81" t="str">
        <f>ENTRY!C363</f>
        <v/>
      </c>
      <c r="F369" s="82" t="str">
        <f>ENTRY!D363</f>
        <v/>
      </c>
      <c r="G369" s="83" t="str">
        <f>ENTRY!E363</f>
        <v/>
      </c>
      <c r="H369" s="84">
        <f>G369*ENTRY!$O363</f>
        <v>0</v>
      </c>
      <c r="I369" s="84">
        <f>G369*ENTRY!$P363</f>
        <v>0</v>
      </c>
      <c r="J369" s="84">
        <f>G369*ENTRY!$Q363</f>
        <v>0</v>
      </c>
      <c r="K369" s="82">
        <f t="shared" si="2"/>
        <v>0</v>
      </c>
      <c r="L369" s="82" t="str">
        <f>ENTRY!F363</f>
        <v/>
      </c>
      <c r="M369" s="81" t="str">
        <f>ENTRY!G363</f>
        <v/>
      </c>
      <c r="N369" s="85" t="str">
        <f t="shared" si="3"/>
        <v/>
      </c>
      <c r="O369" s="86">
        <f t="shared" si="4"/>
        <v>0</v>
      </c>
      <c r="P369" s="86">
        <f t="shared" si="5"/>
        <v>0</v>
      </c>
      <c r="Q369" s="86">
        <f t="shared" si="6"/>
        <v>0</v>
      </c>
      <c r="R369" s="86">
        <f t="shared" si="7"/>
        <v>0</v>
      </c>
      <c r="S369" s="87" t="str">
        <f t="shared" ref="S369:V369" si="369">IFERROR(O369-Y369,"")
</f>
        <v/>
      </c>
      <c r="T369" s="87">
        <f t="shared" si="369"/>
        <v>0</v>
      </c>
      <c r="U369" s="87">
        <f t="shared" si="369"/>
        <v>0</v>
      </c>
      <c r="V369" s="87">
        <f t="shared" si="369"/>
        <v>0</v>
      </c>
      <c r="W369" s="88" t="str">
        <f t="shared" si="9"/>
        <v/>
      </c>
      <c r="X369" s="89">
        <f>IFERROR(S369/D369,"")</f>
        <v>0</v>
      </c>
      <c r="Y369" s="90" t="str">
        <f t="shared" si="10"/>
        <v>ERR</v>
      </c>
      <c r="Z369" s="90">
        <f>IF(H369=0,0,CAPITAL!$H$5*Y369)
</f>
        <v>0</v>
      </c>
      <c r="AA369" s="90">
        <f>IF(I369=0,0,CAPITAL!$H$6*Y369)
</f>
        <v>0</v>
      </c>
      <c r="AB369" s="90">
        <f>IF(J369=0,0,CAPITAL!$H$7*Y369)
</f>
        <v>0</v>
      </c>
      <c r="AC369" s="90"/>
    </row>
    <row r="370">
      <c r="A370" s="104"/>
      <c r="B370" s="101">
        <v>365.0</v>
      </c>
      <c r="C370" s="18" t="str">
        <f>ENTRY!B364</f>
        <v>SILVERBEES</v>
      </c>
      <c r="D370" s="93">
        <f>CAPITAL!$C$2</f>
        <v>3350000</v>
      </c>
      <c r="E370" s="94" t="str">
        <f>ENTRY!C364</f>
        <v/>
      </c>
      <c r="F370" s="95" t="str">
        <f>ENTRY!D364</f>
        <v/>
      </c>
      <c r="G370" s="96" t="str">
        <f>ENTRY!E364</f>
        <v/>
      </c>
      <c r="H370" s="97">
        <f>G370*ENTRY!$O364</f>
        <v>0</v>
      </c>
      <c r="I370" s="97">
        <f>G370*ENTRY!$P364</f>
        <v>0</v>
      </c>
      <c r="J370" s="97">
        <f>G370*ENTRY!$Q364</f>
        <v>0</v>
      </c>
      <c r="K370" s="95">
        <f t="shared" si="2"/>
        <v>0</v>
      </c>
      <c r="L370" s="95" t="str">
        <f>ENTRY!F364</f>
        <v/>
      </c>
      <c r="M370" s="94" t="str">
        <f>ENTRY!G364</f>
        <v/>
      </c>
      <c r="N370" s="98" t="str">
        <f t="shared" si="3"/>
        <v/>
      </c>
      <c r="O370" s="99">
        <f t="shared" si="4"/>
        <v>0</v>
      </c>
      <c r="P370" s="99">
        <f t="shared" si="5"/>
        <v>0</v>
      </c>
      <c r="Q370" s="99">
        <f t="shared" si="6"/>
        <v>0</v>
      </c>
      <c r="R370" s="99">
        <f t="shared" si="7"/>
        <v>0</v>
      </c>
      <c r="S370" s="100" t="str">
        <f t="shared" ref="S370:V370" si="370">IFERROR(O370-Y370,"")
</f>
        <v/>
      </c>
      <c r="T370" s="100">
        <f t="shared" si="370"/>
        <v>0</v>
      </c>
      <c r="U370" s="100">
        <f t="shared" si="370"/>
        <v>0</v>
      </c>
      <c r="V370" s="100">
        <f t="shared" si="370"/>
        <v>0</v>
      </c>
      <c r="W370" s="88" t="str">
        <f t="shared" si="9"/>
        <v/>
      </c>
      <c r="X370" s="89">
        <f>S370/D370</f>
        <v>0</v>
      </c>
      <c r="Y370" s="90" t="str">
        <f t="shared" si="10"/>
        <v>ERR</v>
      </c>
      <c r="Z370" s="90">
        <f>IF(H370=0,0,CAPITAL!$H$5*Y370)
</f>
        <v>0</v>
      </c>
      <c r="AA370" s="90">
        <f>IF(I370=0,0,CAPITAL!$H$6*Y370)
</f>
        <v>0</v>
      </c>
      <c r="AB370" s="90">
        <f>IF(J370=0,0,CAPITAL!$H$7*Y370)
</f>
        <v>0</v>
      </c>
      <c r="AC370" s="90"/>
    </row>
    <row r="371">
      <c r="A371" s="104"/>
      <c r="B371" s="101">
        <v>366.0</v>
      </c>
      <c r="C371" s="79" t="str">
        <f>ENTRY!B365</f>
        <v>SILVERBEES</v>
      </c>
      <c r="D371" s="80">
        <f>CAPITAL!$C$2</f>
        <v>3350000</v>
      </c>
      <c r="E371" s="81" t="str">
        <f>ENTRY!C365</f>
        <v/>
      </c>
      <c r="F371" s="82" t="str">
        <f>ENTRY!D365</f>
        <v/>
      </c>
      <c r="G371" s="83" t="str">
        <f>ENTRY!E365</f>
        <v/>
      </c>
      <c r="H371" s="84">
        <f>G371*ENTRY!$O365</f>
        <v>0</v>
      </c>
      <c r="I371" s="84">
        <f>G371*ENTRY!$P365</f>
        <v>0</v>
      </c>
      <c r="J371" s="84">
        <f>G371*ENTRY!$Q365</f>
        <v>0</v>
      </c>
      <c r="K371" s="82">
        <f t="shared" si="2"/>
        <v>0</v>
      </c>
      <c r="L371" s="82" t="str">
        <f>ENTRY!F365</f>
        <v/>
      </c>
      <c r="M371" s="81" t="str">
        <f>ENTRY!G365</f>
        <v/>
      </c>
      <c r="N371" s="85" t="str">
        <f t="shared" si="3"/>
        <v/>
      </c>
      <c r="O371" s="86">
        <f t="shared" si="4"/>
        <v>0</v>
      </c>
      <c r="P371" s="86">
        <f t="shared" si="5"/>
        <v>0</v>
      </c>
      <c r="Q371" s="86">
        <f t="shared" si="6"/>
        <v>0</v>
      </c>
      <c r="R371" s="86">
        <f t="shared" si="7"/>
        <v>0</v>
      </c>
      <c r="S371" s="87" t="str">
        <f t="shared" ref="S371:V371" si="371">IFERROR(O371-Y371,"")
</f>
        <v/>
      </c>
      <c r="T371" s="87">
        <f t="shared" si="371"/>
        <v>0</v>
      </c>
      <c r="U371" s="87">
        <f t="shared" si="371"/>
        <v>0</v>
      </c>
      <c r="V371" s="87">
        <f t="shared" si="371"/>
        <v>0</v>
      </c>
      <c r="W371" s="88" t="str">
        <f t="shared" si="9"/>
        <v/>
      </c>
      <c r="X371" s="89">
        <f>IFERROR(S371/D371,"")</f>
        <v>0</v>
      </c>
      <c r="Y371" s="90" t="str">
        <f t="shared" si="10"/>
        <v>ERR</v>
      </c>
      <c r="Z371" s="90">
        <f>IF(H371=0,0,CAPITAL!$H$5*Y371)
</f>
        <v>0</v>
      </c>
      <c r="AA371" s="90">
        <f>IF(I371=0,0,CAPITAL!$H$6*Y371)
</f>
        <v>0</v>
      </c>
      <c r="AB371" s="90">
        <f>IF(J371=0,0,CAPITAL!$H$7*Y371)
</f>
        <v>0</v>
      </c>
      <c r="AC371" s="90"/>
    </row>
    <row r="372">
      <c r="A372" s="104"/>
      <c r="B372" s="101">
        <v>367.0</v>
      </c>
      <c r="C372" s="18" t="str">
        <f>ENTRY!B366</f>
        <v>SILVERBEES</v>
      </c>
      <c r="D372" s="93">
        <f>CAPITAL!$C$2</f>
        <v>3350000</v>
      </c>
      <c r="E372" s="94" t="str">
        <f>ENTRY!C366</f>
        <v/>
      </c>
      <c r="F372" s="95" t="str">
        <f>ENTRY!D366</f>
        <v/>
      </c>
      <c r="G372" s="96" t="str">
        <f>ENTRY!E366</f>
        <v/>
      </c>
      <c r="H372" s="97">
        <f>G372*ENTRY!$O366</f>
        <v>0</v>
      </c>
      <c r="I372" s="97">
        <f>G372*ENTRY!$P366</f>
        <v>0</v>
      </c>
      <c r="J372" s="97">
        <f>G372*ENTRY!$Q366</f>
        <v>0</v>
      </c>
      <c r="K372" s="95">
        <f t="shared" si="2"/>
        <v>0</v>
      </c>
      <c r="L372" s="95" t="str">
        <f>ENTRY!F366</f>
        <v/>
      </c>
      <c r="M372" s="94" t="str">
        <f>ENTRY!G366</f>
        <v/>
      </c>
      <c r="N372" s="98" t="str">
        <f t="shared" si="3"/>
        <v/>
      </c>
      <c r="O372" s="99">
        <f t="shared" si="4"/>
        <v>0</v>
      </c>
      <c r="P372" s="99">
        <f t="shared" si="5"/>
        <v>0</v>
      </c>
      <c r="Q372" s="99">
        <f t="shared" si="6"/>
        <v>0</v>
      </c>
      <c r="R372" s="99">
        <f t="shared" si="7"/>
        <v>0</v>
      </c>
      <c r="S372" s="100" t="str">
        <f t="shared" ref="S372:V372" si="372">IFERROR(O372-Y372,"")
</f>
        <v/>
      </c>
      <c r="T372" s="100">
        <f t="shared" si="372"/>
        <v>0</v>
      </c>
      <c r="U372" s="100">
        <f t="shared" si="372"/>
        <v>0</v>
      </c>
      <c r="V372" s="100">
        <f t="shared" si="372"/>
        <v>0</v>
      </c>
      <c r="W372" s="88" t="str">
        <f t="shared" si="9"/>
        <v/>
      </c>
      <c r="X372" s="89">
        <f>S372/D372</f>
        <v>0</v>
      </c>
      <c r="Y372" s="90" t="str">
        <f t="shared" si="10"/>
        <v>ERR</v>
      </c>
      <c r="Z372" s="90">
        <f>IF(H372=0,0,CAPITAL!$H$5*Y372)
</f>
        <v>0</v>
      </c>
      <c r="AA372" s="90">
        <f>IF(I372=0,0,CAPITAL!$H$6*Y372)
</f>
        <v>0</v>
      </c>
      <c r="AB372" s="90">
        <f>IF(J372=0,0,CAPITAL!$H$7*Y372)
</f>
        <v>0</v>
      </c>
      <c r="AC372" s="90"/>
    </row>
    <row r="373">
      <c r="A373" s="104"/>
      <c r="B373" s="101">
        <v>368.0</v>
      </c>
      <c r="C373" s="79" t="str">
        <f>ENTRY!B367</f>
        <v>SILVERBEES</v>
      </c>
      <c r="D373" s="80">
        <f>CAPITAL!$C$2</f>
        <v>3350000</v>
      </c>
      <c r="E373" s="81" t="str">
        <f>ENTRY!C367</f>
        <v/>
      </c>
      <c r="F373" s="82" t="str">
        <f>ENTRY!D367</f>
        <v/>
      </c>
      <c r="G373" s="83" t="str">
        <f>ENTRY!E367</f>
        <v/>
      </c>
      <c r="H373" s="84">
        <f>G373*ENTRY!$O367</f>
        <v>0</v>
      </c>
      <c r="I373" s="84">
        <f>G373*ENTRY!$P367</f>
        <v>0</v>
      </c>
      <c r="J373" s="84">
        <f>G373*ENTRY!$Q367</f>
        <v>0</v>
      </c>
      <c r="K373" s="82">
        <f t="shared" si="2"/>
        <v>0</v>
      </c>
      <c r="L373" s="82" t="str">
        <f>ENTRY!F367</f>
        <v/>
      </c>
      <c r="M373" s="81" t="str">
        <f>ENTRY!G367</f>
        <v/>
      </c>
      <c r="N373" s="85" t="str">
        <f t="shared" si="3"/>
        <v/>
      </c>
      <c r="O373" s="86">
        <f t="shared" si="4"/>
        <v>0</v>
      </c>
      <c r="P373" s="86">
        <f t="shared" si="5"/>
        <v>0</v>
      </c>
      <c r="Q373" s="86">
        <f t="shared" si="6"/>
        <v>0</v>
      </c>
      <c r="R373" s="86">
        <f t="shared" si="7"/>
        <v>0</v>
      </c>
      <c r="S373" s="87" t="str">
        <f t="shared" ref="S373:V373" si="373">IFERROR(O373-Y373,"")
</f>
        <v/>
      </c>
      <c r="T373" s="87">
        <f t="shared" si="373"/>
        <v>0</v>
      </c>
      <c r="U373" s="87">
        <f t="shared" si="373"/>
        <v>0</v>
      </c>
      <c r="V373" s="87">
        <f t="shared" si="373"/>
        <v>0</v>
      </c>
      <c r="W373" s="88" t="str">
        <f t="shared" si="9"/>
        <v/>
      </c>
      <c r="X373" s="89">
        <f>IFERROR(S373/D373,"")</f>
        <v>0</v>
      </c>
      <c r="Y373" s="90" t="str">
        <f t="shared" si="10"/>
        <v>ERR</v>
      </c>
      <c r="Z373" s="90">
        <f>IF(H373=0,0,CAPITAL!$H$5*Y373)
</f>
        <v>0</v>
      </c>
      <c r="AA373" s="90">
        <f>IF(I373=0,0,CAPITAL!$H$6*Y373)
</f>
        <v>0</v>
      </c>
      <c r="AB373" s="90">
        <f>IF(J373=0,0,CAPITAL!$H$7*Y373)
</f>
        <v>0</v>
      </c>
      <c r="AC373" s="90"/>
    </row>
    <row r="374">
      <c r="A374" s="104"/>
      <c r="B374" s="101">
        <v>369.0</v>
      </c>
      <c r="C374" s="18" t="str">
        <f>ENTRY!B368</f>
        <v>SILVERBEES</v>
      </c>
      <c r="D374" s="93">
        <f>CAPITAL!$C$2</f>
        <v>3350000</v>
      </c>
      <c r="E374" s="94" t="str">
        <f>ENTRY!C368</f>
        <v/>
      </c>
      <c r="F374" s="95" t="str">
        <f>ENTRY!D368</f>
        <v/>
      </c>
      <c r="G374" s="96" t="str">
        <f>ENTRY!E368</f>
        <v/>
      </c>
      <c r="H374" s="97">
        <f>G374*ENTRY!$O368</f>
        <v>0</v>
      </c>
      <c r="I374" s="97">
        <f>G374*ENTRY!$P368</f>
        <v>0</v>
      </c>
      <c r="J374" s="97">
        <f>G374*ENTRY!$Q368</f>
        <v>0</v>
      </c>
      <c r="K374" s="95">
        <f t="shared" si="2"/>
        <v>0</v>
      </c>
      <c r="L374" s="95" t="str">
        <f>ENTRY!F368</f>
        <v/>
      </c>
      <c r="M374" s="94" t="str">
        <f>ENTRY!G368</f>
        <v/>
      </c>
      <c r="N374" s="98" t="str">
        <f t="shared" si="3"/>
        <v/>
      </c>
      <c r="O374" s="99">
        <f t="shared" si="4"/>
        <v>0</v>
      </c>
      <c r="P374" s="99">
        <f t="shared" si="5"/>
        <v>0</v>
      </c>
      <c r="Q374" s="99">
        <f t="shared" si="6"/>
        <v>0</v>
      </c>
      <c r="R374" s="99">
        <f t="shared" si="7"/>
        <v>0</v>
      </c>
      <c r="S374" s="100" t="str">
        <f t="shared" ref="S374:V374" si="374">IFERROR(O374-Y374,"")
</f>
        <v/>
      </c>
      <c r="T374" s="100">
        <f t="shared" si="374"/>
        <v>0</v>
      </c>
      <c r="U374" s="100">
        <f t="shared" si="374"/>
        <v>0</v>
      </c>
      <c r="V374" s="100">
        <f t="shared" si="374"/>
        <v>0</v>
      </c>
      <c r="W374" s="88" t="str">
        <f t="shared" si="9"/>
        <v/>
      </c>
      <c r="X374" s="89">
        <f>S374/D374</f>
        <v>0</v>
      </c>
      <c r="Y374" s="90" t="str">
        <f t="shared" si="10"/>
        <v>ERR</v>
      </c>
      <c r="Z374" s="90">
        <f>IF(H374=0,0,CAPITAL!$H$5*Y374)
</f>
        <v>0</v>
      </c>
      <c r="AA374" s="90">
        <f>IF(I374=0,0,CAPITAL!$H$6*Y374)
</f>
        <v>0</v>
      </c>
      <c r="AB374" s="90">
        <f>IF(J374=0,0,CAPITAL!$H$7*Y374)
</f>
        <v>0</v>
      </c>
      <c r="AC374" s="90"/>
    </row>
    <row r="375">
      <c r="A375" s="104"/>
      <c r="B375" s="101">
        <v>370.0</v>
      </c>
      <c r="C375" s="79" t="str">
        <f>ENTRY!B369</f>
        <v>SILVERBEES</v>
      </c>
      <c r="D375" s="80">
        <f>CAPITAL!$C$2</f>
        <v>3350000</v>
      </c>
      <c r="E375" s="81" t="str">
        <f>ENTRY!C369</f>
        <v/>
      </c>
      <c r="F375" s="82" t="str">
        <f>ENTRY!D369</f>
        <v/>
      </c>
      <c r="G375" s="83" t="str">
        <f>ENTRY!E369</f>
        <v/>
      </c>
      <c r="H375" s="84">
        <f>G375*ENTRY!$O369</f>
        <v>0</v>
      </c>
      <c r="I375" s="84">
        <f>G375*ENTRY!$P369</f>
        <v>0</v>
      </c>
      <c r="J375" s="84">
        <f>G375*ENTRY!$Q369</f>
        <v>0</v>
      </c>
      <c r="K375" s="82">
        <f t="shared" si="2"/>
        <v>0</v>
      </c>
      <c r="L375" s="82" t="str">
        <f>ENTRY!F369</f>
        <v/>
      </c>
      <c r="M375" s="81" t="str">
        <f>ENTRY!G369</f>
        <v/>
      </c>
      <c r="N375" s="85" t="str">
        <f t="shared" si="3"/>
        <v/>
      </c>
      <c r="O375" s="86">
        <f t="shared" si="4"/>
        <v>0</v>
      </c>
      <c r="P375" s="86">
        <f t="shared" si="5"/>
        <v>0</v>
      </c>
      <c r="Q375" s="86">
        <f t="shared" si="6"/>
        <v>0</v>
      </c>
      <c r="R375" s="86">
        <f t="shared" si="7"/>
        <v>0</v>
      </c>
      <c r="S375" s="87" t="str">
        <f t="shared" ref="S375:V375" si="375">IFERROR(O375-Y375,"")
</f>
        <v/>
      </c>
      <c r="T375" s="87">
        <f t="shared" si="375"/>
        <v>0</v>
      </c>
      <c r="U375" s="87">
        <f t="shared" si="375"/>
        <v>0</v>
      </c>
      <c r="V375" s="87">
        <f t="shared" si="375"/>
        <v>0</v>
      </c>
      <c r="W375" s="88" t="str">
        <f t="shared" si="9"/>
        <v/>
      </c>
      <c r="X375" s="89">
        <f>IFERROR(S375/D375,"")</f>
        <v>0</v>
      </c>
      <c r="Y375" s="90" t="str">
        <f t="shared" si="10"/>
        <v>ERR</v>
      </c>
      <c r="Z375" s="90">
        <f>IF(H375=0,0,CAPITAL!$H$5*Y375)
</f>
        <v>0</v>
      </c>
      <c r="AA375" s="90">
        <f>IF(I375=0,0,CAPITAL!$H$6*Y375)
</f>
        <v>0</v>
      </c>
      <c r="AB375" s="90">
        <f>IF(J375=0,0,CAPITAL!$H$7*Y375)
</f>
        <v>0</v>
      </c>
      <c r="AC375" s="90"/>
    </row>
    <row r="376">
      <c r="A376" s="104"/>
      <c r="B376" s="101">
        <v>371.0</v>
      </c>
      <c r="C376" s="18" t="str">
        <f>ENTRY!B370</f>
        <v>SILVERBEES</v>
      </c>
      <c r="D376" s="93">
        <f>CAPITAL!$C$2</f>
        <v>3350000</v>
      </c>
      <c r="E376" s="94" t="str">
        <f>ENTRY!C370</f>
        <v/>
      </c>
      <c r="F376" s="95" t="str">
        <f>ENTRY!D370</f>
        <v/>
      </c>
      <c r="G376" s="96" t="str">
        <f>ENTRY!E370</f>
        <v/>
      </c>
      <c r="H376" s="97">
        <f>G376*ENTRY!$O370</f>
        <v>0</v>
      </c>
      <c r="I376" s="97">
        <f>G376*ENTRY!$P370</f>
        <v>0</v>
      </c>
      <c r="J376" s="97">
        <f>G376*ENTRY!$Q370</f>
        <v>0</v>
      </c>
      <c r="K376" s="95">
        <f t="shared" si="2"/>
        <v>0</v>
      </c>
      <c r="L376" s="95" t="str">
        <f>ENTRY!F370</f>
        <v/>
      </c>
      <c r="M376" s="94" t="str">
        <f>ENTRY!G370</f>
        <v/>
      </c>
      <c r="N376" s="98" t="str">
        <f t="shared" si="3"/>
        <v/>
      </c>
      <c r="O376" s="99">
        <f t="shared" si="4"/>
        <v>0</v>
      </c>
      <c r="P376" s="99">
        <f t="shared" si="5"/>
        <v>0</v>
      </c>
      <c r="Q376" s="99">
        <f t="shared" si="6"/>
        <v>0</v>
      </c>
      <c r="R376" s="99">
        <f t="shared" si="7"/>
        <v>0</v>
      </c>
      <c r="S376" s="100" t="str">
        <f t="shared" ref="S376:V376" si="376">IFERROR(O376-Y376,"")
</f>
        <v/>
      </c>
      <c r="T376" s="100">
        <f t="shared" si="376"/>
        <v>0</v>
      </c>
      <c r="U376" s="100">
        <f t="shared" si="376"/>
        <v>0</v>
      </c>
      <c r="V376" s="100">
        <f t="shared" si="376"/>
        <v>0</v>
      </c>
      <c r="W376" s="88" t="str">
        <f t="shared" si="9"/>
        <v/>
      </c>
      <c r="X376" s="89">
        <f>S376/D376</f>
        <v>0</v>
      </c>
      <c r="Y376" s="90" t="str">
        <f t="shared" si="10"/>
        <v>ERR</v>
      </c>
      <c r="Z376" s="90">
        <f>IF(H376=0,0,CAPITAL!$H$5*Y376)
</f>
        <v>0</v>
      </c>
      <c r="AA376" s="90">
        <f>IF(I376=0,0,CAPITAL!$H$6*Y376)
</f>
        <v>0</v>
      </c>
      <c r="AB376" s="90">
        <f>IF(J376=0,0,CAPITAL!$H$7*Y376)
</f>
        <v>0</v>
      </c>
      <c r="AC376" s="90"/>
    </row>
    <row r="377">
      <c r="A377" s="104"/>
      <c r="B377" s="101">
        <v>372.0</v>
      </c>
      <c r="C377" s="79" t="str">
        <f>ENTRY!B371</f>
        <v>SILVERBEES</v>
      </c>
      <c r="D377" s="80">
        <f>CAPITAL!$C$2</f>
        <v>3350000</v>
      </c>
      <c r="E377" s="81" t="str">
        <f>ENTRY!C371</f>
        <v/>
      </c>
      <c r="F377" s="82" t="str">
        <f>ENTRY!D371</f>
        <v/>
      </c>
      <c r="G377" s="83" t="str">
        <f>ENTRY!E371</f>
        <v/>
      </c>
      <c r="H377" s="84">
        <f>G377*ENTRY!$O371</f>
        <v>0</v>
      </c>
      <c r="I377" s="84">
        <f>G377*ENTRY!$P371</f>
        <v>0</v>
      </c>
      <c r="J377" s="84">
        <f>G377*ENTRY!$Q371</f>
        <v>0</v>
      </c>
      <c r="K377" s="82">
        <f t="shared" si="2"/>
        <v>0</v>
      </c>
      <c r="L377" s="82" t="str">
        <f>ENTRY!F371</f>
        <v/>
      </c>
      <c r="M377" s="81" t="str">
        <f>ENTRY!G371</f>
        <v/>
      </c>
      <c r="N377" s="85" t="str">
        <f t="shared" si="3"/>
        <v/>
      </c>
      <c r="O377" s="86">
        <f t="shared" si="4"/>
        <v>0</v>
      </c>
      <c r="P377" s="86">
        <f t="shared" si="5"/>
        <v>0</v>
      </c>
      <c r="Q377" s="86">
        <f t="shared" si="6"/>
        <v>0</v>
      </c>
      <c r="R377" s="86">
        <f t="shared" si="7"/>
        <v>0</v>
      </c>
      <c r="S377" s="87" t="str">
        <f t="shared" ref="S377:V377" si="377">IFERROR(O377-Y377,"")
</f>
        <v/>
      </c>
      <c r="T377" s="87">
        <f t="shared" si="377"/>
        <v>0</v>
      </c>
      <c r="U377" s="87">
        <f t="shared" si="377"/>
        <v>0</v>
      </c>
      <c r="V377" s="87">
        <f t="shared" si="377"/>
        <v>0</v>
      </c>
      <c r="W377" s="88" t="str">
        <f t="shared" si="9"/>
        <v/>
      </c>
      <c r="X377" s="89">
        <f>IFERROR(S377/D377,"")</f>
        <v>0</v>
      </c>
      <c r="Y377" s="90" t="str">
        <f t="shared" si="10"/>
        <v>ERR</v>
      </c>
      <c r="Z377" s="90">
        <f>IF(H377=0,0,CAPITAL!$H$5*Y377)
</f>
        <v>0</v>
      </c>
      <c r="AA377" s="90">
        <f>IF(I377=0,0,CAPITAL!$H$6*Y377)
</f>
        <v>0</v>
      </c>
      <c r="AB377" s="90">
        <f>IF(J377=0,0,CAPITAL!$H$7*Y377)
</f>
        <v>0</v>
      </c>
      <c r="AC377" s="90"/>
    </row>
    <row r="378">
      <c r="A378" s="104"/>
      <c r="B378" s="101">
        <v>373.0</v>
      </c>
      <c r="C378" s="18" t="str">
        <f>ENTRY!B372</f>
        <v>SILVERBEES</v>
      </c>
      <c r="D378" s="93">
        <f>CAPITAL!$C$2</f>
        <v>3350000</v>
      </c>
      <c r="E378" s="94" t="str">
        <f>ENTRY!C372</f>
        <v/>
      </c>
      <c r="F378" s="95" t="str">
        <f>ENTRY!D372</f>
        <v/>
      </c>
      <c r="G378" s="96" t="str">
        <f>ENTRY!E372</f>
        <v/>
      </c>
      <c r="H378" s="97">
        <f>G378*ENTRY!$O372</f>
        <v>0</v>
      </c>
      <c r="I378" s="97">
        <f>G378*ENTRY!$P372</f>
        <v>0</v>
      </c>
      <c r="J378" s="97">
        <f>G378*ENTRY!$Q372</f>
        <v>0</v>
      </c>
      <c r="K378" s="95">
        <f t="shared" si="2"/>
        <v>0</v>
      </c>
      <c r="L378" s="95" t="str">
        <f>ENTRY!F372</f>
        <v/>
      </c>
      <c r="M378" s="94" t="str">
        <f>ENTRY!G372</f>
        <v/>
      </c>
      <c r="N378" s="98" t="str">
        <f t="shared" si="3"/>
        <v/>
      </c>
      <c r="O378" s="99">
        <f t="shared" si="4"/>
        <v>0</v>
      </c>
      <c r="P378" s="99">
        <f t="shared" si="5"/>
        <v>0</v>
      </c>
      <c r="Q378" s="99">
        <f t="shared" si="6"/>
        <v>0</v>
      </c>
      <c r="R378" s="99">
        <f t="shared" si="7"/>
        <v>0</v>
      </c>
      <c r="S378" s="100" t="str">
        <f t="shared" ref="S378:V378" si="378">IFERROR(O378-Y378,"")
</f>
        <v/>
      </c>
      <c r="T378" s="100">
        <f t="shared" si="378"/>
        <v>0</v>
      </c>
      <c r="U378" s="100">
        <f t="shared" si="378"/>
        <v>0</v>
      </c>
      <c r="V378" s="100">
        <f t="shared" si="378"/>
        <v>0</v>
      </c>
      <c r="W378" s="88" t="str">
        <f t="shared" si="9"/>
        <v/>
      </c>
      <c r="X378" s="89">
        <f>S378/D378</f>
        <v>0</v>
      </c>
      <c r="Y378" s="90" t="str">
        <f t="shared" si="10"/>
        <v>ERR</v>
      </c>
      <c r="Z378" s="90">
        <f>IF(H378=0,0,CAPITAL!$H$5*Y378)
</f>
        <v>0</v>
      </c>
      <c r="AA378" s="90">
        <f>IF(I378=0,0,CAPITAL!$H$6*Y378)
</f>
        <v>0</v>
      </c>
      <c r="AB378" s="90">
        <f>IF(J378=0,0,CAPITAL!$H$7*Y378)
</f>
        <v>0</v>
      </c>
      <c r="AC378" s="90"/>
    </row>
    <row r="379">
      <c r="A379" s="104"/>
      <c r="B379" s="101">
        <v>374.0</v>
      </c>
      <c r="C379" s="79" t="str">
        <f>ENTRY!B373</f>
        <v>SILVERBEES</v>
      </c>
      <c r="D379" s="80">
        <f>CAPITAL!$C$2</f>
        <v>3350000</v>
      </c>
      <c r="E379" s="81" t="str">
        <f>ENTRY!C373</f>
        <v/>
      </c>
      <c r="F379" s="82" t="str">
        <f>ENTRY!D373</f>
        <v/>
      </c>
      <c r="G379" s="83" t="str">
        <f>ENTRY!E373</f>
        <v/>
      </c>
      <c r="H379" s="84">
        <f>G379*ENTRY!$O373</f>
        <v>0</v>
      </c>
      <c r="I379" s="84">
        <f>G379*ENTRY!$P373</f>
        <v>0</v>
      </c>
      <c r="J379" s="84">
        <f>G379*ENTRY!$Q373</f>
        <v>0</v>
      </c>
      <c r="K379" s="82">
        <f t="shared" si="2"/>
        <v>0</v>
      </c>
      <c r="L379" s="82" t="str">
        <f>ENTRY!F373</f>
        <v/>
      </c>
      <c r="M379" s="81" t="str">
        <f>ENTRY!G373</f>
        <v/>
      </c>
      <c r="N379" s="85" t="str">
        <f t="shared" si="3"/>
        <v/>
      </c>
      <c r="O379" s="86">
        <f t="shared" si="4"/>
        <v>0</v>
      </c>
      <c r="P379" s="86">
        <f t="shared" si="5"/>
        <v>0</v>
      </c>
      <c r="Q379" s="86">
        <f t="shared" si="6"/>
        <v>0</v>
      </c>
      <c r="R379" s="86">
        <f t="shared" si="7"/>
        <v>0</v>
      </c>
      <c r="S379" s="87" t="str">
        <f t="shared" ref="S379:V379" si="379">IFERROR(O379-Y379,"")
</f>
        <v/>
      </c>
      <c r="T379" s="87">
        <f t="shared" si="379"/>
        <v>0</v>
      </c>
      <c r="U379" s="87">
        <f t="shared" si="379"/>
        <v>0</v>
      </c>
      <c r="V379" s="87">
        <f t="shared" si="379"/>
        <v>0</v>
      </c>
      <c r="W379" s="88" t="str">
        <f t="shared" si="9"/>
        <v/>
      </c>
      <c r="X379" s="89">
        <f>IFERROR(S379/D379,"")</f>
        <v>0</v>
      </c>
      <c r="Y379" s="90" t="str">
        <f t="shared" si="10"/>
        <v>ERR</v>
      </c>
      <c r="Z379" s="90">
        <f>IF(H379=0,0,CAPITAL!$H$5*Y379)
</f>
        <v>0</v>
      </c>
      <c r="AA379" s="90">
        <f>IF(I379=0,0,CAPITAL!$H$6*Y379)
</f>
        <v>0</v>
      </c>
      <c r="AB379" s="90">
        <f>IF(J379=0,0,CAPITAL!$H$7*Y379)
</f>
        <v>0</v>
      </c>
      <c r="AC379" s="90"/>
    </row>
    <row r="380">
      <c r="A380" s="104"/>
      <c r="B380" s="101">
        <v>375.0</v>
      </c>
      <c r="C380" s="18" t="str">
        <f>ENTRY!B374</f>
        <v>SILVERBEES</v>
      </c>
      <c r="D380" s="93">
        <f>CAPITAL!$C$2</f>
        <v>3350000</v>
      </c>
      <c r="E380" s="94" t="str">
        <f>ENTRY!C374</f>
        <v/>
      </c>
      <c r="F380" s="95" t="str">
        <f>ENTRY!D374</f>
        <v/>
      </c>
      <c r="G380" s="96" t="str">
        <f>ENTRY!E374</f>
        <v/>
      </c>
      <c r="H380" s="97">
        <f>G380*ENTRY!$O374</f>
        <v>0</v>
      </c>
      <c r="I380" s="97">
        <f>G380*ENTRY!$P374</f>
        <v>0</v>
      </c>
      <c r="J380" s="97">
        <f>G380*ENTRY!$Q374</f>
        <v>0</v>
      </c>
      <c r="K380" s="95">
        <f t="shared" si="2"/>
        <v>0</v>
      </c>
      <c r="L380" s="95" t="str">
        <f>ENTRY!F374</f>
        <v/>
      </c>
      <c r="M380" s="94" t="str">
        <f>ENTRY!G374</f>
        <v/>
      </c>
      <c r="N380" s="98" t="str">
        <f t="shared" si="3"/>
        <v/>
      </c>
      <c r="O380" s="99">
        <f t="shared" si="4"/>
        <v>0</v>
      </c>
      <c r="P380" s="99">
        <f t="shared" si="5"/>
        <v>0</v>
      </c>
      <c r="Q380" s="99">
        <f t="shared" si="6"/>
        <v>0</v>
      </c>
      <c r="R380" s="99">
        <f t="shared" si="7"/>
        <v>0</v>
      </c>
      <c r="S380" s="100" t="str">
        <f t="shared" ref="S380:V380" si="380">IFERROR(O380-Y380,"")
</f>
        <v/>
      </c>
      <c r="T380" s="100">
        <f t="shared" si="380"/>
        <v>0</v>
      </c>
      <c r="U380" s="100">
        <f t="shared" si="380"/>
        <v>0</v>
      </c>
      <c r="V380" s="100">
        <f t="shared" si="380"/>
        <v>0</v>
      </c>
      <c r="W380" s="88" t="str">
        <f t="shared" si="9"/>
        <v/>
      </c>
      <c r="X380" s="89">
        <f>S380/D380</f>
        <v>0</v>
      </c>
      <c r="Y380" s="90" t="str">
        <f t="shared" si="10"/>
        <v>ERR</v>
      </c>
      <c r="Z380" s="90">
        <f>IF(H380=0,0,CAPITAL!$H$5*Y380)
</f>
        <v>0</v>
      </c>
      <c r="AA380" s="90">
        <f>IF(I380=0,0,CAPITAL!$H$6*Y380)
</f>
        <v>0</v>
      </c>
      <c r="AB380" s="90">
        <f>IF(J380=0,0,CAPITAL!$H$7*Y380)
</f>
        <v>0</v>
      </c>
      <c r="AC380" s="90"/>
    </row>
    <row r="381">
      <c r="A381" s="104"/>
      <c r="B381" s="101">
        <v>376.0</v>
      </c>
      <c r="C381" s="79" t="str">
        <f>ENTRY!B375</f>
        <v>SILVERBEES</v>
      </c>
      <c r="D381" s="80">
        <f>CAPITAL!$C$2</f>
        <v>3350000</v>
      </c>
      <c r="E381" s="81" t="str">
        <f>ENTRY!C375</f>
        <v/>
      </c>
      <c r="F381" s="82" t="str">
        <f>ENTRY!D375</f>
        <v/>
      </c>
      <c r="G381" s="83" t="str">
        <f>ENTRY!E375</f>
        <v/>
      </c>
      <c r="H381" s="84">
        <f>G381*ENTRY!$O375</f>
        <v>0</v>
      </c>
      <c r="I381" s="84">
        <f>G381*ENTRY!$P375</f>
        <v>0</v>
      </c>
      <c r="J381" s="84">
        <f>G381*ENTRY!$Q375</f>
        <v>0</v>
      </c>
      <c r="K381" s="82">
        <f t="shared" si="2"/>
        <v>0</v>
      </c>
      <c r="L381" s="82" t="str">
        <f>ENTRY!F375</f>
        <v/>
      </c>
      <c r="M381" s="81" t="str">
        <f>ENTRY!G375</f>
        <v/>
      </c>
      <c r="N381" s="85" t="str">
        <f t="shared" si="3"/>
        <v/>
      </c>
      <c r="O381" s="86">
        <f t="shared" si="4"/>
        <v>0</v>
      </c>
      <c r="P381" s="86">
        <f t="shared" si="5"/>
        <v>0</v>
      </c>
      <c r="Q381" s="86">
        <f t="shared" si="6"/>
        <v>0</v>
      </c>
      <c r="R381" s="86">
        <f t="shared" si="7"/>
        <v>0</v>
      </c>
      <c r="S381" s="87" t="str">
        <f t="shared" ref="S381:V381" si="381">IFERROR(O381-Y381,"")
</f>
        <v/>
      </c>
      <c r="T381" s="87">
        <f t="shared" si="381"/>
        <v>0</v>
      </c>
      <c r="U381" s="87">
        <f t="shared" si="381"/>
        <v>0</v>
      </c>
      <c r="V381" s="87">
        <f t="shared" si="381"/>
        <v>0</v>
      </c>
      <c r="W381" s="88" t="str">
        <f t="shared" si="9"/>
        <v/>
      </c>
      <c r="X381" s="89">
        <f>IFERROR(S381/D381,"")</f>
        <v>0</v>
      </c>
      <c r="Y381" s="90" t="str">
        <f t="shared" si="10"/>
        <v>ERR</v>
      </c>
      <c r="Z381" s="90">
        <f>IF(H381=0,0,CAPITAL!$H$5*Y381)
</f>
        <v>0</v>
      </c>
      <c r="AA381" s="90">
        <f>IF(I381=0,0,CAPITAL!$H$6*Y381)
</f>
        <v>0</v>
      </c>
      <c r="AB381" s="90">
        <f>IF(J381=0,0,CAPITAL!$H$7*Y381)
</f>
        <v>0</v>
      </c>
      <c r="AC381" s="90"/>
    </row>
    <row r="382">
      <c r="A382" s="104"/>
      <c r="B382" s="101">
        <v>377.0</v>
      </c>
      <c r="C382" s="18" t="str">
        <f>ENTRY!B376</f>
        <v>SILVERBEES</v>
      </c>
      <c r="D382" s="93">
        <f>CAPITAL!$C$2</f>
        <v>3350000</v>
      </c>
      <c r="E382" s="94" t="str">
        <f>ENTRY!C376</f>
        <v/>
      </c>
      <c r="F382" s="95" t="str">
        <f>ENTRY!D376</f>
        <v/>
      </c>
      <c r="G382" s="96" t="str">
        <f>ENTRY!E376</f>
        <v/>
      </c>
      <c r="H382" s="97">
        <f>G382*ENTRY!$O376</f>
        <v>0</v>
      </c>
      <c r="I382" s="97">
        <f>G382*ENTRY!$P376</f>
        <v>0</v>
      </c>
      <c r="J382" s="97">
        <f>G382*ENTRY!$Q376</f>
        <v>0</v>
      </c>
      <c r="K382" s="95">
        <f t="shared" si="2"/>
        <v>0</v>
      </c>
      <c r="L382" s="95" t="str">
        <f>ENTRY!F376</f>
        <v/>
      </c>
      <c r="M382" s="94" t="str">
        <f>ENTRY!G376</f>
        <v/>
      </c>
      <c r="N382" s="98" t="str">
        <f t="shared" si="3"/>
        <v/>
      </c>
      <c r="O382" s="99">
        <f t="shared" si="4"/>
        <v>0</v>
      </c>
      <c r="P382" s="99">
        <f t="shared" si="5"/>
        <v>0</v>
      </c>
      <c r="Q382" s="99">
        <f t="shared" si="6"/>
        <v>0</v>
      </c>
      <c r="R382" s="99">
        <f t="shared" si="7"/>
        <v>0</v>
      </c>
      <c r="S382" s="100" t="str">
        <f t="shared" ref="S382:V382" si="382">IFERROR(O382-Y382,"")
</f>
        <v/>
      </c>
      <c r="T382" s="100">
        <f t="shared" si="382"/>
        <v>0</v>
      </c>
      <c r="U382" s="100">
        <f t="shared" si="382"/>
        <v>0</v>
      </c>
      <c r="V382" s="100">
        <f t="shared" si="382"/>
        <v>0</v>
      </c>
      <c r="W382" s="88" t="str">
        <f t="shared" si="9"/>
        <v/>
      </c>
      <c r="X382" s="89">
        <f>S382/D382</f>
        <v>0</v>
      </c>
      <c r="Y382" s="90" t="str">
        <f t="shared" si="10"/>
        <v>ERR</v>
      </c>
      <c r="Z382" s="90">
        <f>IF(H382=0,0,CAPITAL!$H$5*Y382)
</f>
        <v>0</v>
      </c>
      <c r="AA382" s="90">
        <f>IF(I382=0,0,CAPITAL!$H$6*Y382)
</f>
        <v>0</v>
      </c>
      <c r="AB382" s="90">
        <f>IF(J382=0,0,CAPITAL!$H$7*Y382)
</f>
        <v>0</v>
      </c>
      <c r="AC382" s="90"/>
    </row>
    <row r="383">
      <c r="A383" s="104"/>
      <c r="B383" s="101">
        <v>378.0</v>
      </c>
      <c r="C383" s="79" t="str">
        <f>ENTRY!B377</f>
        <v>SILVERBEES</v>
      </c>
      <c r="D383" s="80">
        <f>CAPITAL!$C$2</f>
        <v>3350000</v>
      </c>
      <c r="E383" s="81" t="str">
        <f>ENTRY!C377</f>
        <v/>
      </c>
      <c r="F383" s="82" t="str">
        <f>ENTRY!D377</f>
        <v/>
      </c>
      <c r="G383" s="83" t="str">
        <f>ENTRY!E377</f>
        <v/>
      </c>
      <c r="H383" s="84">
        <f>G383*ENTRY!$O377</f>
        <v>0</v>
      </c>
      <c r="I383" s="84">
        <f>G383*ENTRY!$P377</f>
        <v>0</v>
      </c>
      <c r="J383" s="84">
        <f>G383*ENTRY!$Q377</f>
        <v>0</v>
      </c>
      <c r="K383" s="82">
        <f t="shared" si="2"/>
        <v>0</v>
      </c>
      <c r="L383" s="82" t="str">
        <f>ENTRY!F377</f>
        <v/>
      </c>
      <c r="M383" s="81" t="str">
        <f>ENTRY!G377</f>
        <v/>
      </c>
      <c r="N383" s="85" t="str">
        <f t="shared" si="3"/>
        <v/>
      </c>
      <c r="O383" s="86">
        <f t="shared" si="4"/>
        <v>0</v>
      </c>
      <c r="P383" s="86">
        <f t="shared" si="5"/>
        <v>0</v>
      </c>
      <c r="Q383" s="86">
        <f t="shared" si="6"/>
        <v>0</v>
      </c>
      <c r="R383" s="86">
        <f t="shared" si="7"/>
        <v>0</v>
      </c>
      <c r="S383" s="87" t="str">
        <f t="shared" ref="S383:V383" si="383">IFERROR(O383-Y383,"")
</f>
        <v/>
      </c>
      <c r="T383" s="87">
        <f t="shared" si="383"/>
        <v>0</v>
      </c>
      <c r="U383" s="87">
        <f t="shared" si="383"/>
        <v>0</v>
      </c>
      <c r="V383" s="87">
        <f t="shared" si="383"/>
        <v>0</v>
      </c>
      <c r="W383" s="88" t="str">
        <f t="shared" si="9"/>
        <v/>
      </c>
      <c r="X383" s="89">
        <f>IFERROR(S383/D383,"")</f>
        <v>0</v>
      </c>
      <c r="Y383" s="90" t="str">
        <f t="shared" si="10"/>
        <v>ERR</v>
      </c>
      <c r="Z383" s="90">
        <f>IF(H383=0,0,CAPITAL!$H$5*Y383)
</f>
        <v>0</v>
      </c>
      <c r="AA383" s="90">
        <f>IF(I383=0,0,CAPITAL!$H$6*Y383)
</f>
        <v>0</v>
      </c>
      <c r="AB383" s="90">
        <f>IF(J383=0,0,CAPITAL!$H$7*Y383)
</f>
        <v>0</v>
      </c>
      <c r="AC383" s="90"/>
    </row>
    <row r="384">
      <c r="A384" s="104"/>
      <c r="B384" s="101">
        <v>379.0</v>
      </c>
      <c r="C384" s="18" t="str">
        <f>ENTRY!B378</f>
        <v>SILVERBEES</v>
      </c>
      <c r="D384" s="93">
        <f>CAPITAL!$C$2</f>
        <v>3350000</v>
      </c>
      <c r="E384" s="94" t="str">
        <f>ENTRY!C378</f>
        <v/>
      </c>
      <c r="F384" s="95" t="str">
        <f>ENTRY!D378</f>
        <v/>
      </c>
      <c r="G384" s="96" t="str">
        <f>ENTRY!E378</f>
        <v/>
      </c>
      <c r="H384" s="97">
        <f>G384*ENTRY!$O378</f>
        <v>0</v>
      </c>
      <c r="I384" s="97">
        <f>G384*ENTRY!$P378</f>
        <v>0</v>
      </c>
      <c r="J384" s="97">
        <f>G384*ENTRY!$Q378</f>
        <v>0</v>
      </c>
      <c r="K384" s="95">
        <f t="shared" si="2"/>
        <v>0</v>
      </c>
      <c r="L384" s="95" t="str">
        <f>ENTRY!F378</f>
        <v/>
      </c>
      <c r="M384" s="94" t="str">
        <f>ENTRY!G378</f>
        <v/>
      </c>
      <c r="N384" s="98" t="str">
        <f t="shared" si="3"/>
        <v/>
      </c>
      <c r="O384" s="99">
        <f t="shared" si="4"/>
        <v>0</v>
      </c>
      <c r="P384" s="99">
        <f t="shared" si="5"/>
        <v>0</v>
      </c>
      <c r="Q384" s="99">
        <f t="shared" si="6"/>
        <v>0</v>
      </c>
      <c r="R384" s="99">
        <f t="shared" si="7"/>
        <v>0</v>
      </c>
      <c r="S384" s="100" t="str">
        <f t="shared" ref="S384:V384" si="384">IFERROR(O384-Y384,"")
</f>
        <v/>
      </c>
      <c r="T384" s="100">
        <f t="shared" si="384"/>
        <v>0</v>
      </c>
      <c r="U384" s="100">
        <f t="shared" si="384"/>
        <v>0</v>
      </c>
      <c r="V384" s="100">
        <f t="shared" si="384"/>
        <v>0</v>
      </c>
      <c r="W384" s="88" t="str">
        <f t="shared" si="9"/>
        <v/>
      </c>
      <c r="X384" s="89">
        <f>S384/D384</f>
        <v>0</v>
      </c>
      <c r="Y384" s="90" t="str">
        <f t="shared" si="10"/>
        <v>ERR</v>
      </c>
      <c r="Z384" s="90">
        <f>IF(H384=0,0,CAPITAL!$H$5*Y384)
</f>
        <v>0</v>
      </c>
      <c r="AA384" s="90">
        <f>IF(I384=0,0,CAPITAL!$H$6*Y384)
</f>
        <v>0</v>
      </c>
      <c r="AB384" s="90">
        <f>IF(J384=0,0,CAPITAL!$H$7*Y384)
</f>
        <v>0</v>
      </c>
      <c r="AC384" s="90"/>
    </row>
    <row r="385">
      <c r="A385" s="104"/>
      <c r="B385" s="101">
        <v>380.0</v>
      </c>
      <c r="C385" s="79" t="str">
        <f>ENTRY!B379</f>
        <v>SILVERBEES</v>
      </c>
      <c r="D385" s="80">
        <f>CAPITAL!$C$2</f>
        <v>3350000</v>
      </c>
      <c r="E385" s="81" t="str">
        <f>ENTRY!C379</f>
        <v/>
      </c>
      <c r="F385" s="82" t="str">
        <f>ENTRY!D379</f>
        <v/>
      </c>
      <c r="G385" s="83" t="str">
        <f>ENTRY!E379</f>
        <v/>
      </c>
      <c r="H385" s="84">
        <f>G385*ENTRY!$O379</f>
        <v>0</v>
      </c>
      <c r="I385" s="84">
        <f>G385*ENTRY!$P379</f>
        <v>0</v>
      </c>
      <c r="J385" s="84">
        <f>G385*ENTRY!$Q379</f>
        <v>0</v>
      </c>
      <c r="K385" s="82">
        <f t="shared" si="2"/>
        <v>0</v>
      </c>
      <c r="L385" s="82" t="str">
        <f>ENTRY!F379</f>
        <v/>
      </c>
      <c r="M385" s="81" t="str">
        <f>ENTRY!G379</f>
        <v/>
      </c>
      <c r="N385" s="85" t="str">
        <f t="shared" si="3"/>
        <v/>
      </c>
      <c r="O385" s="86">
        <f t="shared" si="4"/>
        <v>0</v>
      </c>
      <c r="P385" s="86">
        <f t="shared" si="5"/>
        <v>0</v>
      </c>
      <c r="Q385" s="86">
        <f t="shared" si="6"/>
        <v>0</v>
      </c>
      <c r="R385" s="86">
        <f t="shared" si="7"/>
        <v>0</v>
      </c>
      <c r="S385" s="87" t="str">
        <f t="shared" ref="S385:V385" si="385">IFERROR(O385-Y385,"")
</f>
        <v/>
      </c>
      <c r="T385" s="87">
        <f t="shared" si="385"/>
        <v>0</v>
      </c>
      <c r="U385" s="87">
        <f t="shared" si="385"/>
        <v>0</v>
      </c>
      <c r="V385" s="87">
        <f t="shared" si="385"/>
        <v>0</v>
      </c>
      <c r="W385" s="88" t="str">
        <f t="shared" si="9"/>
        <v/>
      </c>
      <c r="X385" s="89">
        <f>IFERROR(S385/D385,"")</f>
        <v>0</v>
      </c>
      <c r="Y385" s="90" t="str">
        <f t="shared" si="10"/>
        <v>ERR</v>
      </c>
      <c r="Z385" s="90">
        <f>IF(H385=0,0,CAPITAL!$H$5*Y385)
</f>
        <v>0</v>
      </c>
      <c r="AA385" s="90">
        <f>IF(I385=0,0,CAPITAL!$H$6*Y385)
</f>
        <v>0</v>
      </c>
      <c r="AB385" s="90">
        <f>IF(J385=0,0,CAPITAL!$H$7*Y385)
</f>
        <v>0</v>
      </c>
      <c r="AC385" s="90"/>
    </row>
    <row r="386">
      <c r="A386" s="104"/>
      <c r="B386" s="101">
        <v>381.0</v>
      </c>
      <c r="C386" s="18" t="str">
        <f>ENTRY!B380</f>
        <v>SILVERBEES</v>
      </c>
      <c r="D386" s="93">
        <f>CAPITAL!$C$2</f>
        <v>3350000</v>
      </c>
      <c r="E386" s="94" t="str">
        <f>ENTRY!C380</f>
        <v/>
      </c>
      <c r="F386" s="95" t="str">
        <f>ENTRY!D380</f>
        <v/>
      </c>
      <c r="G386" s="96" t="str">
        <f>ENTRY!E380</f>
        <v/>
      </c>
      <c r="H386" s="97">
        <f>G386*ENTRY!$O380</f>
        <v>0</v>
      </c>
      <c r="I386" s="97">
        <f>G386*ENTRY!$P380</f>
        <v>0</v>
      </c>
      <c r="J386" s="97">
        <f>G386*ENTRY!$Q380</f>
        <v>0</v>
      </c>
      <c r="K386" s="95">
        <f t="shared" si="2"/>
        <v>0</v>
      </c>
      <c r="L386" s="95" t="str">
        <f>ENTRY!F380</f>
        <v/>
      </c>
      <c r="M386" s="94" t="str">
        <f>ENTRY!G380</f>
        <v/>
      </c>
      <c r="N386" s="98" t="str">
        <f t="shared" si="3"/>
        <v/>
      </c>
      <c r="O386" s="99">
        <f t="shared" si="4"/>
        <v>0</v>
      </c>
      <c r="P386" s="99">
        <f t="shared" si="5"/>
        <v>0</v>
      </c>
      <c r="Q386" s="99">
        <f t="shared" si="6"/>
        <v>0</v>
      </c>
      <c r="R386" s="99">
        <f t="shared" si="7"/>
        <v>0</v>
      </c>
      <c r="S386" s="100" t="str">
        <f t="shared" ref="S386:V386" si="386">IFERROR(O386-Y386,"")
</f>
        <v/>
      </c>
      <c r="T386" s="100">
        <f t="shared" si="386"/>
        <v>0</v>
      </c>
      <c r="U386" s="100">
        <f t="shared" si="386"/>
        <v>0</v>
      </c>
      <c r="V386" s="100">
        <f t="shared" si="386"/>
        <v>0</v>
      </c>
      <c r="W386" s="88" t="str">
        <f t="shared" si="9"/>
        <v/>
      </c>
      <c r="X386" s="89">
        <f>S386/D386</f>
        <v>0</v>
      </c>
      <c r="Y386" s="90" t="str">
        <f t="shared" si="10"/>
        <v>ERR</v>
      </c>
      <c r="Z386" s="90">
        <f>IF(H386=0,0,CAPITAL!$H$5*Y386)
</f>
        <v>0</v>
      </c>
      <c r="AA386" s="90">
        <f>IF(I386=0,0,CAPITAL!$H$6*Y386)
</f>
        <v>0</v>
      </c>
      <c r="AB386" s="90">
        <f>IF(J386=0,0,CAPITAL!$H$7*Y386)
</f>
        <v>0</v>
      </c>
      <c r="AC386" s="90"/>
    </row>
    <row r="387">
      <c r="A387" s="104"/>
      <c r="B387" s="101">
        <v>382.0</v>
      </c>
      <c r="C387" s="79" t="str">
        <f>ENTRY!B381</f>
        <v>SILVERBEES</v>
      </c>
      <c r="D387" s="80">
        <f>CAPITAL!$C$2</f>
        <v>3350000</v>
      </c>
      <c r="E387" s="81" t="str">
        <f>ENTRY!C381</f>
        <v/>
      </c>
      <c r="F387" s="82" t="str">
        <f>ENTRY!D381</f>
        <v/>
      </c>
      <c r="G387" s="83" t="str">
        <f>ENTRY!E381</f>
        <v/>
      </c>
      <c r="H387" s="84">
        <f>G387*ENTRY!$O381</f>
        <v>0</v>
      </c>
      <c r="I387" s="84">
        <f>G387*ENTRY!$P381</f>
        <v>0</v>
      </c>
      <c r="J387" s="84">
        <f>G387*ENTRY!$Q381</f>
        <v>0</v>
      </c>
      <c r="K387" s="82">
        <f t="shared" si="2"/>
        <v>0</v>
      </c>
      <c r="L387" s="82" t="str">
        <f>ENTRY!F381</f>
        <v/>
      </c>
      <c r="M387" s="81" t="str">
        <f>ENTRY!G381</f>
        <v/>
      </c>
      <c r="N387" s="85" t="str">
        <f t="shared" si="3"/>
        <v/>
      </c>
      <c r="O387" s="86">
        <f t="shared" si="4"/>
        <v>0</v>
      </c>
      <c r="P387" s="86">
        <f t="shared" si="5"/>
        <v>0</v>
      </c>
      <c r="Q387" s="86">
        <f t="shared" si="6"/>
        <v>0</v>
      </c>
      <c r="R387" s="86">
        <f t="shared" si="7"/>
        <v>0</v>
      </c>
      <c r="S387" s="87" t="str">
        <f t="shared" ref="S387:V387" si="387">IFERROR(O387-Y387,"")
</f>
        <v/>
      </c>
      <c r="T387" s="87">
        <f t="shared" si="387"/>
        <v>0</v>
      </c>
      <c r="U387" s="87">
        <f t="shared" si="387"/>
        <v>0</v>
      </c>
      <c r="V387" s="87">
        <f t="shared" si="387"/>
        <v>0</v>
      </c>
      <c r="W387" s="88" t="str">
        <f t="shared" si="9"/>
        <v/>
      </c>
      <c r="X387" s="89">
        <f>IFERROR(S387/D387,"")</f>
        <v>0</v>
      </c>
      <c r="Y387" s="90" t="str">
        <f t="shared" si="10"/>
        <v>ERR</v>
      </c>
      <c r="Z387" s="90">
        <f>IF(H387=0,0,CAPITAL!$H$5*Y387)
</f>
        <v>0</v>
      </c>
      <c r="AA387" s="90">
        <f>IF(I387=0,0,CAPITAL!$H$6*Y387)
</f>
        <v>0</v>
      </c>
      <c r="AB387" s="90">
        <f>IF(J387=0,0,CAPITAL!$H$7*Y387)
</f>
        <v>0</v>
      </c>
      <c r="AC387" s="90"/>
    </row>
    <row r="388">
      <c r="A388" s="104"/>
      <c r="B388" s="101">
        <v>383.0</v>
      </c>
      <c r="C388" s="18" t="str">
        <f>ENTRY!B382</f>
        <v>SILVERBEES</v>
      </c>
      <c r="D388" s="93">
        <f>CAPITAL!$C$2</f>
        <v>3350000</v>
      </c>
      <c r="E388" s="94" t="str">
        <f>ENTRY!C382</f>
        <v/>
      </c>
      <c r="F388" s="95" t="str">
        <f>ENTRY!D382</f>
        <v/>
      </c>
      <c r="G388" s="96" t="str">
        <f>ENTRY!E382</f>
        <v/>
      </c>
      <c r="H388" s="97">
        <f>G388*ENTRY!$O382</f>
        <v>0</v>
      </c>
      <c r="I388" s="97">
        <f>G388*ENTRY!$P382</f>
        <v>0</v>
      </c>
      <c r="J388" s="97">
        <f>G388*ENTRY!$Q382</f>
        <v>0</v>
      </c>
      <c r="K388" s="95">
        <f t="shared" si="2"/>
        <v>0</v>
      </c>
      <c r="L388" s="95" t="str">
        <f>ENTRY!F382</f>
        <v/>
      </c>
      <c r="M388" s="94" t="str">
        <f>ENTRY!G382</f>
        <v/>
      </c>
      <c r="N388" s="98" t="str">
        <f t="shared" si="3"/>
        <v/>
      </c>
      <c r="O388" s="99">
        <f t="shared" si="4"/>
        <v>0</v>
      </c>
      <c r="P388" s="99">
        <f t="shared" si="5"/>
        <v>0</v>
      </c>
      <c r="Q388" s="99">
        <f t="shared" si="6"/>
        <v>0</v>
      </c>
      <c r="R388" s="99">
        <f t="shared" si="7"/>
        <v>0</v>
      </c>
      <c r="S388" s="100" t="str">
        <f t="shared" ref="S388:V388" si="388">IFERROR(O388-Y388,"")
</f>
        <v/>
      </c>
      <c r="T388" s="100">
        <f t="shared" si="388"/>
        <v>0</v>
      </c>
      <c r="U388" s="100">
        <f t="shared" si="388"/>
        <v>0</v>
      </c>
      <c r="V388" s="100">
        <f t="shared" si="388"/>
        <v>0</v>
      </c>
      <c r="W388" s="88" t="str">
        <f t="shared" si="9"/>
        <v/>
      </c>
      <c r="X388" s="89">
        <f>S388/D388</f>
        <v>0</v>
      </c>
      <c r="Y388" s="90" t="str">
        <f t="shared" si="10"/>
        <v>ERR</v>
      </c>
      <c r="Z388" s="90">
        <f>IF(H388=0,0,CAPITAL!$H$5*Y388)
</f>
        <v>0</v>
      </c>
      <c r="AA388" s="90">
        <f>IF(I388=0,0,CAPITAL!$H$6*Y388)
</f>
        <v>0</v>
      </c>
      <c r="AB388" s="90">
        <f>IF(J388=0,0,CAPITAL!$H$7*Y388)
</f>
        <v>0</v>
      </c>
      <c r="AC388" s="90"/>
    </row>
    <row r="389">
      <c r="A389" s="104"/>
      <c r="B389" s="101">
        <v>384.0</v>
      </c>
      <c r="C389" s="79" t="str">
        <f>ENTRY!B383</f>
        <v>SILVERBEES</v>
      </c>
      <c r="D389" s="80">
        <f>CAPITAL!$C$2</f>
        <v>3350000</v>
      </c>
      <c r="E389" s="81" t="str">
        <f>ENTRY!C383</f>
        <v/>
      </c>
      <c r="F389" s="82" t="str">
        <f>ENTRY!D383</f>
        <v/>
      </c>
      <c r="G389" s="83" t="str">
        <f>ENTRY!E383</f>
        <v/>
      </c>
      <c r="H389" s="84">
        <f>G389*ENTRY!$O383</f>
        <v>0</v>
      </c>
      <c r="I389" s="84">
        <f>G389*ENTRY!$P383</f>
        <v>0</v>
      </c>
      <c r="J389" s="84">
        <f>G389*ENTRY!$Q383</f>
        <v>0</v>
      </c>
      <c r="K389" s="82">
        <f t="shared" si="2"/>
        <v>0</v>
      </c>
      <c r="L389" s="82" t="str">
        <f>ENTRY!F383</f>
        <v/>
      </c>
      <c r="M389" s="81" t="str">
        <f>ENTRY!G383</f>
        <v/>
      </c>
      <c r="N389" s="85" t="str">
        <f t="shared" si="3"/>
        <v/>
      </c>
      <c r="O389" s="86">
        <f t="shared" si="4"/>
        <v>0</v>
      </c>
      <c r="P389" s="86">
        <f t="shared" si="5"/>
        <v>0</v>
      </c>
      <c r="Q389" s="86">
        <f t="shared" si="6"/>
        <v>0</v>
      </c>
      <c r="R389" s="86">
        <f t="shared" si="7"/>
        <v>0</v>
      </c>
      <c r="S389" s="87" t="str">
        <f t="shared" ref="S389:V389" si="389">IFERROR(O389-Y389,"")
</f>
        <v/>
      </c>
      <c r="T389" s="87">
        <f t="shared" si="389"/>
        <v>0</v>
      </c>
      <c r="U389" s="87">
        <f t="shared" si="389"/>
        <v>0</v>
      </c>
      <c r="V389" s="87">
        <f t="shared" si="389"/>
        <v>0</v>
      </c>
      <c r="W389" s="88" t="str">
        <f t="shared" si="9"/>
        <v/>
      </c>
      <c r="X389" s="89">
        <f>IFERROR(S389/D389,"")</f>
        <v>0</v>
      </c>
      <c r="Y389" s="90" t="str">
        <f t="shared" si="10"/>
        <v>ERR</v>
      </c>
      <c r="Z389" s="90">
        <f>IF(H389=0,0,CAPITAL!$H$5*Y389)
</f>
        <v>0</v>
      </c>
      <c r="AA389" s="90">
        <f>IF(I389=0,0,CAPITAL!$H$6*Y389)
</f>
        <v>0</v>
      </c>
      <c r="AB389" s="90">
        <f>IF(J389=0,0,CAPITAL!$H$7*Y389)
</f>
        <v>0</v>
      </c>
      <c r="AC389" s="90"/>
    </row>
    <row r="390">
      <c r="A390" s="104"/>
      <c r="B390" s="101">
        <v>385.0</v>
      </c>
      <c r="C390" s="18" t="str">
        <f>ENTRY!B384</f>
        <v>SILVERBEES</v>
      </c>
      <c r="D390" s="93">
        <f>CAPITAL!$C$2</f>
        <v>3350000</v>
      </c>
      <c r="E390" s="94" t="str">
        <f>ENTRY!C384</f>
        <v/>
      </c>
      <c r="F390" s="95" t="str">
        <f>ENTRY!D384</f>
        <v/>
      </c>
      <c r="G390" s="96" t="str">
        <f>ENTRY!E384</f>
        <v/>
      </c>
      <c r="H390" s="97">
        <f>G390*ENTRY!$O384</f>
        <v>0</v>
      </c>
      <c r="I390" s="97">
        <f>G390*ENTRY!$P384</f>
        <v>0</v>
      </c>
      <c r="J390" s="97">
        <f>G390*ENTRY!$Q384</f>
        <v>0</v>
      </c>
      <c r="K390" s="95">
        <f t="shared" si="2"/>
        <v>0</v>
      </c>
      <c r="L390" s="95" t="str">
        <f>ENTRY!F384</f>
        <v/>
      </c>
      <c r="M390" s="94" t="str">
        <f>ENTRY!G384</f>
        <v/>
      </c>
      <c r="N390" s="98" t="str">
        <f t="shared" si="3"/>
        <v/>
      </c>
      <c r="O390" s="99">
        <f t="shared" si="4"/>
        <v>0</v>
      </c>
      <c r="P390" s="99">
        <f t="shared" si="5"/>
        <v>0</v>
      </c>
      <c r="Q390" s="99">
        <f t="shared" si="6"/>
        <v>0</v>
      </c>
      <c r="R390" s="99">
        <f t="shared" si="7"/>
        <v>0</v>
      </c>
      <c r="S390" s="100" t="str">
        <f t="shared" ref="S390:V390" si="390">IFERROR(O390-Y390,"")
</f>
        <v/>
      </c>
      <c r="T390" s="100">
        <f t="shared" si="390"/>
        <v>0</v>
      </c>
      <c r="U390" s="100">
        <f t="shared" si="390"/>
        <v>0</v>
      </c>
      <c r="V390" s="100">
        <f t="shared" si="390"/>
        <v>0</v>
      </c>
      <c r="W390" s="88" t="str">
        <f t="shared" si="9"/>
        <v/>
      </c>
      <c r="X390" s="89">
        <f>S390/D390</f>
        <v>0</v>
      </c>
      <c r="Y390" s="90" t="str">
        <f t="shared" si="10"/>
        <v>ERR</v>
      </c>
      <c r="Z390" s="90">
        <f>IF(H390=0,0,CAPITAL!$H$5*Y390)
</f>
        <v>0</v>
      </c>
      <c r="AA390" s="90">
        <f>IF(I390=0,0,CAPITAL!$H$6*Y390)
</f>
        <v>0</v>
      </c>
      <c r="AB390" s="90">
        <f>IF(J390=0,0,CAPITAL!$H$7*Y390)
</f>
        <v>0</v>
      </c>
      <c r="AC390" s="90"/>
    </row>
    <row r="391">
      <c r="A391" s="104"/>
      <c r="B391" s="101">
        <v>386.0</v>
      </c>
      <c r="C391" s="79" t="str">
        <f>ENTRY!B385</f>
        <v>SILVERBEES</v>
      </c>
      <c r="D391" s="80">
        <f>CAPITAL!$C$2</f>
        <v>3350000</v>
      </c>
      <c r="E391" s="81" t="str">
        <f>ENTRY!C385</f>
        <v/>
      </c>
      <c r="F391" s="82" t="str">
        <f>ENTRY!D385</f>
        <v/>
      </c>
      <c r="G391" s="83" t="str">
        <f>ENTRY!E385</f>
        <v/>
      </c>
      <c r="H391" s="84">
        <f>G391*ENTRY!$O385</f>
        <v>0</v>
      </c>
      <c r="I391" s="84">
        <f>G391*ENTRY!$P385</f>
        <v>0</v>
      </c>
      <c r="J391" s="84">
        <f>G391*ENTRY!$Q385</f>
        <v>0</v>
      </c>
      <c r="K391" s="82">
        <f t="shared" si="2"/>
        <v>0</v>
      </c>
      <c r="L391" s="82" t="str">
        <f>ENTRY!F385</f>
        <v/>
      </c>
      <c r="M391" s="81" t="str">
        <f>ENTRY!G385</f>
        <v/>
      </c>
      <c r="N391" s="85" t="str">
        <f t="shared" si="3"/>
        <v/>
      </c>
      <c r="O391" s="86">
        <f t="shared" si="4"/>
        <v>0</v>
      </c>
      <c r="P391" s="86">
        <f t="shared" si="5"/>
        <v>0</v>
      </c>
      <c r="Q391" s="86">
        <f t="shared" si="6"/>
        <v>0</v>
      </c>
      <c r="R391" s="86">
        <f t="shared" si="7"/>
        <v>0</v>
      </c>
      <c r="S391" s="87" t="str">
        <f t="shared" ref="S391:V391" si="391">IFERROR(O391-Y391,"")
</f>
        <v/>
      </c>
      <c r="T391" s="87">
        <f t="shared" si="391"/>
        <v>0</v>
      </c>
      <c r="U391" s="87">
        <f t="shared" si="391"/>
        <v>0</v>
      </c>
      <c r="V391" s="87">
        <f t="shared" si="391"/>
        <v>0</v>
      </c>
      <c r="W391" s="88" t="str">
        <f t="shared" si="9"/>
        <v/>
      </c>
      <c r="X391" s="89">
        <f>IFERROR(S391/D391,"")</f>
        <v>0</v>
      </c>
      <c r="Y391" s="90" t="str">
        <f t="shared" si="10"/>
        <v>ERR</v>
      </c>
      <c r="Z391" s="90">
        <f>IF(H391=0,0,CAPITAL!$H$5*Y391)
</f>
        <v>0</v>
      </c>
      <c r="AA391" s="90">
        <f>IF(I391=0,0,CAPITAL!$H$6*Y391)
</f>
        <v>0</v>
      </c>
      <c r="AB391" s="90">
        <f>IF(J391=0,0,CAPITAL!$H$7*Y391)
</f>
        <v>0</v>
      </c>
      <c r="AC391" s="90"/>
    </row>
    <row r="392">
      <c r="A392" s="104"/>
      <c r="B392" s="101">
        <v>387.0</v>
      </c>
      <c r="C392" s="18" t="str">
        <f>ENTRY!B386</f>
        <v>SILVERBEES</v>
      </c>
      <c r="D392" s="93">
        <f>CAPITAL!$C$2</f>
        <v>3350000</v>
      </c>
      <c r="E392" s="94" t="str">
        <f>ENTRY!C386</f>
        <v/>
      </c>
      <c r="F392" s="95" t="str">
        <f>ENTRY!D386</f>
        <v/>
      </c>
      <c r="G392" s="96" t="str">
        <f>ENTRY!E386</f>
        <v/>
      </c>
      <c r="H392" s="97">
        <f>G392*ENTRY!$O386</f>
        <v>0</v>
      </c>
      <c r="I392" s="97">
        <f>G392*ENTRY!$P386</f>
        <v>0</v>
      </c>
      <c r="J392" s="97">
        <f>G392*ENTRY!$Q386</f>
        <v>0</v>
      </c>
      <c r="K392" s="95">
        <f t="shared" si="2"/>
        <v>0</v>
      </c>
      <c r="L392" s="95" t="str">
        <f>ENTRY!F386</f>
        <v/>
      </c>
      <c r="M392" s="94" t="str">
        <f>ENTRY!G386</f>
        <v/>
      </c>
      <c r="N392" s="98" t="str">
        <f t="shared" si="3"/>
        <v/>
      </c>
      <c r="O392" s="99">
        <f t="shared" si="4"/>
        <v>0</v>
      </c>
      <c r="P392" s="99">
        <f t="shared" si="5"/>
        <v>0</v>
      </c>
      <c r="Q392" s="99">
        <f t="shared" si="6"/>
        <v>0</v>
      </c>
      <c r="R392" s="99">
        <f t="shared" si="7"/>
        <v>0</v>
      </c>
      <c r="S392" s="100" t="str">
        <f t="shared" ref="S392:V392" si="392">IFERROR(O392-Y392,"")
</f>
        <v/>
      </c>
      <c r="T392" s="100">
        <f t="shared" si="392"/>
        <v>0</v>
      </c>
      <c r="U392" s="100">
        <f t="shared" si="392"/>
        <v>0</v>
      </c>
      <c r="V392" s="100">
        <f t="shared" si="392"/>
        <v>0</v>
      </c>
      <c r="W392" s="88" t="str">
        <f t="shared" si="9"/>
        <v/>
      </c>
      <c r="X392" s="89">
        <f>S392/D392</f>
        <v>0</v>
      </c>
      <c r="Y392" s="90" t="str">
        <f t="shared" si="10"/>
        <v>ERR</v>
      </c>
      <c r="Z392" s="90">
        <f>IF(H392=0,0,CAPITAL!$H$5*Y392)
</f>
        <v>0</v>
      </c>
      <c r="AA392" s="90">
        <f>IF(I392=0,0,CAPITAL!$H$6*Y392)
</f>
        <v>0</v>
      </c>
      <c r="AB392" s="90">
        <f>IF(J392=0,0,CAPITAL!$H$7*Y392)
</f>
        <v>0</v>
      </c>
      <c r="AC392" s="90"/>
    </row>
    <row r="393">
      <c r="A393" s="104"/>
      <c r="B393" s="101">
        <v>388.0</v>
      </c>
      <c r="C393" s="79" t="str">
        <f>ENTRY!B387</f>
        <v>SILVERBEES</v>
      </c>
      <c r="D393" s="80">
        <f>CAPITAL!$C$2</f>
        <v>3350000</v>
      </c>
      <c r="E393" s="81" t="str">
        <f>ENTRY!C387</f>
        <v/>
      </c>
      <c r="F393" s="82" t="str">
        <f>ENTRY!D387</f>
        <v/>
      </c>
      <c r="G393" s="83" t="str">
        <f>ENTRY!E387</f>
        <v/>
      </c>
      <c r="H393" s="84">
        <f>G393*ENTRY!$O387</f>
        <v>0</v>
      </c>
      <c r="I393" s="84">
        <f>G393*ENTRY!$P387</f>
        <v>0</v>
      </c>
      <c r="J393" s="84">
        <f>G393*ENTRY!$Q387</f>
        <v>0</v>
      </c>
      <c r="K393" s="82">
        <f t="shared" si="2"/>
        <v>0</v>
      </c>
      <c r="L393" s="82" t="str">
        <f>ENTRY!F387</f>
        <v/>
      </c>
      <c r="M393" s="81" t="str">
        <f>ENTRY!G387</f>
        <v/>
      </c>
      <c r="N393" s="85" t="str">
        <f t="shared" si="3"/>
        <v/>
      </c>
      <c r="O393" s="86">
        <f t="shared" si="4"/>
        <v>0</v>
      </c>
      <c r="P393" s="86">
        <f t="shared" si="5"/>
        <v>0</v>
      </c>
      <c r="Q393" s="86">
        <f t="shared" si="6"/>
        <v>0</v>
      </c>
      <c r="R393" s="86">
        <f t="shared" si="7"/>
        <v>0</v>
      </c>
      <c r="S393" s="87" t="str">
        <f t="shared" ref="S393:V393" si="393">IFERROR(O393-Y393,"")
</f>
        <v/>
      </c>
      <c r="T393" s="87">
        <f t="shared" si="393"/>
        <v>0</v>
      </c>
      <c r="U393" s="87">
        <f t="shared" si="393"/>
        <v>0</v>
      </c>
      <c r="V393" s="87">
        <f t="shared" si="393"/>
        <v>0</v>
      </c>
      <c r="W393" s="88" t="str">
        <f t="shared" si="9"/>
        <v/>
      </c>
      <c r="X393" s="89">
        <f>IFERROR(S393/D393,"")</f>
        <v>0</v>
      </c>
      <c r="Y393" s="90" t="str">
        <f t="shared" si="10"/>
        <v>ERR</v>
      </c>
      <c r="Z393" s="90">
        <f>IF(H393=0,0,CAPITAL!$H$5*Y393)
</f>
        <v>0</v>
      </c>
      <c r="AA393" s="90">
        <f>IF(I393=0,0,CAPITAL!$H$6*Y393)
</f>
        <v>0</v>
      </c>
      <c r="AB393" s="90">
        <f>IF(J393=0,0,CAPITAL!$H$7*Y393)
</f>
        <v>0</v>
      </c>
      <c r="AC393" s="90"/>
    </row>
    <row r="394">
      <c r="A394" s="104"/>
      <c r="B394" s="101">
        <v>389.0</v>
      </c>
      <c r="C394" s="18" t="str">
        <f>ENTRY!B388</f>
        <v>SILVERBEES</v>
      </c>
      <c r="D394" s="93">
        <f>CAPITAL!$C$2</f>
        <v>3350000</v>
      </c>
      <c r="E394" s="94" t="str">
        <f>ENTRY!C388</f>
        <v/>
      </c>
      <c r="F394" s="95" t="str">
        <f>ENTRY!D388</f>
        <v/>
      </c>
      <c r="G394" s="96" t="str">
        <f>ENTRY!E388</f>
        <v/>
      </c>
      <c r="H394" s="97">
        <f>G394*ENTRY!$O388</f>
        <v>0</v>
      </c>
      <c r="I394" s="97">
        <f>G394*ENTRY!$P388</f>
        <v>0</v>
      </c>
      <c r="J394" s="97">
        <f>G394*ENTRY!$Q388</f>
        <v>0</v>
      </c>
      <c r="K394" s="95">
        <f t="shared" si="2"/>
        <v>0</v>
      </c>
      <c r="L394" s="95" t="str">
        <f>ENTRY!F388</f>
        <v/>
      </c>
      <c r="M394" s="94" t="str">
        <f>ENTRY!G388</f>
        <v/>
      </c>
      <c r="N394" s="98" t="str">
        <f t="shared" si="3"/>
        <v/>
      </c>
      <c r="O394" s="99">
        <f t="shared" si="4"/>
        <v>0</v>
      </c>
      <c r="P394" s="99">
        <f t="shared" si="5"/>
        <v>0</v>
      </c>
      <c r="Q394" s="99">
        <f t="shared" si="6"/>
        <v>0</v>
      </c>
      <c r="R394" s="99">
        <f t="shared" si="7"/>
        <v>0</v>
      </c>
      <c r="S394" s="100" t="str">
        <f t="shared" ref="S394:V394" si="394">IFERROR(O394-Y394,"")
</f>
        <v/>
      </c>
      <c r="T394" s="100">
        <f t="shared" si="394"/>
        <v>0</v>
      </c>
      <c r="U394" s="100">
        <f t="shared" si="394"/>
        <v>0</v>
      </c>
      <c r="V394" s="100">
        <f t="shared" si="394"/>
        <v>0</v>
      </c>
      <c r="W394" s="88" t="str">
        <f t="shared" si="9"/>
        <v/>
      </c>
      <c r="X394" s="89">
        <f>S394/D394</f>
        <v>0</v>
      </c>
      <c r="Y394" s="90" t="str">
        <f t="shared" si="10"/>
        <v>ERR</v>
      </c>
      <c r="Z394" s="90">
        <f>IF(H394=0,0,CAPITAL!$H$5*Y394)
</f>
        <v>0</v>
      </c>
      <c r="AA394" s="90">
        <f>IF(I394=0,0,CAPITAL!$H$6*Y394)
</f>
        <v>0</v>
      </c>
      <c r="AB394" s="90">
        <f>IF(J394=0,0,CAPITAL!$H$7*Y394)
</f>
        <v>0</v>
      </c>
      <c r="AC394" s="90"/>
    </row>
    <row r="395">
      <c r="A395" s="104"/>
      <c r="B395" s="101">
        <v>390.0</v>
      </c>
      <c r="C395" s="79" t="str">
        <f>ENTRY!B389</f>
        <v>SILVERBEES</v>
      </c>
      <c r="D395" s="80">
        <f>CAPITAL!$C$2</f>
        <v>3350000</v>
      </c>
      <c r="E395" s="81" t="str">
        <f>ENTRY!C389</f>
        <v/>
      </c>
      <c r="F395" s="82" t="str">
        <f>ENTRY!D389</f>
        <v/>
      </c>
      <c r="G395" s="83" t="str">
        <f>ENTRY!E389</f>
        <v/>
      </c>
      <c r="H395" s="84">
        <f>G395*ENTRY!$O389</f>
        <v>0</v>
      </c>
      <c r="I395" s="84">
        <f>G395*ENTRY!$P389</f>
        <v>0</v>
      </c>
      <c r="J395" s="84">
        <f>G395*ENTRY!$Q389</f>
        <v>0</v>
      </c>
      <c r="K395" s="82">
        <f t="shared" si="2"/>
        <v>0</v>
      </c>
      <c r="L395" s="82" t="str">
        <f>ENTRY!F389</f>
        <v/>
      </c>
      <c r="M395" s="81" t="str">
        <f>ENTRY!G389</f>
        <v/>
      </c>
      <c r="N395" s="85" t="str">
        <f t="shared" si="3"/>
        <v/>
      </c>
      <c r="O395" s="86">
        <f t="shared" si="4"/>
        <v>0</v>
      </c>
      <c r="P395" s="86">
        <f t="shared" si="5"/>
        <v>0</v>
      </c>
      <c r="Q395" s="86">
        <f t="shared" si="6"/>
        <v>0</v>
      </c>
      <c r="R395" s="86">
        <f t="shared" si="7"/>
        <v>0</v>
      </c>
      <c r="S395" s="87" t="str">
        <f t="shared" ref="S395:V395" si="395">IFERROR(O395-Y395,"")
</f>
        <v/>
      </c>
      <c r="T395" s="87">
        <f t="shared" si="395"/>
        <v>0</v>
      </c>
      <c r="U395" s="87">
        <f t="shared" si="395"/>
        <v>0</v>
      </c>
      <c r="V395" s="87">
        <f t="shared" si="395"/>
        <v>0</v>
      </c>
      <c r="W395" s="88" t="str">
        <f t="shared" si="9"/>
        <v/>
      </c>
      <c r="X395" s="89">
        <f>IFERROR(S395/D395,"")</f>
        <v>0</v>
      </c>
      <c r="Y395" s="90" t="str">
        <f t="shared" si="10"/>
        <v>ERR</v>
      </c>
      <c r="Z395" s="90">
        <f>IF(H395=0,0,CAPITAL!$H$5*Y395)
</f>
        <v>0</v>
      </c>
      <c r="AA395" s="90">
        <f>IF(I395=0,0,CAPITAL!$H$6*Y395)
</f>
        <v>0</v>
      </c>
      <c r="AB395" s="90">
        <f>IF(J395=0,0,CAPITAL!$H$7*Y395)
</f>
        <v>0</v>
      </c>
      <c r="AC395" s="90"/>
    </row>
    <row r="396">
      <c r="A396" s="104"/>
      <c r="B396" s="101">
        <v>391.0</v>
      </c>
      <c r="C396" s="18" t="str">
        <f>ENTRY!B390</f>
        <v>SILVERBEES</v>
      </c>
      <c r="D396" s="93">
        <f>CAPITAL!$C$2</f>
        <v>3350000</v>
      </c>
      <c r="E396" s="94" t="str">
        <f>ENTRY!C390</f>
        <v/>
      </c>
      <c r="F396" s="95" t="str">
        <f>ENTRY!D390</f>
        <v/>
      </c>
      <c r="G396" s="96" t="str">
        <f>ENTRY!E390</f>
        <v/>
      </c>
      <c r="H396" s="97">
        <f>G396*ENTRY!$O390</f>
        <v>0</v>
      </c>
      <c r="I396" s="97">
        <f>G396*ENTRY!$P390</f>
        <v>0</v>
      </c>
      <c r="J396" s="97">
        <f>G396*ENTRY!$Q390</f>
        <v>0</v>
      </c>
      <c r="K396" s="95">
        <f t="shared" si="2"/>
        <v>0</v>
      </c>
      <c r="L396" s="95" t="str">
        <f>ENTRY!F390</f>
        <v/>
      </c>
      <c r="M396" s="94" t="str">
        <f>ENTRY!G390</f>
        <v/>
      </c>
      <c r="N396" s="98" t="str">
        <f t="shared" si="3"/>
        <v/>
      </c>
      <c r="O396" s="99">
        <f t="shared" si="4"/>
        <v>0</v>
      </c>
      <c r="P396" s="99">
        <f t="shared" si="5"/>
        <v>0</v>
      </c>
      <c r="Q396" s="99">
        <f t="shared" si="6"/>
        <v>0</v>
      </c>
      <c r="R396" s="99">
        <f t="shared" si="7"/>
        <v>0</v>
      </c>
      <c r="S396" s="100" t="str">
        <f t="shared" ref="S396:V396" si="396">IFERROR(O396-Y396,"")
</f>
        <v/>
      </c>
      <c r="T396" s="100">
        <f t="shared" si="396"/>
        <v>0</v>
      </c>
      <c r="U396" s="100">
        <f t="shared" si="396"/>
        <v>0</v>
      </c>
      <c r="V396" s="100">
        <f t="shared" si="396"/>
        <v>0</v>
      </c>
      <c r="W396" s="88" t="str">
        <f t="shared" si="9"/>
        <v/>
      </c>
      <c r="X396" s="89">
        <f>S396/D396</f>
        <v>0</v>
      </c>
      <c r="Y396" s="90" t="str">
        <f t="shared" si="10"/>
        <v>ERR</v>
      </c>
      <c r="Z396" s="90">
        <f>IF(H396=0,0,CAPITAL!$H$5*Y396)
</f>
        <v>0</v>
      </c>
      <c r="AA396" s="90">
        <f>IF(I396=0,0,CAPITAL!$H$6*Y396)
</f>
        <v>0</v>
      </c>
      <c r="AB396" s="90">
        <f>IF(J396=0,0,CAPITAL!$H$7*Y396)
</f>
        <v>0</v>
      </c>
      <c r="AC396" s="90"/>
    </row>
    <row r="397">
      <c r="A397" s="104"/>
      <c r="B397" s="101">
        <v>392.0</v>
      </c>
      <c r="C397" s="79" t="str">
        <f>ENTRY!B391</f>
        <v>SILVERBEES</v>
      </c>
      <c r="D397" s="80">
        <f>CAPITAL!$C$2</f>
        <v>3350000</v>
      </c>
      <c r="E397" s="81" t="str">
        <f>ENTRY!C391</f>
        <v/>
      </c>
      <c r="F397" s="82" t="str">
        <f>ENTRY!D391</f>
        <v/>
      </c>
      <c r="G397" s="83" t="str">
        <f>ENTRY!E391</f>
        <v/>
      </c>
      <c r="H397" s="84">
        <f>G397*ENTRY!$O391</f>
        <v>0</v>
      </c>
      <c r="I397" s="84">
        <f>G397*ENTRY!$P391</f>
        <v>0</v>
      </c>
      <c r="J397" s="84">
        <f>G397*ENTRY!$Q391</f>
        <v>0</v>
      </c>
      <c r="K397" s="82">
        <f t="shared" si="2"/>
        <v>0</v>
      </c>
      <c r="L397" s="82" t="str">
        <f>ENTRY!F391</f>
        <v/>
      </c>
      <c r="M397" s="81" t="str">
        <f>ENTRY!G391</f>
        <v/>
      </c>
      <c r="N397" s="85" t="str">
        <f t="shared" si="3"/>
        <v/>
      </c>
      <c r="O397" s="86">
        <f t="shared" si="4"/>
        <v>0</v>
      </c>
      <c r="P397" s="86">
        <f t="shared" si="5"/>
        <v>0</v>
      </c>
      <c r="Q397" s="86">
        <f t="shared" si="6"/>
        <v>0</v>
      </c>
      <c r="R397" s="86">
        <f t="shared" si="7"/>
        <v>0</v>
      </c>
      <c r="S397" s="87" t="str">
        <f t="shared" ref="S397:V397" si="397">IFERROR(O397-Y397,"")
</f>
        <v/>
      </c>
      <c r="T397" s="87">
        <f t="shared" si="397"/>
        <v>0</v>
      </c>
      <c r="U397" s="87">
        <f t="shared" si="397"/>
        <v>0</v>
      </c>
      <c r="V397" s="87">
        <f t="shared" si="397"/>
        <v>0</v>
      </c>
      <c r="W397" s="88" t="str">
        <f t="shared" si="9"/>
        <v/>
      </c>
      <c r="X397" s="89">
        <f>IFERROR(S397/D397,"")</f>
        <v>0</v>
      </c>
      <c r="Y397" s="90" t="str">
        <f t="shared" si="10"/>
        <v>ERR</v>
      </c>
      <c r="Z397" s="90">
        <f>IF(H397=0,0,CAPITAL!$H$5*Y397)
</f>
        <v>0</v>
      </c>
      <c r="AA397" s="90">
        <f>IF(I397=0,0,CAPITAL!$H$6*Y397)
</f>
        <v>0</v>
      </c>
      <c r="AB397" s="90">
        <f>IF(J397=0,0,CAPITAL!$H$7*Y397)
</f>
        <v>0</v>
      </c>
      <c r="AC397" s="90"/>
    </row>
    <row r="398">
      <c r="A398" s="104"/>
      <c r="B398" s="101">
        <v>393.0</v>
      </c>
      <c r="C398" s="18" t="str">
        <f>ENTRY!B392</f>
        <v>SILVERBEES</v>
      </c>
      <c r="D398" s="93">
        <f>CAPITAL!$C$2</f>
        <v>3350000</v>
      </c>
      <c r="E398" s="94" t="str">
        <f>ENTRY!C392</f>
        <v/>
      </c>
      <c r="F398" s="95" t="str">
        <f>ENTRY!D392</f>
        <v/>
      </c>
      <c r="G398" s="96" t="str">
        <f>ENTRY!E392</f>
        <v/>
      </c>
      <c r="H398" s="97">
        <f>G398*ENTRY!$O392</f>
        <v>0</v>
      </c>
      <c r="I398" s="97">
        <f>G398*ENTRY!$P392</f>
        <v>0</v>
      </c>
      <c r="J398" s="97">
        <f>G398*ENTRY!$Q392</f>
        <v>0</v>
      </c>
      <c r="K398" s="95">
        <f t="shared" si="2"/>
        <v>0</v>
      </c>
      <c r="L398" s="95" t="str">
        <f>ENTRY!F392</f>
        <v/>
      </c>
      <c r="M398" s="94" t="str">
        <f>ENTRY!G392</f>
        <v/>
      </c>
      <c r="N398" s="98" t="str">
        <f t="shared" si="3"/>
        <v/>
      </c>
      <c r="O398" s="99">
        <f t="shared" si="4"/>
        <v>0</v>
      </c>
      <c r="P398" s="99">
        <f t="shared" si="5"/>
        <v>0</v>
      </c>
      <c r="Q398" s="99">
        <f t="shared" si="6"/>
        <v>0</v>
      </c>
      <c r="R398" s="99">
        <f t="shared" si="7"/>
        <v>0</v>
      </c>
      <c r="S398" s="100" t="str">
        <f t="shared" ref="S398:V398" si="398">IFERROR(O398-Y398,"")
</f>
        <v/>
      </c>
      <c r="T398" s="100">
        <f t="shared" si="398"/>
        <v>0</v>
      </c>
      <c r="U398" s="100">
        <f t="shared" si="398"/>
        <v>0</v>
      </c>
      <c r="V398" s="100">
        <f t="shared" si="398"/>
        <v>0</v>
      </c>
      <c r="W398" s="88" t="str">
        <f t="shared" si="9"/>
        <v/>
      </c>
      <c r="X398" s="89">
        <f>S398/D398</f>
        <v>0</v>
      </c>
      <c r="Y398" s="90" t="str">
        <f t="shared" si="10"/>
        <v>ERR</v>
      </c>
      <c r="Z398" s="90">
        <f>IF(H398=0,0,CAPITAL!$H$5*Y398)
</f>
        <v>0</v>
      </c>
      <c r="AA398" s="90">
        <f>IF(I398=0,0,CAPITAL!$H$6*Y398)
</f>
        <v>0</v>
      </c>
      <c r="AB398" s="90">
        <f>IF(J398=0,0,CAPITAL!$H$7*Y398)
</f>
        <v>0</v>
      </c>
      <c r="AC398" s="90"/>
    </row>
    <row r="399">
      <c r="A399" s="104"/>
      <c r="B399" s="101">
        <v>394.0</v>
      </c>
      <c r="C399" s="79" t="str">
        <f>ENTRY!B393</f>
        <v>SILVERBEES</v>
      </c>
      <c r="D399" s="80">
        <f>CAPITAL!$C$2</f>
        <v>3350000</v>
      </c>
      <c r="E399" s="81" t="str">
        <f>ENTRY!C393</f>
        <v/>
      </c>
      <c r="F399" s="82" t="str">
        <f>ENTRY!D393</f>
        <v/>
      </c>
      <c r="G399" s="83" t="str">
        <f>ENTRY!E393</f>
        <v/>
      </c>
      <c r="H399" s="84">
        <f>G399*ENTRY!$O393</f>
        <v>0</v>
      </c>
      <c r="I399" s="84">
        <f>G399*ENTRY!$P393</f>
        <v>0</v>
      </c>
      <c r="J399" s="84">
        <f>G399*ENTRY!$Q393</f>
        <v>0</v>
      </c>
      <c r="K399" s="82">
        <f t="shared" si="2"/>
        <v>0</v>
      </c>
      <c r="L399" s="82" t="str">
        <f>ENTRY!F393</f>
        <v/>
      </c>
      <c r="M399" s="81" t="str">
        <f>ENTRY!G393</f>
        <v/>
      </c>
      <c r="N399" s="85" t="str">
        <f t="shared" si="3"/>
        <v/>
      </c>
      <c r="O399" s="86">
        <f t="shared" si="4"/>
        <v>0</v>
      </c>
      <c r="P399" s="86">
        <f t="shared" si="5"/>
        <v>0</v>
      </c>
      <c r="Q399" s="86">
        <f t="shared" si="6"/>
        <v>0</v>
      </c>
      <c r="R399" s="86">
        <f t="shared" si="7"/>
        <v>0</v>
      </c>
      <c r="S399" s="87" t="str">
        <f t="shared" ref="S399:V399" si="399">IFERROR(O399-Y399,"")
</f>
        <v/>
      </c>
      <c r="T399" s="87">
        <f t="shared" si="399"/>
        <v>0</v>
      </c>
      <c r="U399" s="87">
        <f t="shared" si="399"/>
        <v>0</v>
      </c>
      <c r="V399" s="87">
        <f t="shared" si="399"/>
        <v>0</v>
      </c>
      <c r="W399" s="88" t="str">
        <f t="shared" si="9"/>
        <v/>
      </c>
      <c r="X399" s="89">
        <f>IFERROR(S399/D399,"")</f>
        <v>0</v>
      </c>
      <c r="Y399" s="90" t="str">
        <f t="shared" si="10"/>
        <v>ERR</v>
      </c>
      <c r="Z399" s="90">
        <f>IF(H399=0,0,CAPITAL!$H$5*Y399)
</f>
        <v>0</v>
      </c>
      <c r="AA399" s="90">
        <f>IF(I399=0,0,CAPITAL!$H$6*Y399)
</f>
        <v>0</v>
      </c>
      <c r="AB399" s="90">
        <f>IF(J399=0,0,CAPITAL!$H$7*Y399)
</f>
        <v>0</v>
      </c>
      <c r="AC399" s="90"/>
    </row>
    <row r="400">
      <c r="A400" s="104"/>
      <c r="B400" s="101">
        <v>395.0</v>
      </c>
      <c r="C400" s="18" t="str">
        <f>ENTRY!B394</f>
        <v>SILVERBEES</v>
      </c>
      <c r="D400" s="93">
        <f>CAPITAL!$C$2</f>
        <v>3350000</v>
      </c>
      <c r="E400" s="94" t="str">
        <f>ENTRY!C394</f>
        <v/>
      </c>
      <c r="F400" s="95" t="str">
        <f>ENTRY!D394</f>
        <v/>
      </c>
      <c r="G400" s="96" t="str">
        <f>ENTRY!E394</f>
        <v/>
      </c>
      <c r="H400" s="97">
        <f>G400*ENTRY!$O394</f>
        <v>0</v>
      </c>
      <c r="I400" s="97">
        <f>G400*ENTRY!$P394</f>
        <v>0</v>
      </c>
      <c r="J400" s="97">
        <f>G400*ENTRY!$Q394</f>
        <v>0</v>
      </c>
      <c r="K400" s="95">
        <f t="shared" si="2"/>
        <v>0</v>
      </c>
      <c r="L400" s="95" t="str">
        <f>ENTRY!F394</f>
        <v/>
      </c>
      <c r="M400" s="94" t="str">
        <f>ENTRY!G394</f>
        <v/>
      </c>
      <c r="N400" s="98" t="str">
        <f t="shared" si="3"/>
        <v/>
      </c>
      <c r="O400" s="99">
        <f t="shared" si="4"/>
        <v>0</v>
      </c>
      <c r="P400" s="99">
        <f t="shared" si="5"/>
        <v>0</v>
      </c>
      <c r="Q400" s="99">
        <f t="shared" si="6"/>
        <v>0</v>
      </c>
      <c r="R400" s="99">
        <f t="shared" si="7"/>
        <v>0</v>
      </c>
      <c r="S400" s="100" t="str">
        <f t="shared" ref="S400:V400" si="400">IFERROR(O400-Y400,"")
</f>
        <v/>
      </c>
      <c r="T400" s="100">
        <f t="shared" si="400"/>
        <v>0</v>
      </c>
      <c r="U400" s="100">
        <f t="shared" si="400"/>
        <v>0</v>
      </c>
      <c r="V400" s="100">
        <f t="shared" si="400"/>
        <v>0</v>
      </c>
      <c r="W400" s="88" t="str">
        <f t="shared" si="9"/>
        <v/>
      </c>
      <c r="X400" s="89">
        <f>S400/D400</f>
        <v>0</v>
      </c>
      <c r="Y400" s="90" t="str">
        <f t="shared" si="10"/>
        <v>ERR</v>
      </c>
      <c r="Z400" s="90">
        <f>IF(H400=0,0,CAPITAL!$H$5*Y400)
</f>
        <v>0</v>
      </c>
      <c r="AA400" s="90">
        <f>IF(I400=0,0,CAPITAL!$H$6*Y400)
</f>
        <v>0</v>
      </c>
      <c r="AB400" s="90">
        <f>IF(J400=0,0,CAPITAL!$H$7*Y400)
</f>
        <v>0</v>
      </c>
      <c r="AC400" s="90"/>
    </row>
    <row r="401">
      <c r="A401" s="104"/>
      <c r="B401" s="101">
        <v>396.0</v>
      </c>
      <c r="C401" s="79" t="str">
        <f>ENTRY!B395</f>
        <v>SILVERBEES</v>
      </c>
      <c r="D401" s="80">
        <f>CAPITAL!$C$2</f>
        <v>3350000</v>
      </c>
      <c r="E401" s="81" t="str">
        <f>ENTRY!C395</f>
        <v/>
      </c>
      <c r="F401" s="82" t="str">
        <f>ENTRY!D395</f>
        <v/>
      </c>
      <c r="G401" s="83" t="str">
        <f>ENTRY!E395</f>
        <v/>
      </c>
      <c r="H401" s="84">
        <f>G401*ENTRY!$O395</f>
        <v>0</v>
      </c>
      <c r="I401" s="84">
        <f>G401*ENTRY!$P395</f>
        <v>0</v>
      </c>
      <c r="J401" s="84">
        <f>G401*ENTRY!$Q395</f>
        <v>0</v>
      </c>
      <c r="K401" s="82">
        <f t="shared" si="2"/>
        <v>0</v>
      </c>
      <c r="L401" s="82" t="str">
        <f>ENTRY!F395</f>
        <v/>
      </c>
      <c r="M401" s="81" t="str">
        <f>ENTRY!G395</f>
        <v/>
      </c>
      <c r="N401" s="85" t="str">
        <f t="shared" si="3"/>
        <v/>
      </c>
      <c r="O401" s="86">
        <f t="shared" si="4"/>
        <v>0</v>
      </c>
      <c r="P401" s="86">
        <f t="shared" si="5"/>
        <v>0</v>
      </c>
      <c r="Q401" s="86">
        <f t="shared" si="6"/>
        <v>0</v>
      </c>
      <c r="R401" s="86">
        <f t="shared" si="7"/>
        <v>0</v>
      </c>
      <c r="S401" s="87" t="str">
        <f t="shared" ref="S401:V401" si="401">IFERROR(O401-Y401,"")
</f>
        <v/>
      </c>
      <c r="T401" s="87">
        <f t="shared" si="401"/>
        <v>0</v>
      </c>
      <c r="U401" s="87">
        <f t="shared" si="401"/>
        <v>0</v>
      </c>
      <c r="V401" s="87">
        <f t="shared" si="401"/>
        <v>0</v>
      </c>
      <c r="W401" s="88" t="str">
        <f t="shared" si="9"/>
        <v/>
      </c>
      <c r="X401" s="89">
        <f>IFERROR(S401/D401,"")</f>
        <v>0</v>
      </c>
      <c r="Y401" s="90" t="str">
        <f t="shared" si="10"/>
        <v>ERR</v>
      </c>
      <c r="Z401" s="90">
        <f>IF(H401=0,0,CAPITAL!$H$5*Y401)
</f>
        <v>0</v>
      </c>
      <c r="AA401" s="90">
        <f>IF(I401=0,0,CAPITAL!$H$6*Y401)
</f>
        <v>0</v>
      </c>
      <c r="AB401" s="90">
        <f>IF(J401=0,0,CAPITAL!$H$7*Y401)
</f>
        <v>0</v>
      </c>
      <c r="AC401" s="90"/>
    </row>
    <row r="402">
      <c r="A402" s="104"/>
      <c r="B402" s="101">
        <v>397.0</v>
      </c>
      <c r="C402" s="18" t="str">
        <f>ENTRY!B396</f>
        <v>SILVERBEES</v>
      </c>
      <c r="D402" s="93">
        <f>CAPITAL!$C$2</f>
        <v>3350000</v>
      </c>
      <c r="E402" s="94" t="str">
        <f>ENTRY!C396</f>
        <v/>
      </c>
      <c r="F402" s="95" t="str">
        <f>ENTRY!D396</f>
        <v/>
      </c>
      <c r="G402" s="96" t="str">
        <f>ENTRY!E396</f>
        <v/>
      </c>
      <c r="H402" s="97">
        <f>G402*ENTRY!$O396</f>
        <v>0</v>
      </c>
      <c r="I402" s="97">
        <f>G402*ENTRY!$P396</f>
        <v>0</v>
      </c>
      <c r="J402" s="97">
        <f>G402*ENTRY!$Q396</f>
        <v>0</v>
      </c>
      <c r="K402" s="95">
        <f t="shared" si="2"/>
        <v>0</v>
      </c>
      <c r="L402" s="95" t="str">
        <f>ENTRY!F396</f>
        <v/>
      </c>
      <c r="M402" s="94" t="str">
        <f>ENTRY!G396</f>
        <v/>
      </c>
      <c r="N402" s="98" t="str">
        <f t="shared" si="3"/>
        <v/>
      </c>
      <c r="O402" s="99">
        <f t="shared" si="4"/>
        <v>0</v>
      </c>
      <c r="P402" s="99">
        <f t="shared" si="5"/>
        <v>0</v>
      </c>
      <c r="Q402" s="99">
        <f t="shared" si="6"/>
        <v>0</v>
      </c>
      <c r="R402" s="99">
        <f t="shared" si="7"/>
        <v>0</v>
      </c>
      <c r="S402" s="100" t="str">
        <f t="shared" ref="S402:V402" si="402">IFERROR(O402-Y402,"")
</f>
        <v/>
      </c>
      <c r="T402" s="100">
        <f t="shared" si="402"/>
        <v>0</v>
      </c>
      <c r="U402" s="100">
        <f t="shared" si="402"/>
        <v>0</v>
      </c>
      <c r="V402" s="100">
        <f t="shared" si="402"/>
        <v>0</v>
      </c>
      <c r="W402" s="88" t="str">
        <f t="shared" si="9"/>
        <v/>
      </c>
      <c r="X402" s="89">
        <f>S402/D402</f>
        <v>0</v>
      </c>
      <c r="Y402" s="90" t="str">
        <f t="shared" si="10"/>
        <v>ERR</v>
      </c>
      <c r="Z402" s="90">
        <f>IF(H402=0,0,CAPITAL!$H$5*Y402)
</f>
        <v>0</v>
      </c>
      <c r="AA402" s="90">
        <f>IF(I402=0,0,CAPITAL!$H$6*Y402)
</f>
        <v>0</v>
      </c>
      <c r="AB402" s="90">
        <f>IF(J402=0,0,CAPITAL!$H$7*Y402)
</f>
        <v>0</v>
      </c>
      <c r="AC402" s="90"/>
    </row>
    <row r="403">
      <c r="A403" s="104"/>
      <c r="B403" s="101">
        <v>398.0</v>
      </c>
      <c r="C403" s="79" t="str">
        <f>ENTRY!B397</f>
        <v>SILVERBEES</v>
      </c>
      <c r="D403" s="80">
        <f>CAPITAL!$C$2</f>
        <v>3350000</v>
      </c>
      <c r="E403" s="81" t="str">
        <f>ENTRY!C397</f>
        <v/>
      </c>
      <c r="F403" s="82" t="str">
        <f>ENTRY!D397</f>
        <v/>
      </c>
      <c r="G403" s="83" t="str">
        <f>ENTRY!E397</f>
        <v/>
      </c>
      <c r="H403" s="84">
        <f>G403*ENTRY!$O397</f>
        <v>0</v>
      </c>
      <c r="I403" s="84">
        <f>G403*ENTRY!$P397</f>
        <v>0</v>
      </c>
      <c r="J403" s="84">
        <f>G403*ENTRY!$Q397</f>
        <v>0</v>
      </c>
      <c r="K403" s="82">
        <f t="shared" si="2"/>
        <v>0</v>
      </c>
      <c r="L403" s="82" t="str">
        <f>ENTRY!F397</f>
        <v/>
      </c>
      <c r="M403" s="81" t="str">
        <f>ENTRY!G397</f>
        <v/>
      </c>
      <c r="N403" s="85" t="str">
        <f t="shared" si="3"/>
        <v/>
      </c>
      <c r="O403" s="86">
        <f t="shared" si="4"/>
        <v>0</v>
      </c>
      <c r="P403" s="86">
        <f t="shared" si="5"/>
        <v>0</v>
      </c>
      <c r="Q403" s="86">
        <f t="shared" si="6"/>
        <v>0</v>
      </c>
      <c r="R403" s="86">
        <f t="shared" si="7"/>
        <v>0</v>
      </c>
      <c r="S403" s="87" t="str">
        <f t="shared" ref="S403:V403" si="403">IFERROR(O403-Y403,"")
</f>
        <v/>
      </c>
      <c r="T403" s="87">
        <f t="shared" si="403"/>
        <v>0</v>
      </c>
      <c r="U403" s="87">
        <f t="shared" si="403"/>
        <v>0</v>
      </c>
      <c r="V403" s="87">
        <f t="shared" si="403"/>
        <v>0</v>
      </c>
      <c r="W403" s="88" t="str">
        <f t="shared" si="9"/>
        <v/>
      </c>
      <c r="X403" s="89">
        <f>IFERROR(S403/D403,"")</f>
        <v>0</v>
      </c>
      <c r="Y403" s="90" t="str">
        <f t="shared" si="10"/>
        <v>ERR</v>
      </c>
      <c r="Z403" s="90">
        <f>IF(H403=0,0,CAPITAL!$H$5*Y403)
</f>
        <v>0</v>
      </c>
      <c r="AA403" s="90">
        <f>IF(I403=0,0,CAPITAL!$H$6*Y403)
</f>
        <v>0</v>
      </c>
      <c r="AB403" s="90">
        <f>IF(J403=0,0,CAPITAL!$H$7*Y403)
</f>
        <v>0</v>
      </c>
      <c r="AC403" s="90"/>
    </row>
    <row r="404">
      <c r="A404" s="104"/>
      <c r="B404" s="101">
        <v>399.0</v>
      </c>
      <c r="C404" s="18" t="str">
        <f>ENTRY!B398</f>
        <v>SILVERBEES</v>
      </c>
      <c r="D404" s="93">
        <f>CAPITAL!$C$2</f>
        <v>3350000</v>
      </c>
      <c r="E404" s="94" t="str">
        <f>ENTRY!C398</f>
        <v/>
      </c>
      <c r="F404" s="95" t="str">
        <f>ENTRY!D398</f>
        <v/>
      </c>
      <c r="G404" s="96" t="str">
        <f>ENTRY!E398</f>
        <v/>
      </c>
      <c r="H404" s="97">
        <f>G404*ENTRY!$O398</f>
        <v>0</v>
      </c>
      <c r="I404" s="97">
        <f>G404*ENTRY!$P398</f>
        <v>0</v>
      </c>
      <c r="J404" s="97">
        <f>G404*ENTRY!$Q398</f>
        <v>0</v>
      </c>
      <c r="K404" s="95">
        <f t="shared" si="2"/>
        <v>0</v>
      </c>
      <c r="L404" s="95" t="str">
        <f>ENTRY!F398</f>
        <v/>
      </c>
      <c r="M404" s="94" t="str">
        <f>ENTRY!G398</f>
        <v/>
      </c>
      <c r="N404" s="98" t="str">
        <f t="shared" si="3"/>
        <v/>
      </c>
      <c r="O404" s="99">
        <f t="shared" si="4"/>
        <v>0</v>
      </c>
      <c r="P404" s="99">
        <f t="shared" si="5"/>
        <v>0</v>
      </c>
      <c r="Q404" s="99">
        <f t="shared" si="6"/>
        <v>0</v>
      </c>
      <c r="R404" s="99">
        <f t="shared" si="7"/>
        <v>0</v>
      </c>
      <c r="S404" s="100" t="str">
        <f t="shared" ref="S404:V404" si="404">IFERROR(O404-Y404,"")
</f>
        <v/>
      </c>
      <c r="T404" s="100">
        <f t="shared" si="404"/>
        <v>0</v>
      </c>
      <c r="U404" s="100">
        <f t="shared" si="404"/>
        <v>0</v>
      </c>
      <c r="V404" s="100">
        <f t="shared" si="404"/>
        <v>0</v>
      </c>
      <c r="W404" s="88" t="str">
        <f t="shared" si="9"/>
        <v/>
      </c>
      <c r="X404" s="89">
        <f>S404/D404</f>
        <v>0</v>
      </c>
      <c r="Y404" s="90" t="str">
        <f t="shared" si="10"/>
        <v>ERR</v>
      </c>
      <c r="Z404" s="90">
        <f>IF(H404=0,0,CAPITAL!$H$5*Y404)
</f>
        <v>0</v>
      </c>
      <c r="AA404" s="90">
        <f>IF(I404=0,0,CAPITAL!$H$6*Y404)
</f>
        <v>0</v>
      </c>
      <c r="AB404" s="90">
        <f>IF(J404=0,0,CAPITAL!$H$7*Y404)
</f>
        <v>0</v>
      </c>
      <c r="AC404" s="90"/>
    </row>
    <row r="405">
      <c r="A405" s="104"/>
      <c r="B405" s="101">
        <v>400.0</v>
      </c>
      <c r="C405" s="79" t="str">
        <f>ENTRY!B399</f>
        <v>SILVERBEES</v>
      </c>
      <c r="D405" s="80">
        <f>CAPITAL!$C$2</f>
        <v>3350000</v>
      </c>
      <c r="E405" s="81" t="str">
        <f>ENTRY!C399</f>
        <v/>
      </c>
      <c r="F405" s="82" t="str">
        <f>ENTRY!D399</f>
        <v/>
      </c>
      <c r="G405" s="83" t="str">
        <f>ENTRY!E399</f>
        <v/>
      </c>
      <c r="H405" s="84">
        <f>G405*ENTRY!$O399</f>
        <v>0</v>
      </c>
      <c r="I405" s="84">
        <f>G405*ENTRY!$P399</f>
        <v>0</v>
      </c>
      <c r="J405" s="84">
        <f>G405*ENTRY!$Q399</f>
        <v>0</v>
      </c>
      <c r="K405" s="82">
        <f t="shared" si="2"/>
        <v>0</v>
      </c>
      <c r="L405" s="82" t="str">
        <f>ENTRY!F399</f>
        <v/>
      </c>
      <c r="M405" s="81" t="str">
        <f>ENTRY!G399</f>
        <v/>
      </c>
      <c r="N405" s="85" t="str">
        <f t="shared" si="3"/>
        <v/>
      </c>
      <c r="O405" s="86">
        <f t="shared" si="4"/>
        <v>0</v>
      </c>
      <c r="P405" s="86">
        <f t="shared" si="5"/>
        <v>0</v>
      </c>
      <c r="Q405" s="86">
        <f t="shared" si="6"/>
        <v>0</v>
      </c>
      <c r="R405" s="86">
        <f t="shared" si="7"/>
        <v>0</v>
      </c>
      <c r="S405" s="87" t="str">
        <f t="shared" ref="S405:V405" si="405">IFERROR(O405-Y405,"")
</f>
        <v/>
      </c>
      <c r="T405" s="87">
        <f t="shared" si="405"/>
        <v>0</v>
      </c>
      <c r="U405" s="87">
        <f t="shared" si="405"/>
        <v>0</v>
      </c>
      <c r="V405" s="87">
        <f t="shared" si="405"/>
        <v>0</v>
      </c>
      <c r="W405" s="88" t="str">
        <f t="shared" si="9"/>
        <v/>
      </c>
      <c r="X405" s="89">
        <f>IFERROR(S405/D405,"")</f>
        <v>0</v>
      </c>
      <c r="Y405" s="90" t="str">
        <f t="shared" si="10"/>
        <v>ERR</v>
      </c>
      <c r="Z405" s="90">
        <f>IF(H405=0,0,CAPITAL!$H$5*Y405)
</f>
        <v>0</v>
      </c>
      <c r="AA405" s="90">
        <f>IF(I405=0,0,CAPITAL!$H$6*Y405)
</f>
        <v>0</v>
      </c>
      <c r="AB405" s="90">
        <f>IF(J405=0,0,CAPITAL!$H$7*Y405)
</f>
        <v>0</v>
      </c>
      <c r="AC405" s="90"/>
    </row>
    <row r="406">
      <c r="A406" s="104"/>
      <c r="B406" s="101">
        <v>401.0</v>
      </c>
      <c r="C406" s="18" t="str">
        <f>ENTRY!B400</f>
        <v>SILVERBEES</v>
      </c>
      <c r="D406" s="93">
        <f>CAPITAL!$C$2</f>
        <v>3350000</v>
      </c>
      <c r="E406" s="94" t="str">
        <f>ENTRY!C400</f>
        <v/>
      </c>
      <c r="F406" s="95" t="str">
        <f>ENTRY!D400</f>
        <v/>
      </c>
      <c r="G406" s="96" t="str">
        <f>ENTRY!E400</f>
        <v/>
      </c>
      <c r="H406" s="97">
        <f>G406*ENTRY!$O400</f>
        <v>0</v>
      </c>
      <c r="I406" s="97">
        <f>G406*ENTRY!$P400</f>
        <v>0</v>
      </c>
      <c r="J406" s="97">
        <f>G406*ENTRY!$Q400</f>
        <v>0</v>
      </c>
      <c r="K406" s="95">
        <f t="shared" si="2"/>
        <v>0</v>
      </c>
      <c r="L406" s="95" t="str">
        <f>ENTRY!F400</f>
        <v/>
      </c>
      <c r="M406" s="94" t="str">
        <f>ENTRY!G400</f>
        <v/>
      </c>
      <c r="N406" s="98" t="str">
        <f t="shared" si="3"/>
        <v/>
      </c>
      <c r="O406" s="99">
        <f t="shared" si="4"/>
        <v>0</v>
      </c>
      <c r="P406" s="99">
        <f t="shared" si="5"/>
        <v>0</v>
      </c>
      <c r="Q406" s="99">
        <f t="shared" si="6"/>
        <v>0</v>
      </c>
      <c r="R406" s="99">
        <f t="shared" si="7"/>
        <v>0</v>
      </c>
      <c r="S406" s="100" t="str">
        <f t="shared" ref="S406:V406" si="406">IFERROR(O406-Y406,"")
</f>
        <v/>
      </c>
      <c r="T406" s="100">
        <f t="shared" si="406"/>
        <v>0</v>
      </c>
      <c r="U406" s="100">
        <f t="shared" si="406"/>
        <v>0</v>
      </c>
      <c r="V406" s="100">
        <f t="shared" si="406"/>
        <v>0</v>
      </c>
      <c r="W406" s="88" t="str">
        <f t="shared" si="9"/>
        <v/>
      </c>
      <c r="X406" s="89">
        <f>S406/D406</f>
        <v>0</v>
      </c>
      <c r="Y406" s="90" t="str">
        <f t="shared" si="10"/>
        <v>ERR</v>
      </c>
      <c r="Z406" s="90">
        <f>IF(H406=0,0,CAPITAL!$H$5*Y406)
</f>
        <v>0</v>
      </c>
      <c r="AA406" s="90">
        <f>IF(I406=0,0,CAPITAL!$H$6*Y406)
</f>
        <v>0</v>
      </c>
      <c r="AB406" s="90">
        <f>IF(J406=0,0,CAPITAL!$H$7*Y406)
</f>
        <v>0</v>
      </c>
      <c r="AC406" s="90"/>
    </row>
    <row r="407">
      <c r="A407" s="104"/>
      <c r="B407" s="101">
        <v>402.0</v>
      </c>
      <c r="C407" s="79" t="str">
        <f>ENTRY!B401</f>
        <v>SILVERBEES</v>
      </c>
      <c r="D407" s="80">
        <f>CAPITAL!$C$2</f>
        <v>3350000</v>
      </c>
      <c r="E407" s="81" t="str">
        <f>ENTRY!C401</f>
        <v/>
      </c>
      <c r="F407" s="82" t="str">
        <f>ENTRY!D401</f>
        <v/>
      </c>
      <c r="G407" s="83" t="str">
        <f>ENTRY!E401</f>
        <v/>
      </c>
      <c r="H407" s="84">
        <f>G407*ENTRY!$O401</f>
        <v>0</v>
      </c>
      <c r="I407" s="84">
        <f>G407*ENTRY!$P401</f>
        <v>0</v>
      </c>
      <c r="J407" s="84">
        <f>G407*ENTRY!$Q401</f>
        <v>0</v>
      </c>
      <c r="K407" s="82">
        <f t="shared" si="2"/>
        <v>0</v>
      </c>
      <c r="L407" s="82" t="str">
        <f>ENTRY!F401</f>
        <v/>
      </c>
      <c r="M407" s="81" t="str">
        <f>ENTRY!G401</f>
        <v/>
      </c>
      <c r="N407" s="85" t="str">
        <f t="shared" si="3"/>
        <v/>
      </c>
      <c r="O407" s="86">
        <f t="shared" si="4"/>
        <v>0</v>
      </c>
      <c r="P407" s="86">
        <f t="shared" si="5"/>
        <v>0</v>
      </c>
      <c r="Q407" s="86">
        <f t="shared" si="6"/>
        <v>0</v>
      </c>
      <c r="R407" s="86">
        <f t="shared" si="7"/>
        <v>0</v>
      </c>
      <c r="S407" s="87" t="str">
        <f t="shared" ref="S407:V407" si="407">IFERROR(O407-Y407,"")
</f>
        <v/>
      </c>
      <c r="T407" s="87">
        <f t="shared" si="407"/>
        <v>0</v>
      </c>
      <c r="U407" s="87">
        <f t="shared" si="407"/>
        <v>0</v>
      </c>
      <c r="V407" s="87">
        <f t="shared" si="407"/>
        <v>0</v>
      </c>
      <c r="W407" s="88" t="str">
        <f t="shared" si="9"/>
        <v/>
      </c>
      <c r="X407" s="89">
        <f>IFERROR(S407/D407,"")</f>
        <v>0</v>
      </c>
      <c r="Y407" s="90" t="str">
        <f t="shared" si="10"/>
        <v>ERR</v>
      </c>
      <c r="Z407" s="90">
        <f>IF(H407=0,0,CAPITAL!$H$5*Y407)
</f>
        <v>0</v>
      </c>
      <c r="AA407" s="90">
        <f>IF(I407=0,0,CAPITAL!$H$6*Y407)
</f>
        <v>0</v>
      </c>
      <c r="AB407" s="90">
        <f>IF(J407=0,0,CAPITAL!$H$7*Y407)
</f>
        <v>0</v>
      </c>
      <c r="AC407" s="90"/>
    </row>
    <row r="408">
      <c r="A408" s="104"/>
      <c r="B408" s="101">
        <v>403.0</v>
      </c>
      <c r="C408" s="18" t="str">
        <f>ENTRY!B402</f>
        <v>SILVERBEES</v>
      </c>
      <c r="D408" s="93">
        <f>CAPITAL!$C$2</f>
        <v>3350000</v>
      </c>
      <c r="E408" s="94" t="str">
        <f>ENTRY!C402</f>
        <v/>
      </c>
      <c r="F408" s="95" t="str">
        <f>ENTRY!D402</f>
        <v/>
      </c>
      <c r="G408" s="96" t="str">
        <f>ENTRY!E402</f>
        <v/>
      </c>
      <c r="H408" s="97">
        <f>G408*ENTRY!$O402</f>
        <v>0</v>
      </c>
      <c r="I408" s="97">
        <f>G408*ENTRY!$P402</f>
        <v>0</v>
      </c>
      <c r="J408" s="97">
        <f>G408*ENTRY!$Q402</f>
        <v>0</v>
      </c>
      <c r="K408" s="95">
        <f t="shared" si="2"/>
        <v>0</v>
      </c>
      <c r="L408" s="95" t="str">
        <f>ENTRY!F402</f>
        <v/>
      </c>
      <c r="M408" s="94" t="str">
        <f>ENTRY!G402</f>
        <v/>
      </c>
      <c r="N408" s="98" t="str">
        <f t="shared" si="3"/>
        <v/>
      </c>
      <c r="O408" s="99">
        <f t="shared" si="4"/>
        <v>0</v>
      </c>
      <c r="P408" s="99">
        <f t="shared" si="5"/>
        <v>0</v>
      </c>
      <c r="Q408" s="99">
        <f t="shared" si="6"/>
        <v>0</v>
      </c>
      <c r="R408" s="99">
        <f t="shared" si="7"/>
        <v>0</v>
      </c>
      <c r="S408" s="100" t="str">
        <f t="shared" ref="S408:V408" si="408">IFERROR(O408-Y408,"")
</f>
        <v/>
      </c>
      <c r="T408" s="100">
        <f t="shared" si="408"/>
        <v>0</v>
      </c>
      <c r="U408" s="100">
        <f t="shared" si="408"/>
        <v>0</v>
      </c>
      <c r="V408" s="100">
        <f t="shared" si="408"/>
        <v>0</v>
      </c>
      <c r="W408" s="88" t="str">
        <f t="shared" si="9"/>
        <v/>
      </c>
      <c r="X408" s="89">
        <f>S408/D408</f>
        <v>0</v>
      </c>
      <c r="Y408" s="90" t="str">
        <f t="shared" si="10"/>
        <v>ERR</v>
      </c>
      <c r="Z408" s="90">
        <f>IF(H408=0,0,CAPITAL!$H$5*Y408)
</f>
        <v>0</v>
      </c>
      <c r="AA408" s="90">
        <f>IF(I408=0,0,CAPITAL!$H$6*Y408)
</f>
        <v>0</v>
      </c>
      <c r="AB408" s="90">
        <f>IF(J408=0,0,CAPITAL!$H$7*Y408)
</f>
        <v>0</v>
      </c>
      <c r="AC408" s="90"/>
    </row>
    <row r="409">
      <c r="A409" s="104"/>
      <c r="B409" s="101">
        <v>404.0</v>
      </c>
      <c r="C409" s="79" t="str">
        <f>ENTRY!B403</f>
        <v>SILVERBEES</v>
      </c>
      <c r="D409" s="80">
        <f>CAPITAL!$C$2</f>
        <v>3350000</v>
      </c>
      <c r="E409" s="81" t="str">
        <f>ENTRY!C403</f>
        <v/>
      </c>
      <c r="F409" s="82" t="str">
        <f>ENTRY!D403</f>
        <v/>
      </c>
      <c r="G409" s="83" t="str">
        <f>ENTRY!E403</f>
        <v/>
      </c>
      <c r="H409" s="84">
        <f>G409*ENTRY!$O403</f>
        <v>0</v>
      </c>
      <c r="I409" s="84">
        <f>G409*ENTRY!$P403</f>
        <v>0</v>
      </c>
      <c r="J409" s="84">
        <f>G409*ENTRY!$Q403</f>
        <v>0</v>
      </c>
      <c r="K409" s="82">
        <f t="shared" si="2"/>
        <v>0</v>
      </c>
      <c r="L409" s="82" t="str">
        <f>ENTRY!F403</f>
        <v/>
      </c>
      <c r="M409" s="81" t="str">
        <f>ENTRY!G403</f>
        <v/>
      </c>
      <c r="N409" s="85" t="str">
        <f t="shared" si="3"/>
        <v/>
      </c>
      <c r="O409" s="86">
        <f t="shared" si="4"/>
        <v>0</v>
      </c>
      <c r="P409" s="86">
        <f t="shared" si="5"/>
        <v>0</v>
      </c>
      <c r="Q409" s="86">
        <f t="shared" si="6"/>
        <v>0</v>
      </c>
      <c r="R409" s="86">
        <f t="shared" si="7"/>
        <v>0</v>
      </c>
      <c r="S409" s="87" t="str">
        <f t="shared" ref="S409:V409" si="409">IFERROR(O409-Y409,"")
</f>
        <v/>
      </c>
      <c r="T409" s="87">
        <f t="shared" si="409"/>
        <v>0</v>
      </c>
      <c r="U409" s="87">
        <f t="shared" si="409"/>
        <v>0</v>
      </c>
      <c r="V409" s="87">
        <f t="shared" si="409"/>
        <v>0</v>
      </c>
      <c r="W409" s="88" t="str">
        <f t="shared" si="9"/>
        <v/>
      </c>
      <c r="X409" s="89">
        <f>IFERROR(S409/D409,"")</f>
        <v>0</v>
      </c>
      <c r="Y409" s="90" t="str">
        <f t="shared" si="10"/>
        <v>ERR</v>
      </c>
      <c r="Z409" s="90">
        <f>IF(H409=0,0,CAPITAL!$H$5*Y409)
</f>
        <v>0</v>
      </c>
      <c r="AA409" s="90">
        <f>IF(I409=0,0,CAPITAL!$H$6*Y409)
</f>
        <v>0</v>
      </c>
      <c r="AB409" s="90">
        <f>IF(J409=0,0,CAPITAL!$H$7*Y409)
</f>
        <v>0</v>
      </c>
      <c r="AC409" s="90"/>
    </row>
    <row r="410">
      <c r="A410" s="104"/>
      <c r="B410" s="101">
        <v>405.0</v>
      </c>
      <c r="C410" s="18" t="str">
        <f>ENTRY!B404</f>
        <v>SILVERBEES</v>
      </c>
      <c r="D410" s="93">
        <f>CAPITAL!$C$2</f>
        <v>3350000</v>
      </c>
      <c r="E410" s="94" t="str">
        <f>ENTRY!C404</f>
        <v/>
      </c>
      <c r="F410" s="95" t="str">
        <f>ENTRY!D404</f>
        <v/>
      </c>
      <c r="G410" s="96" t="str">
        <f>ENTRY!E404</f>
        <v/>
      </c>
      <c r="H410" s="97">
        <f>G410*ENTRY!$O404</f>
        <v>0</v>
      </c>
      <c r="I410" s="97">
        <f>G410*ENTRY!$P404</f>
        <v>0</v>
      </c>
      <c r="J410" s="97">
        <f>G410*ENTRY!$Q404</f>
        <v>0</v>
      </c>
      <c r="K410" s="95">
        <f t="shared" si="2"/>
        <v>0</v>
      </c>
      <c r="L410" s="95" t="str">
        <f>ENTRY!F404</f>
        <v/>
      </c>
      <c r="M410" s="94" t="str">
        <f>ENTRY!G404</f>
        <v/>
      </c>
      <c r="N410" s="98" t="str">
        <f t="shared" si="3"/>
        <v/>
      </c>
      <c r="O410" s="99">
        <f t="shared" si="4"/>
        <v>0</v>
      </c>
      <c r="P410" s="99">
        <f t="shared" si="5"/>
        <v>0</v>
      </c>
      <c r="Q410" s="99">
        <f t="shared" si="6"/>
        <v>0</v>
      </c>
      <c r="R410" s="99">
        <f t="shared" si="7"/>
        <v>0</v>
      </c>
      <c r="S410" s="100" t="str">
        <f t="shared" ref="S410:V410" si="410">IFERROR(O410-Y410,"")
</f>
        <v/>
      </c>
      <c r="T410" s="100">
        <f t="shared" si="410"/>
        <v>0</v>
      </c>
      <c r="U410" s="100">
        <f t="shared" si="410"/>
        <v>0</v>
      </c>
      <c r="V410" s="100">
        <f t="shared" si="410"/>
        <v>0</v>
      </c>
      <c r="W410" s="88" t="str">
        <f t="shared" si="9"/>
        <v/>
      </c>
      <c r="X410" s="89">
        <f>S410/D410</f>
        <v>0</v>
      </c>
      <c r="Y410" s="90" t="str">
        <f t="shared" si="10"/>
        <v>ERR</v>
      </c>
      <c r="Z410" s="90">
        <f>IF(H410=0,0,CAPITAL!$H$5*Y410)
</f>
        <v>0</v>
      </c>
      <c r="AA410" s="90">
        <f>IF(I410=0,0,CAPITAL!$H$6*Y410)
</f>
        <v>0</v>
      </c>
      <c r="AB410" s="90">
        <f>IF(J410=0,0,CAPITAL!$H$7*Y410)
</f>
        <v>0</v>
      </c>
      <c r="AC410" s="90"/>
    </row>
    <row r="411">
      <c r="A411" s="104"/>
      <c r="B411" s="101">
        <v>406.0</v>
      </c>
      <c r="C411" s="79" t="str">
        <f>ENTRY!B405</f>
        <v>SILVERBEES</v>
      </c>
      <c r="D411" s="80">
        <f>CAPITAL!$C$2</f>
        <v>3350000</v>
      </c>
      <c r="E411" s="81" t="str">
        <f>ENTRY!C405</f>
        <v/>
      </c>
      <c r="F411" s="82" t="str">
        <f>ENTRY!D405</f>
        <v/>
      </c>
      <c r="G411" s="83" t="str">
        <f>ENTRY!E405</f>
        <v/>
      </c>
      <c r="H411" s="84">
        <f>G411*ENTRY!$O405</f>
        <v>0</v>
      </c>
      <c r="I411" s="84">
        <f>G411*ENTRY!$P405</f>
        <v>0</v>
      </c>
      <c r="J411" s="84">
        <f>G411*ENTRY!$Q405</f>
        <v>0</v>
      </c>
      <c r="K411" s="82">
        <f t="shared" si="2"/>
        <v>0</v>
      </c>
      <c r="L411" s="82" t="str">
        <f>ENTRY!F405</f>
        <v/>
      </c>
      <c r="M411" s="81" t="str">
        <f>ENTRY!G405</f>
        <v/>
      </c>
      <c r="N411" s="85" t="str">
        <f t="shared" si="3"/>
        <v/>
      </c>
      <c r="O411" s="86">
        <f t="shared" si="4"/>
        <v>0</v>
      </c>
      <c r="P411" s="86">
        <f t="shared" si="5"/>
        <v>0</v>
      </c>
      <c r="Q411" s="86">
        <f t="shared" si="6"/>
        <v>0</v>
      </c>
      <c r="R411" s="86">
        <f t="shared" si="7"/>
        <v>0</v>
      </c>
      <c r="S411" s="87" t="str">
        <f t="shared" ref="S411:V411" si="411">IFERROR(O411-Y411,"")
</f>
        <v/>
      </c>
      <c r="T411" s="87">
        <f t="shared" si="411"/>
        <v>0</v>
      </c>
      <c r="U411" s="87">
        <f t="shared" si="411"/>
        <v>0</v>
      </c>
      <c r="V411" s="87">
        <f t="shared" si="411"/>
        <v>0</v>
      </c>
      <c r="W411" s="88" t="str">
        <f t="shared" si="9"/>
        <v/>
      </c>
      <c r="X411" s="89">
        <f>IFERROR(S411/D411,"")</f>
        <v>0</v>
      </c>
      <c r="Y411" s="90" t="str">
        <f t="shared" si="10"/>
        <v>ERR</v>
      </c>
      <c r="Z411" s="90">
        <f>IF(H411=0,0,CAPITAL!$H$5*Y411)
</f>
        <v>0</v>
      </c>
      <c r="AA411" s="90">
        <f>IF(I411=0,0,CAPITAL!$H$6*Y411)
</f>
        <v>0</v>
      </c>
      <c r="AB411" s="90">
        <f>IF(J411=0,0,CAPITAL!$H$7*Y411)
</f>
        <v>0</v>
      </c>
      <c r="AC411" s="90"/>
    </row>
    <row r="412">
      <c r="A412" s="104"/>
      <c r="B412" s="101">
        <v>407.0</v>
      </c>
      <c r="C412" s="18" t="str">
        <f>ENTRY!B406</f>
        <v>SILVERBEES</v>
      </c>
      <c r="D412" s="93">
        <f>CAPITAL!$C$2</f>
        <v>3350000</v>
      </c>
      <c r="E412" s="94" t="str">
        <f>ENTRY!C406</f>
        <v/>
      </c>
      <c r="F412" s="95" t="str">
        <f>ENTRY!D406</f>
        <v/>
      </c>
      <c r="G412" s="96" t="str">
        <f>ENTRY!E406</f>
        <v/>
      </c>
      <c r="H412" s="97">
        <f>G412*ENTRY!$O406</f>
        <v>0</v>
      </c>
      <c r="I412" s="97">
        <f>G412*ENTRY!$P406</f>
        <v>0</v>
      </c>
      <c r="J412" s="97">
        <f>G412*ENTRY!$Q406</f>
        <v>0</v>
      </c>
      <c r="K412" s="95">
        <f t="shared" si="2"/>
        <v>0</v>
      </c>
      <c r="L412" s="95" t="str">
        <f>ENTRY!F406</f>
        <v/>
      </c>
      <c r="M412" s="94" t="str">
        <f>ENTRY!G406</f>
        <v/>
      </c>
      <c r="N412" s="98" t="str">
        <f t="shared" si="3"/>
        <v/>
      </c>
      <c r="O412" s="99">
        <f t="shared" si="4"/>
        <v>0</v>
      </c>
      <c r="P412" s="99">
        <f t="shared" si="5"/>
        <v>0</v>
      </c>
      <c r="Q412" s="99">
        <f t="shared" si="6"/>
        <v>0</v>
      </c>
      <c r="R412" s="99">
        <f t="shared" si="7"/>
        <v>0</v>
      </c>
      <c r="S412" s="100" t="str">
        <f t="shared" ref="S412:V412" si="412">IFERROR(O412-Y412,"")
</f>
        <v/>
      </c>
      <c r="T412" s="100">
        <f t="shared" si="412"/>
        <v>0</v>
      </c>
      <c r="U412" s="100">
        <f t="shared" si="412"/>
        <v>0</v>
      </c>
      <c r="V412" s="100">
        <f t="shared" si="412"/>
        <v>0</v>
      </c>
      <c r="W412" s="88" t="str">
        <f t="shared" si="9"/>
        <v/>
      </c>
      <c r="X412" s="89">
        <f>S412/D412</f>
        <v>0</v>
      </c>
      <c r="Y412" s="90" t="str">
        <f t="shared" si="10"/>
        <v>ERR</v>
      </c>
      <c r="Z412" s="90">
        <f>IF(H412=0,0,CAPITAL!$H$5*Y412)
</f>
        <v>0</v>
      </c>
      <c r="AA412" s="90">
        <f>IF(I412=0,0,CAPITAL!$H$6*Y412)
</f>
        <v>0</v>
      </c>
      <c r="AB412" s="90">
        <f>IF(J412=0,0,CAPITAL!$H$7*Y412)
</f>
        <v>0</v>
      </c>
      <c r="AC412" s="90"/>
    </row>
    <row r="413">
      <c r="A413" s="104"/>
      <c r="B413" s="101">
        <v>408.0</v>
      </c>
      <c r="C413" s="79" t="str">
        <f>ENTRY!B407</f>
        <v>SILVERBEES</v>
      </c>
      <c r="D413" s="80">
        <f>CAPITAL!$C$2</f>
        <v>3350000</v>
      </c>
      <c r="E413" s="81" t="str">
        <f>ENTRY!C407</f>
        <v/>
      </c>
      <c r="F413" s="82" t="str">
        <f>ENTRY!D407</f>
        <v/>
      </c>
      <c r="G413" s="83" t="str">
        <f>ENTRY!E407</f>
        <v/>
      </c>
      <c r="H413" s="84">
        <f>G413*ENTRY!$O407</f>
        <v>0</v>
      </c>
      <c r="I413" s="84">
        <f>G413*ENTRY!$P407</f>
        <v>0</v>
      </c>
      <c r="J413" s="84">
        <f>G413*ENTRY!$Q407</f>
        <v>0</v>
      </c>
      <c r="K413" s="82">
        <f t="shared" si="2"/>
        <v>0</v>
      </c>
      <c r="L413" s="82" t="str">
        <f>ENTRY!F407</f>
        <v/>
      </c>
      <c r="M413" s="81" t="str">
        <f>ENTRY!G407</f>
        <v/>
      </c>
      <c r="N413" s="85" t="str">
        <f t="shared" si="3"/>
        <v/>
      </c>
      <c r="O413" s="86">
        <f t="shared" si="4"/>
        <v>0</v>
      </c>
      <c r="P413" s="86">
        <f t="shared" si="5"/>
        <v>0</v>
      </c>
      <c r="Q413" s="86">
        <f t="shared" si="6"/>
        <v>0</v>
      </c>
      <c r="R413" s="86">
        <f t="shared" si="7"/>
        <v>0</v>
      </c>
      <c r="S413" s="87" t="str">
        <f t="shared" ref="S413:V413" si="413">IFERROR(O413-Y413,"")
</f>
        <v/>
      </c>
      <c r="T413" s="87">
        <f t="shared" si="413"/>
        <v>0</v>
      </c>
      <c r="U413" s="87">
        <f t="shared" si="413"/>
        <v>0</v>
      </c>
      <c r="V413" s="87">
        <f t="shared" si="413"/>
        <v>0</v>
      </c>
      <c r="W413" s="88" t="str">
        <f t="shared" si="9"/>
        <v/>
      </c>
      <c r="X413" s="89">
        <f>IFERROR(S413/D413,"")</f>
        <v>0</v>
      </c>
      <c r="Y413" s="90" t="str">
        <f t="shared" si="10"/>
        <v>ERR</v>
      </c>
      <c r="Z413" s="90">
        <f>IF(H413=0,0,CAPITAL!$H$5*Y413)
</f>
        <v>0</v>
      </c>
      <c r="AA413" s="90">
        <f>IF(I413=0,0,CAPITAL!$H$6*Y413)
</f>
        <v>0</v>
      </c>
      <c r="AB413" s="90">
        <f>IF(J413=0,0,CAPITAL!$H$7*Y413)
</f>
        <v>0</v>
      </c>
      <c r="AC413" s="90"/>
    </row>
    <row r="414">
      <c r="A414" s="104"/>
      <c r="B414" s="101">
        <v>409.0</v>
      </c>
      <c r="C414" s="18" t="str">
        <f>ENTRY!B408</f>
        <v>SILVERBEES</v>
      </c>
      <c r="D414" s="93">
        <f>CAPITAL!$C$2</f>
        <v>3350000</v>
      </c>
      <c r="E414" s="94" t="str">
        <f>ENTRY!C408</f>
        <v/>
      </c>
      <c r="F414" s="95" t="str">
        <f>ENTRY!D408</f>
        <v/>
      </c>
      <c r="G414" s="96" t="str">
        <f>ENTRY!E408</f>
        <v/>
      </c>
      <c r="H414" s="97">
        <f>G414*ENTRY!$O408</f>
        <v>0</v>
      </c>
      <c r="I414" s="97">
        <f>G414*ENTRY!$P408</f>
        <v>0</v>
      </c>
      <c r="J414" s="97">
        <f>G414*ENTRY!$Q408</f>
        <v>0</v>
      </c>
      <c r="K414" s="95">
        <f t="shared" si="2"/>
        <v>0</v>
      </c>
      <c r="L414" s="95" t="str">
        <f>ENTRY!F408</f>
        <v/>
      </c>
      <c r="M414" s="94" t="str">
        <f>ENTRY!G408</f>
        <v/>
      </c>
      <c r="N414" s="98" t="str">
        <f t="shared" si="3"/>
        <v/>
      </c>
      <c r="O414" s="99">
        <f t="shared" si="4"/>
        <v>0</v>
      </c>
      <c r="P414" s="99">
        <f t="shared" si="5"/>
        <v>0</v>
      </c>
      <c r="Q414" s="99">
        <f t="shared" si="6"/>
        <v>0</v>
      </c>
      <c r="R414" s="99">
        <f t="shared" si="7"/>
        <v>0</v>
      </c>
      <c r="S414" s="100" t="str">
        <f t="shared" ref="S414:V414" si="414">IFERROR(O414-Y414,"")
</f>
        <v/>
      </c>
      <c r="T414" s="100">
        <f t="shared" si="414"/>
        <v>0</v>
      </c>
      <c r="U414" s="100">
        <f t="shared" si="414"/>
        <v>0</v>
      </c>
      <c r="V414" s="100">
        <f t="shared" si="414"/>
        <v>0</v>
      </c>
      <c r="W414" s="88" t="str">
        <f t="shared" si="9"/>
        <v/>
      </c>
      <c r="X414" s="89">
        <f>S414/D414</f>
        <v>0</v>
      </c>
      <c r="Y414" s="90" t="str">
        <f t="shared" si="10"/>
        <v>ERR</v>
      </c>
      <c r="Z414" s="90">
        <f>IF(H414=0,0,CAPITAL!$H$5*Y414)
</f>
        <v>0</v>
      </c>
      <c r="AA414" s="90">
        <f>IF(I414=0,0,CAPITAL!$H$6*Y414)
</f>
        <v>0</v>
      </c>
      <c r="AB414" s="90">
        <f>IF(J414=0,0,CAPITAL!$H$7*Y414)
</f>
        <v>0</v>
      </c>
      <c r="AC414" s="90"/>
    </row>
    <row r="415">
      <c r="A415" s="104"/>
      <c r="B415" s="101">
        <v>410.0</v>
      </c>
      <c r="C415" s="79" t="str">
        <f>ENTRY!B409</f>
        <v>SILVERBEES</v>
      </c>
      <c r="D415" s="80">
        <f>CAPITAL!$C$2</f>
        <v>3350000</v>
      </c>
      <c r="E415" s="81" t="str">
        <f>ENTRY!C409</f>
        <v/>
      </c>
      <c r="F415" s="82" t="str">
        <f>ENTRY!D409</f>
        <v/>
      </c>
      <c r="G415" s="83" t="str">
        <f>ENTRY!E409</f>
        <v/>
      </c>
      <c r="H415" s="84">
        <f>G415*ENTRY!$O409</f>
        <v>0</v>
      </c>
      <c r="I415" s="84">
        <f>G415*ENTRY!$P409</f>
        <v>0</v>
      </c>
      <c r="J415" s="84">
        <f>G415*ENTRY!$Q409</f>
        <v>0</v>
      </c>
      <c r="K415" s="82">
        <f t="shared" si="2"/>
        <v>0</v>
      </c>
      <c r="L415" s="82" t="str">
        <f>ENTRY!F409</f>
        <v/>
      </c>
      <c r="M415" s="81" t="str">
        <f>ENTRY!G409</f>
        <v/>
      </c>
      <c r="N415" s="85" t="str">
        <f t="shared" si="3"/>
        <v/>
      </c>
      <c r="O415" s="86">
        <f t="shared" si="4"/>
        <v>0</v>
      </c>
      <c r="P415" s="86">
        <f t="shared" si="5"/>
        <v>0</v>
      </c>
      <c r="Q415" s="86">
        <f t="shared" si="6"/>
        <v>0</v>
      </c>
      <c r="R415" s="86">
        <f t="shared" si="7"/>
        <v>0</v>
      </c>
      <c r="S415" s="87" t="str">
        <f t="shared" ref="S415:V415" si="415">IFERROR(O415-Y415,"")
</f>
        <v/>
      </c>
      <c r="T415" s="87">
        <f t="shared" si="415"/>
        <v>0</v>
      </c>
      <c r="U415" s="87">
        <f t="shared" si="415"/>
        <v>0</v>
      </c>
      <c r="V415" s="87">
        <f t="shared" si="415"/>
        <v>0</v>
      </c>
      <c r="W415" s="88" t="str">
        <f t="shared" si="9"/>
        <v/>
      </c>
      <c r="X415" s="89">
        <f>IFERROR(S415/D415,"")</f>
        <v>0</v>
      </c>
      <c r="Y415" s="90" t="str">
        <f t="shared" si="10"/>
        <v>ERR</v>
      </c>
      <c r="Z415" s="90">
        <f>IF(H415=0,0,CAPITAL!$H$5*Y415)
</f>
        <v>0</v>
      </c>
      <c r="AA415" s="90">
        <f>IF(I415=0,0,CAPITAL!$H$6*Y415)
</f>
        <v>0</v>
      </c>
      <c r="AB415" s="90">
        <f>IF(J415=0,0,CAPITAL!$H$7*Y415)
</f>
        <v>0</v>
      </c>
      <c r="AC415" s="90"/>
    </row>
    <row r="416">
      <c r="A416" s="104"/>
      <c r="B416" s="101">
        <v>411.0</v>
      </c>
      <c r="C416" s="18" t="str">
        <f>ENTRY!B410</f>
        <v>SILVERBEES</v>
      </c>
      <c r="D416" s="93">
        <f>CAPITAL!$C$2</f>
        <v>3350000</v>
      </c>
      <c r="E416" s="94" t="str">
        <f>ENTRY!C410</f>
        <v/>
      </c>
      <c r="F416" s="95" t="str">
        <f>ENTRY!D410</f>
        <v/>
      </c>
      <c r="G416" s="96" t="str">
        <f>ENTRY!E410</f>
        <v/>
      </c>
      <c r="H416" s="97">
        <f>G416*ENTRY!$O410</f>
        <v>0</v>
      </c>
      <c r="I416" s="97">
        <f>G416*ENTRY!$P410</f>
        <v>0</v>
      </c>
      <c r="J416" s="97">
        <f>G416*ENTRY!$Q410</f>
        <v>0</v>
      </c>
      <c r="K416" s="95">
        <f t="shared" si="2"/>
        <v>0</v>
      </c>
      <c r="L416" s="95" t="str">
        <f>ENTRY!F410</f>
        <v/>
      </c>
      <c r="M416" s="94" t="str">
        <f>ENTRY!G410</f>
        <v/>
      </c>
      <c r="N416" s="98" t="str">
        <f t="shared" si="3"/>
        <v/>
      </c>
      <c r="O416" s="99">
        <f t="shared" si="4"/>
        <v>0</v>
      </c>
      <c r="P416" s="99">
        <f t="shared" si="5"/>
        <v>0</v>
      </c>
      <c r="Q416" s="99">
        <f t="shared" si="6"/>
        <v>0</v>
      </c>
      <c r="R416" s="99">
        <f t="shared" si="7"/>
        <v>0</v>
      </c>
      <c r="S416" s="100" t="str">
        <f t="shared" ref="S416:V416" si="416">IFERROR(O416-Y416,"")
</f>
        <v/>
      </c>
      <c r="T416" s="100">
        <f t="shared" si="416"/>
        <v>0</v>
      </c>
      <c r="U416" s="100">
        <f t="shared" si="416"/>
        <v>0</v>
      </c>
      <c r="V416" s="100">
        <f t="shared" si="416"/>
        <v>0</v>
      </c>
      <c r="W416" s="88" t="str">
        <f t="shared" si="9"/>
        <v/>
      </c>
      <c r="X416" s="89">
        <f>S416/D416</f>
        <v>0</v>
      </c>
      <c r="Y416" s="90" t="str">
        <f t="shared" si="10"/>
        <v>ERR</v>
      </c>
      <c r="Z416" s="90">
        <f>IF(H416=0,0,CAPITAL!$H$5*Y416)
</f>
        <v>0</v>
      </c>
      <c r="AA416" s="90">
        <f>IF(I416=0,0,CAPITAL!$H$6*Y416)
</f>
        <v>0</v>
      </c>
      <c r="AB416" s="90">
        <f>IF(J416=0,0,CAPITAL!$H$7*Y416)
</f>
        <v>0</v>
      </c>
      <c r="AC416" s="90"/>
    </row>
    <row r="417">
      <c r="A417" s="104"/>
      <c r="B417" s="101">
        <v>412.0</v>
      </c>
      <c r="C417" s="79" t="str">
        <f>ENTRY!B411</f>
        <v>SILVERBEES</v>
      </c>
      <c r="D417" s="80">
        <f>CAPITAL!$C$2</f>
        <v>3350000</v>
      </c>
      <c r="E417" s="81" t="str">
        <f>ENTRY!C411</f>
        <v/>
      </c>
      <c r="F417" s="82" t="str">
        <f>ENTRY!D411</f>
        <v/>
      </c>
      <c r="G417" s="83" t="str">
        <f>ENTRY!E411</f>
        <v/>
      </c>
      <c r="H417" s="84">
        <f>G417*ENTRY!$O411</f>
        <v>0</v>
      </c>
      <c r="I417" s="84">
        <f>G417*ENTRY!$P411</f>
        <v>0</v>
      </c>
      <c r="J417" s="84">
        <f>G417*ENTRY!$Q411</f>
        <v>0</v>
      </c>
      <c r="K417" s="82">
        <f t="shared" si="2"/>
        <v>0</v>
      </c>
      <c r="L417" s="82" t="str">
        <f>ENTRY!F411</f>
        <v/>
      </c>
      <c r="M417" s="81" t="str">
        <f>ENTRY!G411</f>
        <v/>
      </c>
      <c r="N417" s="85" t="str">
        <f t="shared" si="3"/>
        <v/>
      </c>
      <c r="O417" s="86">
        <f t="shared" si="4"/>
        <v>0</v>
      </c>
      <c r="P417" s="86">
        <f t="shared" si="5"/>
        <v>0</v>
      </c>
      <c r="Q417" s="86">
        <f t="shared" si="6"/>
        <v>0</v>
      </c>
      <c r="R417" s="86">
        <f t="shared" si="7"/>
        <v>0</v>
      </c>
      <c r="S417" s="87" t="str">
        <f t="shared" ref="S417:V417" si="417">IFERROR(O417-Y417,"")
</f>
        <v/>
      </c>
      <c r="T417" s="87">
        <f t="shared" si="417"/>
        <v>0</v>
      </c>
      <c r="U417" s="87">
        <f t="shared" si="417"/>
        <v>0</v>
      </c>
      <c r="V417" s="87">
        <f t="shared" si="417"/>
        <v>0</v>
      </c>
      <c r="W417" s="88" t="str">
        <f t="shared" si="9"/>
        <v/>
      </c>
      <c r="X417" s="89">
        <f>IFERROR(S417/D417,"")</f>
        <v>0</v>
      </c>
      <c r="Y417" s="90" t="str">
        <f t="shared" si="10"/>
        <v>ERR</v>
      </c>
      <c r="Z417" s="90">
        <f>IF(H417=0,0,CAPITAL!$H$5*Y417)
</f>
        <v>0</v>
      </c>
      <c r="AA417" s="90">
        <f>IF(I417=0,0,CAPITAL!$H$6*Y417)
</f>
        <v>0</v>
      </c>
      <c r="AB417" s="90">
        <f>IF(J417=0,0,CAPITAL!$H$7*Y417)
</f>
        <v>0</v>
      </c>
      <c r="AC417" s="90"/>
    </row>
    <row r="418">
      <c r="A418" s="104"/>
      <c r="B418" s="101">
        <v>413.0</v>
      </c>
      <c r="C418" s="18" t="str">
        <f>ENTRY!B412</f>
        <v>SILVERBEES</v>
      </c>
      <c r="D418" s="93">
        <f>CAPITAL!$C$2</f>
        <v>3350000</v>
      </c>
      <c r="E418" s="94" t="str">
        <f>ENTRY!C412</f>
        <v/>
      </c>
      <c r="F418" s="95" t="str">
        <f>ENTRY!D412</f>
        <v/>
      </c>
      <c r="G418" s="96" t="str">
        <f>ENTRY!E412</f>
        <v/>
      </c>
      <c r="H418" s="97">
        <f>G418*ENTRY!$O412</f>
        <v>0</v>
      </c>
      <c r="I418" s="97">
        <f>G418*ENTRY!$P412</f>
        <v>0</v>
      </c>
      <c r="J418" s="97">
        <f>G418*ENTRY!$Q412</f>
        <v>0</v>
      </c>
      <c r="K418" s="95">
        <f t="shared" si="2"/>
        <v>0</v>
      </c>
      <c r="L418" s="95" t="str">
        <f>ENTRY!F412</f>
        <v/>
      </c>
      <c r="M418" s="94" t="str">
        <f>ENTRY!G412</f>
        <v/>
      </c>
      <c r="N418" s="98" t="str">
        <f t="shared" si="3"/>
        <v/>
      </c>
      <c r="O418" s="99">
        <f t="shared" si="4"/>
        <v>0</v>
      </c>
      <c r="P418" s="99">
        <f t="shared" si="5"/>
        <v>0</v>
      </c>
      <c r="Q418" s="99">
        <f t="shared" si="6"/>
        <v>0</v>
      </c>
      <c r="R418" s="99">
        <f t="shared" si="7"/>
        <v>0</v>
      </c>
      <c r="S418" s="100" t="str">
        <f t="shared" ref="S418:V418" si="418">IFERROR(O418-Y418,"")
</f>
        <v/>
      </c>
      <c r="T418" s="100">
        <f t="shared" si="418"/>
        <v>0</v>
      </c>
      <c r="U418" s="100">
        <f t="shared" si="418"/>
        <v>0</v>
      </c>
      <c r="V418" s="100">
        <f t="shared" si="418"/>
        <v>0</v>
      </c>
      <c r="W418" s="88" t="str">
        <f t="shared" si="9"/>
        <v/>
      </c>
      <c r="X418" s="89">
        <f>S418/D418</f>
        <v>0</v>
      </c>
      <c r="Y418" s="90" t="str">
        <f t="shared" si="10"/>
        <v>ERR</v>
      </c>
      <c r="Z418" s="90">
        <f>IF(H418=0,0,CAPITAL!$H$5*Y418)
</f>
        <v>0</v>
      </c>
      <c r="AA418" s="90">
        <f>IF(I418=0,0,CAPITAL!$H$6*Y418)
</f>
        <v>0</v>
      </c>
      <c r="AB418" s="90">
        <f>IF(J418=0,0,CAPITAL!$H$7*Y418)
</f>
        <v>0</v>
      </c>
      <c r="AC418" s="90"/>
    </row>
    <row r="419">
      <c r="A419" s="104"/>
      <c r="B419" s="101">
        <v>414.0</v>
      </c>
      <c r="C419" s="79" t="str">
        <f>ENTRY!B413</f>
        <v>SILVERBEES</v>
      </c>
      <c r="D419" s="80">
        <f>CAPITAL!$C$2</f>
        <v>3350000</v>
      </c>
      <c r="E419" s="81" t="str">
        <f>ENTRY!C413</f>
        <v/>
      </c>
      <c r="F419" s="82" t="str">
        <f>ENTRY!D413</f>
        <v/>
      </c>
      <c r="G419" s="83" t="str">
        <f>ENTRY!E413</f>
        <v/>
      </c>
      <c r="H419" s="84">
        <f>G419*ENTRY!$O413</f>
        <v>0</v>
      </c>
      <c r="I419" s="84">
        <f>G419*ENTRY!$P413</f>
        <v>0</v>
      </c>
      <c r="J419" s="84">
        <f>G419*ENTRY!$Q413</f>
        <v>0</v>
      </c>
      <c r="K419" s="82">
        <f t="shared" si="2"/>
        <v>0</v>
      </c>
      <c r="L419" s="82" t="str">
        <f>ENTRY!F413</f>
        <v/>
      </c>
      <c r="M419" s="81" t="str">
        <f>ENTRY!G413</f>
        <v/>
      </c>
      <c r="N419" s="85" t="str">
        <f t="shared" si="3"/>
        <v/>
      </c>
      <c r="O419" s="86">
        <f t="shared" si="4"/>
        <v>0</v>
      </c>
      <c r="P419" s="86">
        <f t="shared" si="5"/>
        <v>0</v>
      </c>
      <c r="Q419" s="86">
        <f t="shared" si="6"/>
        <v>0</v>
      </c>
      <c r="R419" s="86">
        <f t="shared" si="7"/>
        <v>0</v>
      </c>
      <c r="S419" s="87" t="str">
        <f t="shared" ref="S419:V419" si="419">IFERROR(O419-Y419,"")
</f>
        <v/>
      </c>
      <c r="T419" s="87">
        <f t="shared" si="419"/>
        <v>0</v>
      </c>
      <c r="U419" s="87">
        <f t="shared" si="419"/>
        <v>0</v>
      </c>
      <c r="V419" s="87">
        <f t="shared" si="419"/>
        <v>0</v>
      </c>
      <c r="W419" s="88" t="str">
        <f t="shared" si="9"/>
        <v/>
      </c>
      <c r="X419" s="89">
        <f>IFERROR(S419/D419,"")</f>
        <v>0</v>
      </c>
      <c r="Y419" s="90" t="str">
        <f t="shared" si="10"/>
        <v>ERR</v>
      </c>
      <c r="Z419" s="90">
        <f>IF(H419=0,0,CAPITAL!$H$5*Y419)
</f>
        <v>0</v>
      </c>
      <c r="AA419" s="90">
        <f>IF(I419=0,0,CAPITAL!$H$6*Y419)
</f>
        <v>0</v>
      </c>
      <c r="AB419" s="90">
        <f>IF(J419=0,0,CAPITAL!$H$7*Y419)
</f>
        <v>0</v>
      </c>
      <c r="AC419" s="90"/>
    </row>
    <row r="420">
      <c r="A420" s="104"/>
      <c r="B420" s="101">
        <v>415.0</v>
      </c>
      <c r="C420" s="18" t="str">
        <f>ENTRY!B414</f>
        <v>SILVERBEES</v>
      </c>
      <c r="D420" s="93">
        <f>CAPITAL!$C$2</f>
        <v>3350000</v>
      </c>
      <c r="E420" s="94" t="str">
        <f>ENTRY!C414</f>
        <v/>
      </c>
      <c r="F420" s="95" t="str">
        <f>ENTRY!D414</f>
        <v/>
      </c>
      <c r="G420" s="96" t="str">
        <f>ENTRY!E414</f>
        <v/>
      </c>
      <c r="H420" s="97">
        <f>G420*ENTRY!$O414</f>
        <v>0</v>
      </c>
      <c r="I420" s="97">
        <f>G420*ENTRY!$P414</f>
        <v>0</v>
      </c>
      <c r="J420" s="97">
        <f>G420*ENTRY!$Q414</f>
        <v>0</v>
      </c>
      <c r="K420" s="95">
        <f t="shared" si="2"/>
        <v>0</v>
      </c>
      <c r="L420" s="95" t="str">
        <f>ENTRY!F414</f>
        <v/>
      </c>
      <c r="M420" s="94" t="str">
        <f>ENTRY!G414</f>
        <v/>
      </c>
      <c r="N420" s="98" t="str">
        <f t="shared" si="3"/>
        <v/>
      </c>
      <c r="O420" s="99">
        <f t="shared" si="4"/>
        <v>0</v>
      </c>
      <c r="P420" s="99">
        <f t="shared" si="5"/>
        <v>0</v>
      </c>
      <c r="Q420" s="99">
        <f t="shared" si="6"/>
        <v>0</v>
      </c>
      <c r="R420" s="99">
        <f t="shared" si="7"/>
        <v>0</v>
      </c>
      <c r="S420" s="100" t="str">
        <f t="shared" ref="S420:V420" si="420">IFERROR(O420-Y420,"")
</f>
        <v/>
      </c>
      <c r="T420" s="100">
        <f t="shared" si="420"/>
        <v>0</v>
      </c>
      <c r="U420" s="100">
        <f t="shared" si="420"/>
        <v>0</v>
      </c>
      <c r="V420" s="100">
        <f t="shared" si="420"/>
        <v>0</v>
      </c>
      <c r="W420" s="88" t="str">
        <f t="shared" si="9"/>
        <v/>
      </c>
      <c r="X420" s="89">
        <f>S420/D420</f>
        <v>0</v>
      </c>
      <c r="Y420" s="90" t="str">
        <f t="shared" si="10"/>
        <v>ERR</v>
      </c>
      <c r="Z420" s="90">
        <f>IF(H420=0,0,CAPITAL!$H$5*Y420)
</f>
        <v>0</v>
      </c>
      <c r="AA420" s="90">
        <f>IF(I420=0,0,CAPITAL!$H$6*Y420)
</f>
        <v>0</v>
      </c>
      <c r="AB420" s="90">
        <f>IF(J420=0,0,CAPITAL!$H$7*Y420)
</f>
        <v>0</v>
      </c>
      <c r="AC420" s="90"/>
    </row>
    <row r="421">
      <c r="A421" s="104"/>
      <c r="B421" s="101">
        <v>416.0</v>
      </c>
      <c r="C421" s="79" t="str">
        <f>ENTRY!B415</f>
        <v>SILVERBEES</v>
      </c>
      <c r="D421" s="80">
        <f>CAPITAL!$C$2</f>
        <v>3350000</v>
      </c>
      <c r="E421" s="81" t="str">
        <f>ENTRY!C415</f>
        <v/>
      </c>
      <c r="F421" s="82" t="str">
        <f>ENTRY!D415</f>
        <v/>
      </c>
      <c r="G421" s="83" t="str">
        <f>ENTRY!E415</f>
        <v/>
      </c>
      <c r="H421" s="84">
        <f>G421*ENTRY!$O415</f>
        <v>0</v>
      </c>
      <c r="I421" s="84">
        <f>G421*ENTRY!$P415</f>
        <v>0</v>
      </c>
      <c r="J421" s="84">
        <f>G421*ENTRY!$Q415</f>
        <v>0</v>
      </c>
      <c r="K421" s="82">
        <f t="shared" si="2"/>
        <v>0</v>
      </c>
      <c r="L421" s="82" t="str">
        <f>ENTRY!F415</f>
        <v/>
      </c>
      <c r="M421" s="81" t="str">
        <f>ENTRY!G415</f>
        <v/>
      </c>
      <c r="N421" s="85" t="str">
        <f t="shared" si="3"/>
        <v/>
      </c>
      <c r="O421" s="86">
        <f t="shared" si="4"/>
        <v>0</v>
      </c>
      <c r="P421" s="86">
        <f t="shared" si="5"/>
        <v>0</v>
      </c>
      <c r="Q421" s="86">
        <f t="shared" si="6"/>
        <v>0</v>
      </c>
      <c r="R421" s="86">
        <f t="shared" si="7"/>
        <v>0</v>
      </c>
      <c r="S421" s="87" t="str">
        <f t="shared" ref="S421:V421" si="421">IFERROR(O421-Y421,"")
</f>
        <v/>
      </c>
      <c r="T421" s="87">
        <f t="shared" si="421"/>
        <v>0</v>
      </c>
      <c r="U421" s="87">
        <f t="shared" si="421"/>
        <v>0</v>
      </c>
      <c r="V421" s="87">
        <f t="shared" si="421"/>
        <v>0</v>
      </c>
      <c r="W421" s="88" t="str">
        <f t="shared" si="9"/>
        <v/>
      </c>
      <c r="X421" s="89">
        <f>IFERROR(S421/D421,"")</f>
        <v>0</v>
      </c>
      <c r="Y421" s="90" t="str">
        <f t="shared" si="10"/>
        <v>ERR</v>
      </c>
      <c r="Z421" s="90">
        <f>IF(H421=0,0,CAPITAL!$H$5*Y421)
</f>
        <v>0</v>
      </c>
      <c r="AA421" s="90">
        <f>IF(I421=0,0,CAPITAL!$H$6*Y421)
</f>
        <v>0</v>
      </c>
      <c r="AB421" s="90">
        <f>IF(J421=0,0,CAPITAL!$H$7*Y421)
</f>
        <v>0</v>
      </c>
      <c r="AC421" s="90"/>
    </row>
    <row r="422">
      <c r="A422" s="104"/>
      <c r="B422" s="101">
        <v>417.0</v>
      </c>
      <c r="C422" s="18" t="str">
        <f>ENTRY!B416</f>
        <v>SILVERBEES</v>
      </c>
      <c r="D422" s="93">
        <f>CAPITAL!$C$2</f>
        <v>3350000</v>
      </c>
      <c r="E422" s="94" t="str">
        <f>ENTRY!C416</f>
        <v/>
      </c>
      <c r="F422" s="95" t="str">
        <f>ENTRY!D416</f>
        <v/>
      </c>
      <c r="G422" s="96" t="str">
        <f>ENTRY!E416</f>
        <v/>
      </c>
      <c r="H422" s="97">
        <f>G422*ENTRY!$O416</f>
        <v>0</v>
      </c>
      <c r="I422" s="97">
        <f>G422*ENTRY!$P416</f>
        <v>0</v>
      </c>
      <c r="J422" s="97">
        <f>G422*ENTRY!$Q416</f>
        <v>0</v>
      </c>
      <c r="K422" s="95">
        <f t="shared" si="2"/>
        <v>0</v>
      </c>
      <c r="L422" s="95" t="str">
        <f>ENTRY!F416</f>
        <v/>
      </c>
      <c r="M422" s="94" t="str">
        <f>ENTRY!G416</f>
        <v/>
      </c>
      <c r="N422" s="98" t="str">
        <f t="shared" si="3"/>
        <v/>
      </c>
      <c r="O422" s="99">
        <f t="shared" si="4"/>
        <v>0</v>
      </c>
      <c r="P422" s="99">
        <f t="shared" si="5"/>
        <v>0</v>
      </c>
      <c r="Q422" s="99">
        <f t="shared" si="6"/>
        <v>0</v>
      </c>
      <c r="R422" s="99">
        <f t="shared" si="7"/>
        <v>0</v>
      </c>
      <c r="S422" s="100" t="str">
        <f t="shared" ref="S422:V422" si="422">IFERROR(O422-Y422,"")
</f>
        <v/>
      </c>
      <c r="T422" s="100">
        <f t="shared" si="422"/>
        <v>0</v>
      </c>
      <c r="U422" s="100">
        <f t="shared" si="422"/>
        <v>0</v>
      </c>
      <c r="V422" s="100">
        <f t="shared" si="422"/>
        <v>0</v>
      </c>
      <c r="W422" s="88" t="str">
        <f t="shared" si="9"/>
        <v/>
      </c>
      <c r="X422" s="89">
        <f>S422/D422</f>
        <v>0</v>
      </c>
      <c r="Y422" s="90" t="str">
        <f t="shared" si="10"/>
        <v>ERR</v>
      </c>
      <c r="Z422" s="90">
        <f>IF(H422=0,0,CAPITAL!$H$5*Y422)
</f>
        <v>0</v>
      </c>
      <c r="AA422" s="90">
        <f>IF(I422=0,0,CAPITAL!$H$6*Y422)
</f>
        <v>0</v>
      </c>
      <c r="AB422" s="90">
        <f>IF(J422=0,0,CAPITAL!$H$7*Y422)
</f>
        <v>0</v>
      </c>
      <c r="AC422" s="90"/>
    </row>
    <row r="423">
      <c r="A423" s="104"/>
      <c r="B423" s="101">
        <v>418.0</v>
      </c>
      <c r="C423" s="79" t="str">
        <f>ENTRY!B417</f>
        <v>SILVERBEES</v>
      </c>
      <c r="D423" s="80">
        <f>CAPITAL!$C$2</f>
        <v>3350000</v>
      </c>
      <c r="E423" s="81" t="str">
        <f>ENTRY!C417</f>
        <v/>
      </c>
      <c r="F423" s="82" t="str">
        <f>ENTRY!D417</f>
        <v/>
      </c>
      <c r="G423" s="83" t="str">
        <f>ENTRY!E417</f>
        <v/>
      </c>
      <c r="H423" s="84">
        <f>G423*ENTRY!$O417</f>
        <v>0</v>
      </c>
      <c r="I423" s="84">
        <f>G423*ENTRY!$P417</f>
        <v>0</v>
      </c>
      <c r="J423" s="84">
        <f>G423*ENTRY!$Q417</f>
        <v>0</v>
      </c>
      <c r="K423" s="82">
        <f t="shared" si="2"/>
        <v>0</v>
      </c>
      <c r="L423" s="82" t="str">
        <f>ENTRY!F417</f>
        <v/>
      </c>
      <c r="M423" s="81" t="str">
        <f>ENTRY!G417</f>
        <v/>
      </c>
      <c r="N423" s="85" t="str">
        <f t="shared" si="3"/>
        <v/>
      </c>
      <c r="O423" s="86">
        <f t="shared" si="4"/>
        <v>0</v>
      </c>
      <c r="P423" s="86">
        <f t="shared" si="5"/>
        <v>0</v>
      </c>
      <c r="Q423" s="86">
        <f t="shared" si="6"/>
        <v>0</v>
      </c>
      <c r="R423" s="86">
        <f t="shared" si="7"/>
        <v>0</v>
      </c>
      <c r="S423" s="87" t="str">
        <f t="shared" ref="S423:V423" si="423">IFERROR(O423-Y423,"")
</f>
        <v/>
      </c>
      <c r="T423" s="87">
        <f t="shared" si="423"/>
        <v>0</v>
      </c>
      <c r="U423" s="87">
        <f t="shared" si="423"/>
        <v>0</v>
      </c>
      <c r="V423" s="87">
        <f t="shared" si="423"/>
        <v>0</v>
      </c>
      <c r="W423" s="88" t="str">
        <f t="shared" si="9"/>
        <v/>
      </c>
      <c r="X423" s="89">
        <f>IFERROR(S423/D423,"")</f>
        <v>0</v>
      </c>
      <c r="Y423" s="90" t="str">
        <f t="shared" si="10"/>
        <v>ERR</v>
      </c>
      <c r="Z423" s="90">
        <f>IF(H423=0,0,CAPITAL!$H$5*Y423)
</f>
        <v>0</v>
      </c>
      <c r="AA423" s="90">
        <f>IF(I423=0,0,CAPITAL!$H$6*Y423)
</f>
        <v>0</v>
      </c>
      <c r="AB423" s="90">
        <f>IF(J423=0,0,CAPITAL!$H$7*Y423)
</f>
        <v>0</v>
      </c>
      <c r="AC423" s="90"/>
    </row>
    <row r="424">
      <c r="A424" s="104"/>
      <c r="B424" s="101">
        <v>419.0</v>
      </c>
      <c r="C424" s="18" t="str">
        <f>ENTRY!B418</f>
        <v>SILVERBEES</v>
      </c>
      <c r="D424" s="93">
        <f>CAPITAL!$C$2</f>
        <v>3350000</v>
      </c>
      <c r="E424" s="94" t="str">
        <f>ENTRY!C418</f>
        <v/>
      </c>
      <c r="F424" s="95" t="str">
        <f>ENTRY!D418</f>
        <v/>
      </c>
      <c r="G424" s="96" t="str">
        <f>ENTRY!E418</f>
        <v/>
      </c>
      <c r="H424" s="97">
        <f>G424*ENTRY!$O418</f>
        <v>0</v>
      </c>
      <c r="I424" s="97">
        <f>G424*ENTRY!$P418</f>
        <v>0</v>
      </c>
      <c r="J424" s="97">
        <f>G424*ENTRY!$Q418</f>
        <v>0</v>
      </c>
      <c r="K424" s="95">
        <f t="shared" si="2"/>
        <v>0</v>
      </c>
      <c r="L424" s="95" t="str">
        <f>ENTRY!F418</f>
        <v/>
      </c>
      <c r="M424" s="94" t="str">
        <f>ENTRY!G418</f>
        <v/>
      </c>
      <c r="N424" s="98" t="str">
        <f t="shared" si="3"/>
        <v/>
      </c>
      <c r="O424" s="99">
        <f t="shared" si="4"/>
        <v>0</v>
      </c>
      <c r="P424" s="99">
        <f t="shared" si="5"/>
        <v>0</v>
      </c>
      <c r="Q424" s="99">
        <f t="shared" si="6"/>
        <v>0</v>
      </c>
      <c r="R424" s="99">
        <f t="shared" si="7"/>
        <v>0</v>
      </c>
      <c r="S424" s="100" t="str">
        <f t="shared" ref="S424:V424" si="424">IFERROR(O424-Y424,"")
</f>
        <v/>
      </c>
      <c r="T424" s="100">
        <f t="shared" si="424"/>
        <v>0</v>
      </c>
      <c r="U424" s="100">
        <f t="shared" si="424"/>
        <v>0</v>
      </c>
      <c r="V424" s="100">
        <f t="shared" si="424"/>
        <v>0</v>
      </c>
      <c r="W424" s="88" t="str">
        <f t="shared" si="9"/>
        <v/>
      </c>
      <c r="X424" s="89">
        <f>S424/D424</f>
        <v>0</v>
      </c>
      <c r="Y424" s="90" t="str">
        <f t="shared" si="10"/>
        <v>ERR</v>
      </c>
      <c r="Z424" s="90">
        <f>IF(H424=0,0,CAPITAL!$H$5*Y424)
</f>
        <v>0</v>
      </c>
      <c r="AA424" s="90">
        <f>IF(I424=0,0,CAPITAL!$H$6*Y424)
</f>
        <v>0</v>
      </c>
      <c r="AB424" s="90">
        <f>IF(J424=0,0,CAPITAL!$H$7*Y424)
</f>
        <v>0</v>
      </c>
      <c r="AC424" s="90"/>
    </row>
    <row r="425">
      <c r="A425" s="104"/>
      <c r="B425" s="101">
        <v>420.0</v>
      </c>
      <c r="C425" s="79" t="str">
        <f>ENTRY!B419</f>
        <v>SILVERBEES</v>
      </c>
      <c r="D425" s="80">
        <f>CAPITAL!$C$2</f>
        <v>3350000</v>
      </c>
      <c r="E425" s="81" t="str">
        <f>ENTRY!C419</f>
        <v/>
      </c>
      <c r="F425" s="82" t="str">
        <f>ENTRY!D419</f>
        <v/>
      </c>
      <c r="G425" s="83" t="str">
        <f>ENTRY!E419</f>
        <v/>
      </c>
      <c r="H425" s="84">
        <f>G425*ENTRY!$O419</f>
        <v>0</v>
      </c>
      <c r="I425" s="84">
        <f>G425*ENTRY!$P419</f>
        <v>0</v>
      </c>
      <c r="J425" s="84">
        <f>G425*ENTRY!$Q419</f>
        <v>0</v>
      </c>
      <c r="K425" s="82">
        <f t="shared" si="2"/>
        <v>0</v>
      </c>
      <c r="L425" s="82" t="str">
        <f>ENTRY!F419</f>
        <v/>
      </c>
      <c r="M425" s="81" t="str">
        <f>ENTRY!G419</f>
        <v/>
      </c>
      <c r="N425" s="85" t="str">
        <f t="shared" si="3"/>
        <v/>
      </c>
      <c r="O425" s="86">
        <f t="shared" si="4"/>
        <v>0</v>
      </c>
      <c r="P425" s="86">
        <f t="shared" si="5"/>
        <v>0</v>
      </c>
      <c r="Q425" s="86">
        <f t="shared" si="6"/>
        <v>0</v>
      </c>
      <c r="R425" s="86">
        <f t="shared" si="7"/>
        <v>0</v>
      </c>
      <c r="S425" s="87" t="str">
        <f t="shared" ref="S425:V425" si="425">IFERROR(O425-Y425,"")
</f>
        <v/>
      </c>
      <c r="T425" s="87">
        <f t="shared" si="425"/>
        <v>0</v>
      </c>
      <c r="U425" s="87">
        <f t="shared" si="425"/>
        <v>0</v>
      </c>
      <c r="V425" s="87">
        <f t="shared" si="425"/>
        <v>0</v>
      </c>
      <c r="W425" s="88" t="str">
        <f t="shared" si="9"/>
        <v/>
      </c>
      <c r="X425" s="89">
        <f>IFERROR(S425/D425,"")</f>
        <v>0</v>
      </c>
      <c r="Y425" s="90" t="str">
        <f t="shared" si="10"/>
        <v>ERR</v>
      </c>
      <c r="Z425" s="90">
        <f>IF(H425=0,0,CAPITAL!$H$5*Y425)
</f>
        <v>0</v>
      </c>
      <c r="AA425" s="90">
        <f>IF(I425=0,0,CAPITAL!$H$6*Y425)
</f>
        <v>0</v>
      </c>
      <c r="AB425" s="90">
        <f>IF(J425=0,0,CAPITAL!$H$7*Y425)
</f>
        <v>0</v>
      </c>
      <c r="AC425" s="90"/>
    </row>
    <row r="426">
      <c r="A426" s="104"/>
      <c r="B426" s="101">
        <v>421.0</v>
      </c>
      <c r="C426" s="18" t="str">
        <f>ENTRY!B420</f>
        <v>SILVERBEES</v>
      </c>
      <c r="D426" s="93">
        <f>CAPITAL!$C$2</f>
        <v>3350000</v>
      </c>
      <c r="E426" s="94" t="str">
        <f>ENTRY!C420</f>
        <v/>
      </c>
      <c r="F426" s="95" t="str">
        <f>ENTRY!D420</f>
        <v/>
      </c>
      <c r="G426" s="96" t="str">
        <f>ENTRY!E420</f>
        <v/>
      </c>
      <c r="H426" s="97">
        <f>G426*ENTRY!$O420</f>
        <v>0</v>
      </c>
      <c r="I426" s="97">
        <f>G426*ENTRY!$P420</f>
        <v>0</v>
      </c>
      <c r="J426" s="97">
        <f>G426*ENTRY!$Q420</f>
        <v>0</v>
      </c>
      <c r="K426" s="95">
        <f t="shared" si="2"/>
        <v>0</v>
      </c>
      <c r="L426" s="95" t="str">
        <f>ENTRY!F420</f>
        <v/>
      </c>
      <c r="M426" s="94" t="str">
        <f>ENTRY!G420</f>
        <v/>
      </c>
      <c r="N426" s="98" t="str">
        <f t="shared" si="3"/>
        <v/>
      </c>
      <c r="O426" s="99">
        <f t="shared" si="4"/>
        <v>0</v>
      </c>
      <c r="P426" s="99">
        <f t="shared" si="5"/>
        <v>0</v>
      </c>
      <c r="Q426" s="99">
        <f t="shared" si="6"/>
        <v>0</v>
      </c>
      <c r="R426" s="99">
        <f t="shared" si="7"/>
        <v>0</v>
      </c>
      <c r="S426" s="100" t="str">
        <f t="shared" ref="S426:V426" si="426">IFERROR(O426-Y426,"")
</f>
        <v/>
      </c>
      <c r="T426" s="100">
        <f t="shared" si="426"/>
        <v>0</v>
      </c>
      <c r="U426" s="100">
        <f t="shared" si="426"/>
        <v>0</v>
      </c>
      <c r="V426" s="100">
        <f t="shared" si="426"/>
        <v>0</v>
      </c>
      <c r="W426" s="88" t="str">
        <f t="shared" si="9"/>
        <v/>
      </c>
      <c r="X426" s="89">
        <f>S426/D426</f>
        <v>0</v>
      </c>
      <c r="Y426" s="90" t="str">
        <f t="shared" si="10"/>
        <v>ERR</v>
      </c>
      <c r="Z426" s="90">
        <f>IF(H426=0,0,CAPITAL!$H$5*Y426)
</f>
        <v>0</v>
      </c>
      <c r="AA426" s="90">
        <f>IF(I426=0,0,CAPITAL!$H$6*Y426)
</f>
        <v>0</v>
      </c>
      <c r="AB426" s="90">
        <f>IF(J426=0,0,CAPITAL!$H$7*Y426)
</f>
        <v>0</v>
      </c>
      <c r="AC426" s="90"/>
    </row>
    <row r="427">
      <c r="A427" s="104"/>
      <c r="B427" s="101">
        <v>422.0</v>
      </c>
      <c r="C427" s="79" t="str">
        <f>ENTRY!B421</f>
        <v>SILVERBEES</v>
      </c>
      <c r="D427" s="80">
        <f>CAPITAL!$C$2</f>
        <v>3350000</v>
      </c>
      <c r="E427" s="81" t="str">
        <f>ENTRY!C421</f>
        <v/>
      </c>
      <c r="F427" s="82" t="str">
        <f>ENTRY!D421</f>
        <v/>
      </c>
      <c r="G427" s="83" t="str">
        <f>ENTRY!E421</f>
        <v/>
      </c>
      <c r="H427" s="84">
        <f>G427*ENTRY!$O421</f>
        <v>0</v>
      </c>
      <c r="I427" s="84">
        <f>G427*ENTRY!$P421</f>
        <v>0</v>
      </c>
      <c r="J427" s="84">
        <f>G427*ENTRY!$Q421</f>
        <v>0</v>
      </c>
      <c r="K427" s="82">
        <f t="shared" si="2"/>
        <v>0</v>
      </c>
      <c r="L427" s="82" t="str">
        <f>ENTRY!F421</f>
        <v/>
      </c>
      <c r="M427" s="81" t="str">
        <f>ENTRY!G421</f>
        <v/>
      </c>
      <c r="N427" s="85" t="str">
        <f t="shared" si="3"/>
        <v/>
      </c>
      <c r="O427" s="86">
        <f t="shared" si="4"/>
        <v>0</v>
      </c>
      <c r="P427" s="86">
        <f t="shared" si="5"/>
        <v>0</v>
      </c>
      <c r="Q427" s="86">
        <f t="shared" si="6"/>
        <v>0</v>
      </c>
      <c r="R427" s="86">
        <f t="shared" si="7"/>
        <v>0</v>
      </c>
      <c r="S427" s="87" t="str">
        <f t="shared" ref="S427:V427" si="427">IFERROR(O427-Y427,"")
</f>
        <v/>
      </c>
      <c r="T427" s="87">
        <f t="shared" si="427"/>
        <v>0</v>
      </c>
      <c r="U427" s="87">
        <f t="shared" si="427"/>
        <v>0</v>
      </c>
      <c r="V427" s="87">
        <f t="shared" si="427"/>
        <v>0</v>
      </c>
      <c r="W427" s="88" t="str">
        <f t="shared" si="9"/>
        <v/>
      </c>
      <c r="X427" s="89">
        <f>IFERROR(S427/D427,"")</f>
        <v>0</v>
      </c>
      <c r="Y427" s="90" t="str">
        <f t="shared" si="10"/>
        <v>ERR</v>
      </c>
      <c r="Z427" s="90">
        <f>IF(H427=0,0,CAPITAL!$H$5*Y427)
</f>
        <v>0</v>
      </c>
      <c r="AA427" s="90">
        <f>IF(I427=0,0,CAPITAL!$H$6*Y427)
</f>
        <v>0</v>
      </c>
      <c r="AB427" s="90">
        <f>IF(J427=0,0,CAPITAL!$H$7*Y427)
</f>
        <v>0</v>
      </c>
      <c r="AC427" s="90"/>
    </row>
    <row r="428">
      <c r="A428" s="104"/>
      <c r="B428" s="101">
        <v>423.0</v>
      </c>
      <c r="C428" s="18" t="str">
        <f>ENTRY!B422</f>
        <v>SILVERBEES</v>
      </c>
      <c r="D428" s="93">
        <f>CAPITAL!$C$2</f>
        <v>3350000</v>
      </c>
      <c r="E428" s="94" t="str">
        <f>ENTRY!C422</f>
        <v/>
      </c>
      <c r="F428" s="95" t="str">
        <f>ENTRY!D422</f>
        <v/>
      </c>
      <c r="G428" s="96" t="str">
        <f>ENTRY!E422</f>
        <v/>
      </c>
      <c r="H428" s="97">
        <f>G428*ENTRY!$O422</f>
        <v>0</v>
      </c>
      <c r="I428" s="97">
        <f>G428*ENTRY!$P422</f>
        <v>0</v>
      </c>
      <c r="J428" s="97">
        <f>G428*ENTRY!$Q422</f>
        <v>0</v>
      </c>
      <c r="K428" s="95">
        <f t="shared" si="2"/>
        <v>0</v>
      </c>
      <c r="L428" s="95" t="str">
        <f>ENTRY!F422</f>
        <v/>
      </c>
      <c r="M428" s="94" t="str">
        <f>ENTRY!G422</f>
        <v/>
      </c>
      <c r="N428" s="98" t="str">
        <f t="shared" si="3"/>
        <v/>
      </c>
      <c r="O428" s="99">
        <f t="shared" si="4"/>
        <v>0</v>
      </c>
      <c r="P428" s="99">
        <f t="shared" si="5"/>
        <v>0</v>
      </c>
      <c r="Q428" s="99">
        <f t="shared" si="6"/>
        <v>0</v>
      </c>
      <c r="R428" s="99">
        <f t="shared" si="7"/>
        <v>0</v>
      </c>
      <c r="S428" s="100" t="str">
        <f t="shared" ref="S428:V428" si="428">IFERROR(O428-Y428,"")
</f>
        <v/>
      </c>
      <c r="T428" s="100">
        <f t="shared" si="428"/>
        <v>0</v>
      </c>
      <c r="U428" s="100">
        <f t="shared" si="428"/>
        <v>0</v>
      </c>
      <c r="V428" s="100">
        <f t="shared" si="428"/>
        <v>0</v>
      </c>
      <c r="W428" s="88" t="str">
        <f t="shared" si="9"/>
        <v/>
      </c>
      <c r="X428" s="89">
        <f>S428/D428</f>
        <v>0</v>
      </c>
      <c r="Y428" s="90" t="str">
        <f t="shared" si="10"/>
        <v>ERR</v>
      </c>
      <c r="Z428" s="90">
        <f>IF(H428=0,0,CAPITAL!$H$5*Y428)
</f>
        <v>0</v>
      </c>
      <c r="AA428" s="90">
        <f>IF(I428=0,0,CAPITAL!$H$6*Y428)
</f>
        <v>0</v>
      </c>
      <c r="AB428" s="90">
        <f>IF(J428=0,0,CAPITAL!$H$7*Y428)
</f>
        <v>0</v>
      </c>
      <c r="AC428" s="90"/>
    </row>
    <row r="429">
      <c r="A429" s="104"/>
      <c r="B429" s="101">
        <v>424.0</v>
      </c>
      <c r="C429" s="79" t="str">
        <f>ENTRY!B423</f>
        <v>SILVERBEES</v>
      </c>
      <c r="D429" s="80">
        <f>CAPITAL!$C$2</f>
        <v>3350000</v>
      </c>
      <c r="E429" s="81" t="str">
        <f>ENTRY!C423</f>
        <v/>
      </c>
      <c r="F429" s="82" t="str">
        <f>ENTRY!D423</f>
        <v/>
      </c>
      <c r="G429" s="83" t="str">
        <f>ENTRY!E423</f>
        <v/>
      </c>
      <c r="H429" s="84">
        <f>G429*ENTRY!$O423</f>
        <v>0</v>
      </c>
      <c r="I429" s="84">
        <f>G429*ENTRY!$P423</f>
        <v>0</v>
      </c>
      <c r="J429" s="84">
        <f>G429*ENTRY!$Q423</f>
        <v>0</v>
      </c>
      <c r="K429" s="82">
        <f t="shared" si="2"/>
        <v>0</v>
      </c>
      <c r="L429" s="82" t="str">
        <f>ENTRY!F423</f>
        <v/>
      </c>
      <c r="M429" s="81" t="str">
        <f>ENTRY!G423</f>
        <v/>
      </c>
      <c r="N429" s="85" t="str">
        <f t="shared" si="3"/>
        <v/>
      </c>
      <c r="O429" s="86">
        <f t="shared" si="4"/>
        <v>0</v>
      </c>
      <c r="P429" s="86">
        <f t="shared" si="5"/>
        <v>0</v>
      </c>
      <c r="Q429" s="86">
        <f t="shared" si="6"/>
        <v>0</v>
      </c>
      <c r="R429" s="86">
        <f t="shared" si="7"/>
        <v>0</v>
      </c>
      <c r="S429" s="87" t="str">
        <f t="shared" ref="S429:V429" si="429">IFERROR(O429-Y429,"")
</f>
        <v/>
      </c>
      <c r="T429" s="87">
        <f t="shared" si="429"/>
        <v>0</v>
      </c>
      <c r="U429" s="87">
        <f t="shared" si="429"/>
        <v>0</v>
      </c>
      <c r="V429" s="87">
        <f t="shared" si="429"/>
        <v>0</v>
      </c>
      <c r="W429" s="88" t="str">
        <f t="shared" si="9"/>
        <v/>
      </c>
      <c r="X429" s="89">
        <f>IFERROR(S429/D429,"")</f>
        <v>0</v>
      </c>
      <c r="Y429" s="90" t="str">
        <f t="shared" si="10"/>
        <v>ERR</v>
      </c>
      <c r="Z429" s="90">
        <f>IF(H429=0,0,CAPITAL!$H$5*Y429)
</f>
        <v>0</v>
      </c>
      <c r="AA429" s="90">
        <f>IF(I429=0,0,CAPITAL!$H$6*Y429)
</f>
        <v>0</v>
      </c>
      <c r="AB429" s="90">
        <f>IF(J429=0,0,CAPITAL!$H$7*Y429)
</f>
        <v>0</v>
      </c>
      <c r="AC429" s="90"/>
    </row>
    <row r="430">
      <c r="A430" s="104"/>
      <c r="B430" s="101">
        <v>425.0</v>
      </c>
      <c r="C430" s="18" t="str">
        <f>ENTRY!B424</f>
        <v>SILVERBEES</v>
      </c>
      <c r="D430" s="93">
        <f>CAPITAL!$C$2</f>
        <v>3350000</v>
      </c>
      <c r="E430" s="94" t="str">
        <f>ENTRY!C424</f>
        <v/>
      </c>
      <c r="F430" s="95" t="str">
        <f>ENTRY!D424</f>
        <v/>
      </c>
      <c r="G430" s="96" t="str">
        <f>ENTRY!E424</f>
        <v/>
      </c>
      <c r="H430" s="97">
        <f>G430*ENTRY!$O424</f>
        <v>0</v>
      </c>
      <c r="I430" s="97">
        <f>G430*ENTRY!$P424</f>
        <v>0</v>
      </c>
      <c r="J430" s="97">
        <f>G430*ENTRY!$Q424</f>
        <v>0</v>
      </c>
      <c r="K430" s="95">
        <f t="shared" si="2"/>
        <v>0</v>
      </c>
      <c r="L430" s="95" t="str">
        <f>ENTRY!F424</f>
        <v/>
      </c>
      <c r="M430" s="94" t="str">
        <f>ENTRY!G424</f>
        <v/>
      </c>
      <c r="N430" s="98" t="str">
        <f t="shared" si="3"/>
        <v/>
      </c>
      <c r="O430" s="99">
        <f t="shared" si="4"/>
        <v>0</v>
      </c>
      <c r="P430" s="99">
        <f t="shared" si="5"/>
        <v>0</v>
      </c>
      <c r="Q430" s="99">
        <f t="shared" si="6"/>
        <v>0</v>
      </c>
      <c r="R430" s="99">
        <f t="shared" si="7"/>
        <v>0</v>
      </c>
      <c r="S430" s="100" t="str">
        <f t="shared" ref="S430:V430" si="430">IFERROR(O430-Y430,"")
</f>
        <v/>
      </c>
      <c r="T430" s="100">
        <f t="shared" si="430"/>
        <v>0</v>
      </c>
      <c r="U430" s="100">
        <f t="shared" si="430"/>
        <v>0</v>
      </c>
      <c r="V430" s="100">
        <f t="shared" si="430"/>
        <v>0</v>
      </c>
      <c r="W430" s="88" t="str">
        <f t="shared" si="9"/>
        <v/>
      </c>
      <c r="X430" s="89">
        <f>S430/D430</f>
        <v>0</v>
      </c>
      <c r="Y430" s="90" t="str">
        <f t="shared" si="10"/>
        <v>ERR</v>
      </c>
      <c r="Z430" s="90">
        <f>IF(H430=0,0,CAPITAL!$H$5*Y430)
</f>
        <v>0</v>
      </c>
      <c r="AA430" s="90">
        <f>IF(I430=0,0,CAPITAL!$H$6*Y430)
</f>
        <v>0</v>
      </c>
      <c r="AB430" s="90">
        <f>IF(J430=0,0,CAPITAL!$H$7*Y430)
</f>
        <v>0</v>
      </c>
      <c r="AC430" s="90"/>
    </row>
    <row r="431">
      <c r="A431" s="104"/>
      <c r="B431" s="101">
        <v>426.0</v>
      </c>
      <c r="C431" s="79" t="str">
        <f>ENTRY!B425</f>
        <v>SILVERBEES</v>
      </c>
      <c r="D431" s="80">
        <f>CAPITAL!$C$2</f>
        <v>3350000</v>
      </c>
      <c r="E431" s="81" t="str">
        <f>ENTRY!C425</f>
        <v/>
      </c>
      <c r="F431" s="82" t="str">
        <f>ENTRY!D425</f>
        <v/>
      </c>
      <c r="G431" s="83" t="str">
        <f>ENTRY!E425</f>
        <v/>
      </c>
      <c r="H431" s="84">
        <f>G431*ENTRY!$O425</f>
        <v>0</v>
      </c>
      <c r="I431" s="84">
        <f>G431*ENTRY!$P425</f>
        <v>0</v>
      </c>
      <c r="J431" s="84">
        <f>G431*ENTRY!$Q425</f>
        <v>0</v>
      </c>
      <c r="K431" s="82">
        <f t="shared" si="2"/>
        <v>0</v>
      </c>
      <c r="L431" s="82" t="str">
        <f>ENTRY!F425</f>
        <v/>
      </c>
      <c r="M431" s="81" t="str">
        <f>ENTRY!G425</f>
        <v/>
      </c>
      <c r="N431" s="85" t="str">
        <f t="shared" si="3"/>
        <v/>
      </c>
      <c r="O431" s="86">
        <f t="shared" si="4"/>
        <v>0</v>
      </c>
      <c r="P431" s="86">
        <f t="shared" si="5"/>
        <v>0</v>
      </c>
      <c r="Q431" s="86">
        <f t="shared" si="6"/>
        <v>0</v>
      </c>
      <c r="R431" s="86">
        <f t="shared" si="7"/>
        <v>0</v>
      </c>
      <c r="S431" s="87" t="str">
        <f t="shared" ref="S431:V431" si="431">IFERROR(O431-Y431,"")
</f>
        <v/>
      </c>
      <c r="T431" s="87">
        <f t="shared" si="431"/>
        <v>0</v>
      </c>
      <c r="U431" s="87">
        <f t="shared" si="431"/>
        <v>0</v>
      </c>
      <c r="V431" s="87">
        <f t="shared" si="431"/>
        <v>0</v>
      </c>
      <c r="W431" s="88" t="str">
        <f t="shared" si="9"/>
        <v/>
      </c>
      <c r="X431" s="89">
        <f>IFERROR(S431/D431,"")</f>
        <v>0</v>
      </c>
      <c r="Y431" s="90" t="str">
        <f t="shared" si="10"/>
        <v>ERR</v>
      </c>
      <c r="Z431" s="90">
        <f>IF(H431=0,0,CAPITAL!$H$5*Y431)
</f>
        <v>0</v>
      </c>
      <c r="AA431" s="90">
        <f>IF(I431=0,0,CAPITAL!$H$6*Y431)
</f>
        <v>0</v>
      </c>
      <c r="AB431" s="90">
        <f>IF(J431=0,0,CAPITAL!$H$7*Y431)
</f>
        <v>0</v>
      </c>
      <c r="AC431" s="90"/>
    </row>
    <row r="432">
      <c r="A432" s="104"/>
      <c r="B432" s="101">
        <v>427.0</v>
      </c>
      <c r="C432" s="18" t="str">
        <f>ENTRY!B426</f>
        <v>SILVERBEES</v>
      </c>
      <c r="D432" s="93">
        <f>CAPITAL!$C$2</f>
        <v>3350000</v>
      </c>
      <c r="E432" s="94" t="str">
        <f>ENTRY!C426</f>
        <v/>
      </c>
      <c r="F432" s="95" t="str">
        <f>ENTRY!D426</f>
        <v/>
      </c>
      <c r="G432" s="96" t="str">
        <f>ENTRY!E426</f>
        <v/>
      </c>
      <c r="H432" s="97">
        <f>G432*ENTRY!$O426</f>
        <v>0</v>
      </c>
      <c r="I432" s="97">
        <f>G432*ENTRY!$P426</f>
        <v>0</v>
      </c>
      <c r="J432" s="97">
        <f>G432*ENTRY!$Q426</f>
        <v>0</v>
      </c>
      <c r="K432" s="95">
        <f t="shared" si="2"/>
        <v>0</v>
      </c>
      <c r="L432" s="95" t="str">
        <f>ENTRY!F426</f>
        <v/>
      </c>
      <c r="M432" s="94" t="str">
        <f>ENTRY!G426</f>
        <v/>
      </c>
      <c r="N432" s="98" t="str">
        <f t="shared" si="3"/>
        <v/>
      </c>
      <c r="O432" s="99">
        <f t="shared" si="4"/>
        <v>0</v>
      </c>
      <c r="P432" s="99">
        <f t="shared" si="5"/>
        <v>0</v>
      </c>
      <c r="Q432" s="99">
        <f t="shared" si="6"/>
        <v>0</v>
      </c>
      <c r="R432" s="99">
        <f t="shared" si="7"/>
        <v>0</v>
      </c>
      <c r="S432" s="100" t="str">
        <f t="shared" ref="S432:V432" si="432">IFERROR(O432-Y432,"")
</f>
        <v/>
      </c>
      <c r="T432" s="100">
        <f t="shared" si="432"/>
        <v>0</v>
      </c>
      <c r="U432" s="100">
        <f t="shared" si="432"/>
        <v>0</v>
      </c>
      <c r="V432" s="100">
        <f t="shared" si="432"/>
        <v>0</v>
      </c>
      <c r="W432" s="88" t="str">
        <f t="shared" si="9"/>
        <v/>
      </c>
      <c r="X432" s="89">
        <f>S432/D432</f>
        <v>0</v>
      </c>
      <c r="Y432" s="90" t="str">
        <f t="shared" si="10"/>
        <v>ERR</v>
      </c>
      <c r="Z432" s="90">
        <f>IF(H432=0,0,CAPITAL!$H$5*Y432)
</f>
        <v>0</v>
      </c>
      <c r="AA432" s="90">
        <f>IF(I432=0,0,CAPITAL!$H$6*Y432)
</f>
        <v>0</v>
      </c>
      <c r="AB432" s="90">
        <f>IF(J432=0,0,CAPITAL!$H$7*Y432)
</f>
        <v>0</v>
      </c>
      <c r="AC432" s="90"/>
    </row>
    <row r="433">
      <c r="A433" s="104"/>
      <c r="B433" s="101">
        <v>428.0</v>
      </c>
      <c r="C433" s="79" t="str">
        <f>ENTRY!B427</f>
        <v>SILVERBEES</v>
      </c>
      <c r="D433" s="80">
        <f>CAPITAL!$C$2</f>
        <v>3350000</v>
      </c>
      <c r="E433" s="81" t="str">
        <f>ENTRY!C427</f>
        <v/>
      </c>
      <c r="F433" s="82" t="str">
        <f>ENTRY!D427</f>
        <v/>
      </c>
      <c r="G433" s="83" t="str">
        <f>ENTRY!E427</f>
        <v/>
      </c>
      <c r="H433" s="84">
        <f>G433*ENTRY!$O427</f>
        <v>0</v>
      </c>
      <c r="I433" s="84">
        <f>G433*ENTRY!$P427</f>
        <v>0</v>
      </c>
      <c r="J433" s="84">
        <f>G433*ENTRY!$Q427</f>
        <v>0</v>
      </c>
      <c r="K433" s="82">
        <f t="shared" si="2"/>
        <v>0</v>
      </c>
      <c r="L433" s="82" t="str">
        <f>ENTRY!F427</f>
        <v/>
      </c>
      <c r="M433" s="81" t="str">
        <f>ENTRY!G427</f>
        <v/>
      </c>
      <c r="N433" s="85" t="str">
        <f t="shared" si="3"/>
        <v/>
      </c>
      <c r="O433" s="86">
        <f t="shared" si="4"/>
        <v>0</v>
      </c>
      <c r="P433" s="86">
        <f t="shared" si="5"/>
        <v>0</v>
      </c>
      <c r="Q433" s="86">
        <f t="shared" si="6"/>
        <v>0</v>
      </c>
      <c r="R433" s="86">
        <f t="shared" si="7"/>
        <v>0</v>
      </c>
      <c r="S433" s="87" t="str">
        <f t="shared" ref="S433:V433" si="433">IFERROR(O433-Y433,"")
</f>
        <v/>
      </c>
      <c r="T433" s="87">
        <f t="shared" si="433"/>
        <v>0</v>
      </c>
      <c r="U433" s="87">
        <f t="shared" si="433"/>
        <v>0</v>
      </c>
      <c r="V433" s="87">
        <f t="shared" si="433"/>
        <v>0</v>
      </c>
      <c r="W433" s="88" t="str">
        <f t="shared" si="9"/>
        <v/>
      </c>
      <c r="X433" s="89">
        <f>IFERROR(S433/D433,"")</f>
        <v>0</v>
      </c>
      <c r="Y433" s="90" t="str">
        <f t="shared" si="10"/>
        <v>ERR</v>
      </c>
      <c r="Z433" s="90">
        <f>IF(H433=0,0,CAPITAL!$H$5*Y433)
</f>
        <v>0</v>
      </c>
      <c r="AA433" s="90">
        <f>IF(I433=0,0,CAPITAL!$H$6*Y433)
</f>
        <v>0</v>
      </c>
      <c r="AB433" s="90">
        <f>IF(J433=0,0,CAPITAL!$H$7*Y433)
</f>
        <v>0</v>
      </c>
      <c r="AC433" s="90"/>
    </row>
    <row r="434">
      <c r="A434" s="104"/>
      <c r="B434" s="101">
        <v>429.0</v>
      </c>
      <c r="C434" s="18" t="str">
        <f>ENTRY!B428</f>
        <v>SILVERBEES</v>
      </c>
      <c r="D434" s="93">
        <f>CAPITAL!$C$2</f>
        <v>3350000</v>
      </c>
      <c r="E434" s="94" t="str">
        <f>ENTRY!C428</f>
        <v/>
      </c>
      <c r="F434" s="95" t="str">
        <f>ENTRY!D428</f>
        <v/>
      </c>
      <c r="G434" s="96" t="str">
        <f>ENTRY!E428</f>
        <v/>
      </c>
      <c r="H434" s="97">
        <f>G434*ENTRY!$O428</f>
        <v>0</v>
      </c>
      <c r="I434" s="97">
        <f>G434*ENTRY!$P428</f>
        <v>0</v>
      </c>
      <c r="J434" s="97">
        <f>G434*ENTRY!$Q428</f>
        <v>0</v>
      </c>
      <c r="K434" s="95">
        <f t="shared" si="2"/>
        <v>0</v>
      </c>
      <c r="L434" s="95" t="str">
        <f>ENTRY!F428</f>
        <v/>
      </c>
      <c r="M434" s="94" t="str">
        <f>ENTRY!G428</f>
        <v/>
      </c>
      <c r="N434" s="98" t="str">
        <f t="shared" si="3"/>
        <v/>
      </c>
      <c r="O434" s="99">
        <f t="shared" si="4"/>
        <v>0</v>
      </c>
      <c r="P434" s="99">
        <f t="shared" si="5"/>
        <v>0</v>
      </c>
      <c r="Q434" s="99">
        <f t="shared" si="6"/>
        <v>0</v>
      </c>
      <c r="R434" s="99">
        <f t="shared" si="7"/>
        <v>0</v>
      </c>
      <c r="S434" s="100" t="str">
        <f t="shared" ref="S434:V434" si="434">IFERROR(O434-Y434,"")
</f>
        <v/>
      </c>
      <c r="T434" s="100">
        <f t="shared" si="434"/>
        <v>0</v>
      </c>
      <c r="U434" s="100">
        <f t="shared" si="434"/>
        <v>0</v>
      </c>
      <c r="V434" s="100">
        <f t="shared" si="434"/>
        <v>0</v>
      </c>
      <c r="W434" s="88" t="str">
        <f t="shared" si="9"/>
        <v/>
      </c>
      <c r="X434" s="89">
        <f>S434/D434</f>
        <v>0</v>
      </c>
      <c r="Y434" s="90" t="str">
        <f t="shared" si="10"/>
        <v>ERR</v>
      </c>
      <c r="Z434" s="90">
        <f>IF(H434=0,0,CAPITAL!$H$5*Y434)
</f>
        <v>0</v>
      </c>
      <c r="AA434" s="90">
        <f>IF(I434=0,0,CAPITAL!$H$6*Y434)
</f>
        <v>0</v>
      </c>
      <c r="AB434" s="90">
        <f>IF(J434=0,0,CAPITAL!$H$7*Y434)
</f>
        <v>0</v>
      </c>
      <c r="AC434" s="90"/>
    </row>
    <row r="435">
      <c r="A435" s="104"/>
      <c r="B435" s="101">
        <v>430.0</v>
      </c>
      <c r="C435" s="79" t="str">
        <f>ENTRY!B429</f>
        <v>SILVERBEES</v>
      </c>
      <c r="D435" s="80">
        <f>CAPITAL!$C$2</f>
        <v>3350000</v>
      </c>
      <c r="E435" s="81" t="str">
        <f>ENTRY!C429</f>
        <v/>
      </c>
      <c r="F435" s="82" t="str">
        <f>ENTRY!D429</f>
        <v/>
      </c>
      <c r="G435" s="83" t="str">
        <f>ENTRY!E429</f>
        <v/>
      </c>
      <c r="H435" s="84">
        <f>G435*ENTRY!$O429</f>
        <v>0</v>
      </c>
      <c r="I435" s="84">
        <f>G435*ENTRY!$P429</f>
        <v>0</v>
      </c>
      <c r="J435" s="84">
        <f>G435*ENTRY!$Q429</f>
        <v>0</v>
      </c>
      <c r="K435" s="82">
        <f t="shared" si="2"/>
        <v>0</v>
      </c>
      <c r="L435" s="82" t="str">
        <f>ENTRY!F429</f>
        <v/>
      </c>
      <c r="M435" s="81" t="str">
        <f>ENTRY!G429</f>
        <v/>
      </c>
      <c r="N435" s="85" t="str">
        <f t="shared" si="3"/>
        <v/>
      </c>
      <c r="O435" s="86">
        <f t="shared" si="4"/>
        <v>0</v>
      </c>
      <c r="P435" s="86">
        <f t="shared" si="5"/>
        <v>0</v>
      </c>
      <c r="Q435" s="86">
        <f t="shared" si="6"/>
        <v>0</v>
      </c>
      <c r="R435" s="86">
        <f t="shared" si="7"/>
        <v>0</v>
      </c>
      <c r="S435" s="87" t="str">
        <f t="shared" ref="S435:V435" si="435">IFERROR(O435-Y435,"")
</f>
        <v/>
      </c>
      <c r="T435" s="87">
        <f t="shared" si="435"/>
        <v>0</v>
      </c>
      <c r="U435" s="87">
        <f t="shared" si="435"/>
        <v>0</v>
      </c>
      <c r="V435" s="87">
        <f t="shared" si="435"/>
        <v>0</v>
      </c>
      <c r="W435" s="88" t="str">
        <f t="shared" si="9"/>
        <v/>
      </c>
      <c r="X435" s="89">
        <f>IFERROR(S435/D435,"")</f>
        <v>0</v>
      </c>
      <c r="Y435" s="90" t="str">
        <f t="shared" si="10"/>
        <v>ERR</v>
      </c>
      <c r="Z435" s="90">
        <f>IF(H435=0,0,CAPITAL!$H$5*Y435)
</f>
        <v>0</v>
      </c>
      <c r="AA435" s="90">
        <f>IF(I435=0,0,CAPITAL!$H$6*Y435)
</f>
        <v>0</v>
      </c>
      <c r="AB435" s="90">
        <f>IF(J435=0,0,CAPITAL!$H$7*Y435)
</f>
        <v>0</v>
      </c>
      <c r="AC435" s="90"/>
    </row>
    <row r="436">
      <c r="A436" s="104"/>
      <c r="B436" s="101">
        <v>431.0</v>
      </c>
      <c r="C436" s="18" t="str">
        <f>ENTRY!B430</f>
        <v>SILVERBEES</v>
      </c>
      <c r="D436" s="93">
        <f>CAPITAL!$C$2</f>
        <v>3350000</v>
      </c>
      <c r="E436" s="94" t="str">
        <f>ENTRY!C430</f>
        <v/>
      </c>
      <c r="F436" s="95" t="str">
        <f>ENTRY!D430</f>
        <v/>
      </c>
      <c r="G436" s="96" t="str">
        <f>ENTRY!E430</f>
        <v/>
      </c>
      <c r="H436" s="97">
        <f>G436*ENTRY!$O430</f>
        <v>0</v>
      </c>
      <c r="I436" s="97">
        <f>G436*ENTRY!$P430</f>
        <v>0</v>
      </c>
      <c r="J436" s="97">
        <f>G436*ENTRY!$Q430</f>
        <v>0</v>
      </c>
      <c r="K436" s="95">
        <f t="shared" si="2"/>
        <v>0</v>
      </c>
      <c r="L436" s="95" t="str">
        <f>ENTRY!F430</f>
        <v/>
      </c>
      <c r="M436" s="94" t="str">
        <f>ENTRY!G430</f>
        <v/>
      </c>
      <c r="N436" s="98" t="str">
        <f t="shared" si="3"/>
        <v/>
      </c>
      <c r="O436" s="99">
        <f t="shared" si="4"/>
        <v>0</v>
      </c>
      <c r="P436" s="99">
        <f t="shared" si="5"/>
        <v>0</v>
      </c>
      <c r="Q436" s="99">
        <f t="shared" si="6"/>
        <v>0</v>
      </c>
      <c r="R436" s="99">
        <f t="shared" si="7"/>
        <v>0</v>
      </c>
      <c r="S436" s="100" t="str">
        <f t="shared" ref="S436:V436" si="436">IFERROR(O436-Y436,"")
</f>
        <v/>
      </c>
      <c r="T436" s="100">
        <f t="shared" si="436"/>
        <v>0</v>
      </c>
      <c r="U436" s="100">
        <f t="shared" si="436"/>
        <v>0</v>
      </c>
      <c r="V436" s="100">
        <f t="shared" si="436"/>
        <v>0</v>
      </c>
      <c r="W436" s="88" t="str">
        <f t="shared" si="9"/>
        <v/>
      </c>
      <c r="X436" s="89">
        <f>S436/D436</f>
        <v>0</v>
      </c>
      <c r="Y436" s="90" t="str">
        <f t="shared" si="10"/>
        <v>ERR</v>
      </c>
      <c r="Z436" s="90">
        <f>IF(H436=0,0,CAPITAL!$H$5*Y436)
</f>
        <v>0</v>
      </c>
      <c r="AA436" s="90">
        <f>IF(I436=0,0,CAPITAL!$H$6*Y436)
</f>
        <v>0</v>
      </c>
      <c r="AB436" s="90">
        <f>IF(J436=0,0,CAPITAL!$H$7*Y436)
</f>
        <v>0</v>
      </c>
      <c r="AC436" s="90"/>
    </row>
    <row r="437">
      <c r="A437" s="104"/>
      <c r="B437" s="101">
        <v>432.0</v>
      </c>
      <c r="C437" s="79" t="str">
        <f>ENTRY!B431</f>
        <v>SILVERBEES</v>
      </c>
      <c r="D437" s="80">
        <f>CAPITAL!$C$2</f>
        <v>3350000</v>
      </c>
      <c r="E437" s="81" t="str">
        <f>ENTRY!C431</f>
        <v/>
      </c>
      <c r="F437" s="82" t="str">
        <f>ENTRY!D431</f>
        <v/>
      </c>
      <c r="G437" s="83" t="str">
        <f>ENTRY!E431</f>
        <v/>
      </c>
      <c r="H437" s="84">
        <f>G437*ENTRY!$O431</f>
        <v>0</v>
      </c>
      <c r="I437" s="84">
        <f>G437*ENTRY!$P431</f>
        <v>0</v>
      </c>
      <c r="J437" s="84">
        <f>G437*ENTRY!$Q431</f>
        <v>0</v>
      </c>
      <c r="K437" s="82">
        <f t="shared" si="2"/>
        <v>0</v>
      </c>
      <c r="L437" s="82" t="str">
        <f>ENTRY!F431</f>
        <v/>
      </c>
      <c r="M437" s="81" t="str">
        <f>ENTRY!G431</f>
        <v/>
      </c>
      <c r="N437" s="85" t="str">
        <f t="shared" si="3"/>
        <v/>
      </c>
      <c r="O437" s="86">
        <f t="shared" si="4"/>
        <v>0</v>
      </c>
      <c r="P437" s="86">
        <f t="shared" si="5"/>
        <v>0</v>
      </c>
      <c r="Q437" s="86">
        <f t="shared" si="6"/>
        <v>0</v>
      </c>
      <c r="R437" s="86">
        <f t="shared" si="7"/>
        <v>0</v>
      </c>
      <c r="S437" s="87" t="str">
        <f t="shared" ref="S437:V437" si="437">IFERROR(O437-Y437,"")
</f>
        <v/>
      </c>
      <c r="T437" s="87">
        <f t="shared" si="437"/>
        <v>0</v>
      </c>
      <c r="U437" s="87">
        <f t="shared" si="437"/>
        <v>0</v>
      </c>
      <c r="V437" s="87">
        <f t="shared" si="437"/>
        <v>0</v>
      </c>
      <c r="W437" s="88" t="str">
        <f t="shared" si="9"/>
        <v/>
      </c>
      <c r="X437" s="89">
        <f>IFERROR(S437/D437,"")</f>
        <v>0</v>
      </c>
      <c r="Y437" s="90" t="str">
        <f t="shared" si="10"/>
        <v>ERR</v>
      </c>
      <c r="Z437" s="90">
        <f>IF(H437=0,0,CAPITAL!$H$5*Y437)
</f>
        <v>0</v>
      </c>
      <c r="AA437" s="90">
        <f>IF(I437=0,0,CAPITAL!$H$6*Y437)
</f>
        <v>0</v>
      </c>
      <c r="AB437" s="90">
        <f>IF(J437=0,0,CAPITAL!$H$7*Y437)
</f>
        <v>0</v>
      </c>
      <c r="AC437" s="90"/>
    </row>
    <row r="438">
      <c r="A438" s="104"/>
      <c r="B438" s="101">
        <v>433.0</v>
      </c>
      <c r="C438" s="18" t="str">
        <f>ENTRY!B432</f>
        <v>SILVERBEES</v>
      </c>
      <c r="D438" s="93">
        <f>CAPITAL!$C$2</f>
        <v>3350000</v>
      </c>
      <c r="E438" s="94" t="str">
        <f>ENTRY!C432</f>
        <v/>
      </c>
      <c r="F438" s="95" t="str">
        <f>ENTRY!D432</f>
        <v/>
      </c>
      <c r="G438" s="96" t="str">
        <f>ENTRY!E432</f>
        <v/>
      </c>
      <c r="H438" s="97">
        <f>G438*ENTRY!$O432</f>
        <v>0</v>
      </c>
      <c r="I438" s="97">
        <f>G438*ENTRY!$P432</f>
        <v>0</v>
      </c>
      <c r="J438" s="97">
        <f>G438*ENTRY!$Q432</f>
        <v>0</v>
      </c>
      <c r="K438" s="95">
        <f t="shared" si="2"/>
        <v>0</v>
      </c>
      <c r="L438" s="95" t="str">
        <f>ENTRY!F432</f>
        <v/>
      </c>
      <c r="M438" s="94" t="str">
        <f>ENTRY!G432</f>
        <v/>
      </c>
      <c r="N438" s="98" t="str">
        <f t="shared" si="3"/>
        <v/>
      </c>
      <c r="O438" s="99">
        <f t="shared" si="4"/>
        <v>0</v>
      </c>
      <c r="P438" s="99">
        <f t="shared" si="5"/>
        <v>0</v>
      </c>
      <c r="Q438" s="99">
        <f t="shared" si="6"/>
        <v>0</v>
      </c>
      <c r="R438" s="99">
        <f t="shared" si="7"/>
        <v>0</v>
      </c>
      <c r="S438" s="100" t="str">
        <f t="shared" ref="S438:V438" si="438">IFERROR(O438-Y438,"")
</f>
        <v/>
      </c>
      <c r="T438" s="100">
        <f t="shared" si="438"/>
        <v>0</v>
      </c>
      <c r="U438" s="100">
        <f t="shared" si="438"/>
        <v>0</v>
      </c>
      <c r="V438" s="100">
        <f t="shared" si="438"/>
        <v>0</v>
      </c>
      <c r="W438" s="88" t="str">
        <f t="shared" si="9"/>
        <v/>
      </c>
      <c r="X438" s="89">
        <f>S438/D438</f>
        <v>0</v>
      </c>
      <c r="Y438" s="90" t="str">
        <f t="shared" si="10"/>
        <v>ERR</v>
      </c>
      <c r="Z438" s="90">
        <f>IF(H438=0,0,CAPITAL!$H$5*Y438)
</f>
        <v>0</v>
      </c>
      <c r="AA438" s="90">
        <f>IF(I438=0,0,CAPITAL!$H$6*Y438)
</f>
        <v>0</v>
      </c>
      <c r="AB438" s="90">
        <f>IF(J438=0,0,CAPITAL!$H$7*Y438)
</f>
        <v>0</v>
      </c>
      <c r="AC438" s="90"/>
    </row>
    <row r="439">
      <c r="A439" s="104"/>
      <c r="B439" s="101">
        <v>434.0</v>
      </c>
      <c r="C439" s="79" t="str">
        <f>ENTRY!B433</f>
        <v>SILVERBEES</v>
      </c>
      <c r="D439" s="80">
        <f>CAPITAL!$C$2</f>
        <v>3350000</v>
      </c>
      <c r="E439" s="81" t="str">
        <f>ENTRY!C433</f>
        <v/>
      </c>
      <c r="F439" s="82" t="str">
        <f>ENTRY!D433</f>
        <v/>
      </c>
      <c r="G439" s="83" t="str">
        <f>ENTRY!E433</f>
        <v/>
      </c>
      <c r="H439" s="84">
        <f>G439*ENTRY!$O433</f>
        <v>0</v>
      </c>
      <c r="I439" s="84">
        <f>G439*ENTRY!$P433</f>
        <v>0</v>
      </c>
      <c r="J439" s="84">
        <f>G439*ENTRY!$Q433</f>
        <v>0</v>
      </c>
      <c r="K439" s="82">
        <f t="shared" si="2"/>
        <v>0</v>
      </c>
      <c r="L439" s="82" t="str">
        <f>ENTRY!F433</f>
        <v/>
      </c>
      <c r="M439" s="81" t="str">
        <f>ENTRY!G433</f>
        <v/>
      </c>
      <c r="N439" s="85" t="str">
        <f t="shared" si="3"/>
        <v/>
      </c>
      <c r="O439" s="86">
        <f t="shared" si="4"/>
        <v>0</v>
      </c>
      <c r="P439" s="86">
        <f t="shared" si="5"/>
        <v>0</v>
      </c>
      <c r="Q439" s="86">
        <f t="shared" si="6"/>
        <v>0</v>
      </c>
      <c r="R439" s="86">
        <f t="shared" si="7"/>
        <v>0</v>
      </c>
      <c r="S439" s="87" t="str">
        <f t="shared" ref="S439:V439" si="439">IFERROR(O439-Y439,"")
</f>
        <v/>
      </c>
      <c r="T439" s="87">
        <f t="shared" si="439"/>
        <v>0</v>
      </c>
      <c r="U439" s="87">
        <f t="shared" si="439"/>
        <v>0</v>
      </c>
      <c r="V439" s="87">
        <f t="shared" si="439"/>
        <v>0</v>
      </c>
      <c r="W439" s="88" t="str">
        <f t="shared" si="9"/>
        <v/>
      </c>
      <c r="X439" s="89">
        <f>IFERROR(S439/D439,"")</f>
        <v>0</v>
      </c>
      <c r="Y439" s="90" t="str">
        <f t="shared" si="10"/>
        <v>ERR</v>
      </c>
      <c r="Z439" s="90">
        <f>IF(H439=0,0,CAPITAL!$H$5*Y439)
</f>
        <v>0</v>
      </c>
      <c r="AA439" s="90">
        <f>IF(I439=0,0,CAPITAL!$H$6*Y439)
</f>
        <v>0</v>
      </c>
      <c r="AB439" s="90">
        <f>IF(J439=0,0,CAPITAL!$H$7*Y439)
</f>
        <v>0</v>
      </c>
      <c r="AC439" s="90"/>
    </row>
    <row r="440">
      <c r="A440" s="104"/>
      <c r="B440" s="101">
        <v>435.0</v>
      </c>
      <c r="C440" s="18" t="str">
        <f>ENTRY!B434</f>
        <v>SILVERBEES</v>
      </c>
      <c r="D440" s="93">
        <f>CAPITAL!$C$2</f>
        <v>3350000</v>
      </c>
      <c r="E440" s="94" t="str">
        <f>ENTRY!C434</f>
        <v/>
      </c>
      <c r="F440" s="95" t="str">
        <f>ENTRY!D434</f>
        <v/>
      </c>
      <c r="G440" s="96" t="str">
        <f>ENTRY!E434</f>
        <v/>
      </c>
      <c r="H440" s="97">
        <f>G440*ENTRY!$O434</f>
        <v>0</v>
      </c>
      <c r="I440" s="97">
        <f>G440*ENTRY!$P434</f>
        <v>0</v>
      </c>
      <c r="J440" s="97">
        <f>G440*ENTRY!$Q434</f>
        <v>0</v>
      </c>
      <c r="K440" s="95">
        <f t="shared" si="2"/>
        <v>0</v>
      </c>
      <c r="L440" s="95" t="str">
        <f>ENTRY!F434</f>
        <v/>
      </c>
      <c r="M440" s="94" t="str">
        <f>ENTRY!G434</f>
        <v/>
      </c>
      <c r="N440" s="98" t="str">
        <f t="shared" si="3"/>
        <v/>
      </c>
      <c r="O440" s="99">
        <f t="shared" si="4"/>
        <v>0</v>
      </c>
      <c r="P440" s="99">
        <f t="shared" si="5"/>
        <v>0</v>
      </c>
      <c r="Q440" s="99">
        <f t="shared" si="6"/>
        <v>0</v>
      </c>
      <c r="R440" s="99">
        <f t="shared" si="7"/>
        <v>0</v>
      </c>
      <c r="S440" s="100" t="str">
        <f t="shared" ref="S440:V440" si="440">IFERROR(O440-Y440,"")
</f>
        <v/>
      </c>
      <c r="T440" s="100">
        <f t="shared" si="440"/>
        <v>0</v>
      </c>
      <c r="U440" s="100">
        <f t="shared" si="440"/>
        <v>0</v>
      </c>
      <c r="V440" s="100">
        <f t="shared" si="440"/>
        <v>0</v>
      </c>
      <c r="W440" s="88" t="str">
        <f t="shared" si="9"/>
        <v/>
      </c>
      <c r="X440" s="89">
        <f>S440/D440</f>
        <v>0</v>
      </c>
      <c r="Y440" s="90" t="str">
        <f t="shared" si="10"/>
        <v>ERR</v>
      </c>
      <c r="Z440" s="90">
        <f>IF(H440=0,0,CAPITAL!$H$5*Y440)
</f>
        <v>0</v>
      </c>
      <c r="AA440" s="90">
        <f>IF(I440=0,0,CAPITAL!$H$6*Y440)
</f>
        <v>0</v>
      </c>
      <c r="AB440" s="90">
        <f>IF(J440=0,0,CAPITAL!$H$7*Y440)
</f>
        <v>0</v>
      </c>
      <c r="AC440" s="90"/>
    </row>
    <row r="441">
      <c r="A441" s="104"/>
      <c r="B441" s="101">
        <v>436.0</v>
      </c>
      <c r="C441" s="79" t="str">
        <f>ENTRY!B435</f>
        <v>SILVERBEES</v>
      </c>
      <c r="D441" s="80">
        <f>CAPITAL!$C$2</f>
        <v>3350000</v>
      </c>
      <c r="E441" s="81" t="str">
        <f>ENTRY!C435</f>
        <v/>
      </c>
      <c r="F441" s="82" t="str">
        <f>ENTRY!D435</f>
        <v/>
      </c>
      <c r="G441" s="83" t="str">
        <f>ENTRY!E435</f>
        <v/>
      </c>
      <c r="H441" s="84">
        <f>G441*ENTRY!$O435</f>
        <v>0</v>
      </c>
      <c r="I441" s="84">
        <f>G441*ENTRY!$P435</f>
        <v>0</v>
      </c>
      <c r="J441" s="84">
        <f>G441*ENTRY!$Q435</f>
        <v>0</v>
      </c>
      <c r="K441" s="82">
        <f t="shared" si="2"/>
        <v>0</v>
      </c>
      <c r="L441" s="82" t="str">
        <f>ENTRY!F435</f>
        <v/>
      </c>
      <c r="M441" s="81" t="str">
        <f>ENTRY!G435</f>
        <v/>
      </c>
      <c r="N441" s="85" t="str">
        <f t="shared" si="3"/>
        <v/>
      </c>
      <c r="O441" s="86">
        <f t="shared" si="4"/>
        <v>0</v>
      </c>
      <c r="P441" s="86">
        <f t="shared" si="5"/>
        <v>0</v>
      </c>
      <c r="Q441" s="86">
        <f t="shared" si="6"/>
        <v>0</v>
      </c>
      <c r="R441" s="86">
        <f t="shared" si="7"/>
        <v>0</v>
      </c>
      <c r="S441" s="87" t="str">
        <f t="shared" ref="S441:V441" si="441">IFERROR(O441-Y441,"")
</f>
        <v/>
      </c>
      <c r="T441" s="87">
        <f t="shared" si="441"/>
        <v>0</v>
      </c>
      <c r="U441" s="87">
        <f t="shared" si="441"/>
        <v>0</v>
      </c>
      <c r="V441" s="87">
        <f t="shared" si="441"/>
        <v>0</v>
      </c>
      <c r="W441" s="88" t="str">
        <f t="shared" si="9"/>
        <v/>
      </c>
      <c r="X441" s="89">
        <f>IFERROR(S441/D441,"")</f>
        <v>0</v>
      </c>
      <c r="Y441" s="90" t="str">
        <f t="shared" si="10"/>
        <v>ERR</v>
      </c>
      <c r="Z441" s="90">
        <f>IF(H441=0,0,CAPITAL!$H$5*Y441)
</f>
        <v>0</v>
      </c>
      <c r="AA441" s="90">
        <f>IF(I441=0,0,CAPITAL!$H$6*Y441)
</f>
        <v>0</v>
      </c>
      <c r="AB441" s="90">
        <f>IF(J441=0,0,CAPITAL!$H$7*Y441)
</f>
        <v>0</v>
      </c>
      <c r="AC441" s="90"/>
    </row>
    <row r="442">
      <c r="A442" s="104"/>
      <c r="B442" s="101">
        <v>437.0</v>
      </c>
      <c r="C442" s="18" t="str">
        <f>ENTRY!B436</f>
        <v>SILVERBEES</v>
      </c>
      <c r="D442" s="93">
        <f>CAPITAL!$C$2</f>
        <v>3350000</v>
      </c>
      <c r="E442" s="94" t="str">
        <f>ENTRY!C436</f>
        <v/>
      </c>
      <c r="F442" s="95" t="str">
        <f>ENTRY!D436</f>
        <v/>
      </c>
      <c r="G442" s="96" t="str">
        <f>ENTRY!E436</f>
        <v/>
      </c>
      <c r="H442" s="97">
        <f>G442*ENTRY!$O436</f>
        <v>0</v>
      </c>
      <c r="I442" s="97">
        <f>G442*ENTRY!$P436</f>
        <v>0</v>
      </c>
      <c r="J442" s="97">
        <f>G442*ENTRY!$Q436</f>
        <v>0</v>
      </c>
      <c r="K442" s="95">
        <f t="shared" si="2"/>
        <v>0</v>
      </c>
      <c r="L442" s="95" t="str">
        <f>ENTRY!F436</f>
        <v/>
      </c>
      <c r="M442" s="94" t="str">
        <f>ENTRY!G436</f>
        <v/>
      </c>
      <c r="N442" s="98" t="str">
        <f t="shared" si="3"/>
        <v/>
      </c>
      <c r="O442" s="99">
        <f t="shared" si="4"/>
        <v>0</v>
      </c>
      <c r="P442" s="99">
        <f t="shared" si="5"/>
        <v>0</v>
      </c>
      <c r="Q442" s="99">
        <f t="shared" si="6"/>
        <v>0</v>
      </c>
      <c r="R442" s="99">
        <f t="shared" si="7"/>
        <v>0</v>
      </c>
      <c r="S442" s="100" t="str">
        <f t="shared" ref="S442:V442" si="442">IFERROR(O442-Y442,"")
</f>
        <v/>
      </c>
      <c r="T442" s="100">
        <f t="shared" si="442"/>
        <v>0</v>
      </c>
      <c r="U442" s="100">
        <f t="shared" si="442"/>
        <v>0</v>
      </c>
      <c r="V442" s="100">
        <f t="shared" si="442"/>
        <v>0</v>
      </c>
      <c r="W442" s="88" t="str">
        <f t="shared" si="9"/>
        <v/>
      </c>
      <c r="X442" s="89">
        <f>S442/D442</f>
        <v>0</v>
      </c>
      <c r="Y442" s="90" t="str">
        <f t="shared" si="10"/>
        <v>ERR</v>
      </c>
      <c r="Z442" s="90">
        <f>IF(H442=0,0,CAPITAL!$H$5*Y442)
</f>
        <v>0</v>
      </c>
      <c r="AA442" s="90">
        <f>IF(I442=0,0,CAPITAL!$H$6*Y442)
</f>
        <v>0</v>
      </c>
      <c r="AB442" s="90">
        <f>IF(J442=0,0,CAPITAL!$H$7*Y442)
</f>
        <v>0</v>
      </c>
      <c r="AC442" s="90"/>
    </row>
    <row r="443">
      <c r="A443" s="104"/>
      <c r="B443" s="101">
        <v>438.0</v>
      </c>
      <c r="C443" s="79" t="str">
        <f>ENTRY!B437</f>
        <v>SILVERBEES</v>
      </c>
      <c r="D443" s="80">
        <f>CAPITAL!$C$2</f>
        <v>3350000</v>
      </c>
      <c r="E443" s="81" t="str">
        <f>ENTRY!C437</f>
        <v/>
      </c>
      <c r="F443" s="82" t="str">
        <f>ENTRY!D437</f>
        <v/>
      </c>
      <c r="G443" s="83" t="str">
        <f>ENTRY!E437</f>
        <v/>
      </c>
      <c r="H443" s="84">
        <f>G443*ENTRY!$O437</f>
        <v>0</v>
      </c>
      <c r="I443" s="84">
        <f>G443*ENTRY!$P437</f>
        <v>0</v>
      </c>
      <c r="J443" s="84">
        <f>G443*ENTRY!$Q437</f>
        <v>0</v>
      </c>
      <c r="K443" s="82">
        <f t="shared" si="2"/>
        <v>0</v>
      </c>
      <c r="L443" s="82" t="str">
        <f>ENTRY!F437</f>
        <v/>
      </c>
      <c r="M443" s="81" t="str">
        <f>ENTRY!G437</f>
        <v/>
      </c>
      <c r="N443" s="85" t="str">
        <f t="shared" si="3"/>
        <v/>
      </c>
      <c r="O443" s="86">
        <f t="shared" si="4"/>
        <v>0</v>
      </c>
      <c r="P443" s="86">
        <f t="shared" si="5"/>
        <v>0</v>
      </c>
      <c r="Q443" s="86">
        <f t="shared" si="6"/>
        <v>0</v>
      </c>
      <c r="R443" s="86">
        <f t="shared" si="7"/>
        <v>0</v>
      </c>
      <c r="S443" s="87" t="str">
        <f t="shared" ref="S443:V443" si="443">IFERROR(O443-Y443,"")
</f>
        <v/>
      </c>
      <c r="T443" s="87">
        <f t="shared" si="443"/>
        <v>0</v>
      </c>
      <c r="U443" s="87">
        <f t="shared" si="443"/>
        <v>0</v>
      </c>
      <c r="V443" s="87">
        <f t="shared" si="443"/>
        <v>0</v>
      </c>
      <c r="W443" s="88" t="str">
        <f t="shared" si="9"/>
        <v/>
      </c>
      <c r="X443" s="89">
        <f>IFERROR(S443/D443,"")</f>
        <v>0</v>
      </c>
      <c r="Y443" s="90" t="str">
        <f t="shared" si="10"/>
        <v>ERR</v>
      </c>
      <c r="Z443" s="90">
        <f>IF(H443=0,0,CAPITAL!$H$5*Y443)
</f>
        <v>0</v>
      </c>
      <c r="AA443" s="90">
        <f>IF(I443=0,0,CAPITAL!$H$6*Y443)
</f>
        <v>0</v>
      </c>
      <c r="AB443" s="90">
        <f>IF(J443=0,0,CAPITAL!$H$7*Y443)
</f>
        <v>0</v>
      </c>
      <c r="AC443" s="90"/>
    </row>
    <row r="444">
      <c r="A444" s="104"/>
      <c r="B444" s="101">
        <v>439.0</v>
      </c>
      <c r="C444" s="18" t="str">
        <f>ENTRY!B438</f>
        <v>SILVERBEES</v>
      </c>
      <c r="D444" s="93">
        <f>CAPITAL!$C$2</f>
        <v>3350000</v>
      </c>
      <c r="E444" s="94" t="str">
        <f>ENTRY!C438</f>
        <v/>
      </c>
      <c r="F444" s="95" t="str">
        <f>ENTRY!D438</f>
        <v/>
      </c>
      <c r="G444" s="96" t="str">
        <f>ENTRY!E438</f>
        <v/>
      </c>
      <c r="H444" s="97">
        <f>G444*ENTRY!$O438</f>
        <v>0</v>
      </c>
      <c r="I444" s="97">
        <f>G444*ENTRY!$P438</f>
        <v>0</v>
      </c>
      <c r="J444" s="97">
        <f>G444*ENTRY!$Q438</f>
        <v>0</v>
      </c>
      <c r="K444" s="95">
        <f t="shared" si="2"/>
        <v>0</v>
      </c>
      <c r="L444" s="95" t="str">
        <f>ENTRY!F438</f>
        <v/>
      </c>
      <c r="M444" s="94" t="str">
        <f>ENTRY!G438</f>
        <v/>
      </c>
      <c r="N444" s="98" t="str">
        <f t="shared" si="3"/>
        <v/>
      </c>
      <c r="O444" s="99">
        <f t="shared" si="4"/>
        <v>0</v>
      </c>
      <c r="P444" s="99">
        <f t="shared" si="5"/>
        <v>0</v>
      </c>
      <c r="Q444" s="99">
        <f t="shared" si="6"/>
        <v>0</v>
      </c>
      <c r="R444" s="99">
        <f t="shared" si="7"/>
        <v>0</v>
      </c>
      <c r="S444" s="100" t="str">
        <f t="shared" ref="S444:V444" si="444">IFERROR(O444-Y444,"")
</f>
        <v/>
      </c>
      <c r="T444" s="100">
        <f t="shared" si="444"/>
        <v>0</v>
      </c>
      <c r="U444" s="100">
        <f t="shared" si="444"/>
        <v>0</v>
      </c>
      <c r="V444" s="100">
        <f t="shared" si="444"/>
        <v>0</v>
      </c>
      <c r="W444" s="88" t="str">
        <f t="shared" si="9"/>
        <v/>
      </c>
      <c r="X444" s="89">
        <f>S444/D444</f>
        <v>0</v>
      </c>
      <c r="Y444" s="90" t="str">
        <f t="shared" si="10"/>
        <v>ERR</v>
      </c>
      <c r="Z444" s="90">
        <f>IF(H444=0,0,CAPITAL!$H$5*Y444)
</f>
        <v>0</v>
      </c>
      <c r="AA444" s="90">
        <f>IF(I444=0,0,CAPITAL!$H$6*Y444)
</f>
        <v>0</v>
      </c>
      <c r="AB444" s="90">
        <f>IF(J444=0,0,CAPITAL!$H$7*Y444)
</f>
        <v>0</v>
      </c>
      <c r="AC444" s="90"/>
    </row>
    <row r="445">
      <c r="A445" s="104"/>
      <c r="B445" s="101">
        <v>440.0</v>
      </c>
      <c r="C445" s="79" t="str">
        <f>ENTRY!B439</f>
        <v>SILVERBEES</v>
      </c>
      <c r="D445" s="80">
        <f>CAPITAL!$C$2</f>
        <v>3350000</v>
      </c>
      <c r="E445" s="81" t="str">
        <f>ENTRY!C439</f>
        <v/>
      </c>
      <c r="F445" s="82" t="str">
        <f>ENTRY!D439</f>
        <v/>
      </c>
      <c r="G445" s="83" t="str">
        <f>ENTRY!E439</f>
        <v/>
      </c>
      <c r="H445" s="84">
        <f>G445*ENTRY!$O439</f>
        <v>0</v>
      </c>
      <c r="I445" s="84">
        <f>G445*ENTRY!$P439</f>
        <v>0</v>
      </c>
      <c r="J445" s="84">
        <f>G445*ENTRY!$Q439</f>
        <v>0</v>
      </c>
      <c r="K445" s="82">
        <f t="shared" si="2"/>
        <v>0</v>
      </c>
      <c r="L445" s="82" t="str">
        <f>ENTRY!F439</f>
        <v/>
      </c>
      <c r="M445" s="81" t="str">
        <f>ENTRY!G439</f>
        <v/>
      </c>
      <c r="N445" s="85" t="str">
        <f t="shared" si="3"/>
        <v/>
      </c>
      <c r="O445" s="86">
        <f t="shared" si="4"/>
        <v>0</v>
      </c>
      <c r="P445" s="86">
        <f t="shared" si="5"/>
        <v>0</v>
      </c>
      <c r="Q445" s="86">
        <f t="shared" si="6"/>
        <v>0</v>
      </c>
      <c r="R445" s="86">
        <f t="shared" si="7"/>
        <v>0</v>
      </c>
      <c r="S445" s="87" t="str">
        <f t="shared" ref="S445:V445" si="445">IFERROR(O445-Y445,"")
</f>
        <v/>
      </c>
      <c r="T445" s="87">
        <f t="shared" si="445"/>
        <v>0</v>
      </c>
      <c r="U445" s="87">
        <f t="shared" si="445"/>
        <v>0</v>
      </c>
      <c r="V445" s="87">
        <f t="shared" si="445"/>
        <v>0</v>
      </c>
      <c r="W445" s="88" t="str">
        <f t="shared" si="9"/>
        <v/>
      </c>
      <c r="X445" s="89">
        <f>IFERROR(S445/D445,"")</f>
        <v>0</v>
      </c>
      <c r="Y445" s="90" t="str">
        <f t="shared" si="10"/>
        <v>ERR</v>
      </c>
      <c r="Z445" s="90">
        <f>IF(H445=0,0,CAPITAL!$H$5*Y445)
</f>
        <v>0</v>
      </c>
      <c r="AA445" s="90">
        <f>IF(I445=0,0,CAPITAL!$H$6*Y445)
</f>
        <v>0</v>
      </c>
      <c r="AB445" s="90">
        <f>IF(J445=0,0,CAPITAL!$H$7*Y445)
</f>
        <v>0</v>
      </c>
      <c r="AC445" s="90"/>
    </row>
    <row r="446">
      <c r="A446" s="104"/>
      <c r="B446" s="101">
        <v>441.0</v>
      </c>
      <c r="C446" s="18" t="str">
        <f>ENTRY!B440</f>
        <v>SILVERBEES</v>
      </c>
      <c r="D446" s="93">
        <f>CAPITAL!$C$2</f>
        <v>3350000</v>
      </c>
      <c r="E446" s="94" t="str">
        <f>ENTRY!C440</f>
        <v/>
      </c>
      <c r="F446" s="95" t="str">
        <f>ENTRY!D440</f>
        <v/>
      </c>
      <c r="G446" s="96" t="str">
        <f>ENTRY!E440</f>
        <v/>
      </c>
      <c r="H446" s="97">
        <f>G446*ENTRY!$O440</f>
        <v>0</v>
      </c>
      <c r="I446" s="97">
        <f>G446*ENTRY!$P440</f>
        <v>0</v>
      </c>
      <c r="J446" s="97">
        <f>G446*ENTRY!$Q440</f>
        <v>0</v>
      </c>
      <c r="K446" s="95">
        <f t="shared" si="2"/>
        <v>0</v>
      </c>
      <c r="L446" s="95" t="str">
        <f>ENTRY!F440</f>
        <v/>
      </c>
      <c r="M446" s="94" t="str">
        <f>ENTRY!G440</f>
        <v/>
      </c>
      <c r="N446" s="98" t="str">
        <f t="shared" si="3"/>
        <v/>
      </c>
      <c r="O446" s="99">
        <f t="shared" si="4"/>
        <v>0</v>
      </c>
      <c r="P446" s="99">
        <f t="shared" si="5"/>
        <v>0</v>
      </c>
      <c r="Q446" s="99">
        <f t="shared" si="6"/>
        <v>0</v>
      </c>
      <c r="R446" s="99">
        <f t="shared" si="7"/>
        <v>0</v>
      </c>
      <c r="S446" s="100" t="str">
        <f t="shared" ref="S446:V446" si="446">IFERROR(O446-Y446,"")
</f>
        <v/>
      </c>
      <c r="T446" s="100">
        <f t="shared" si="446"/>
        <v>0</v>
      </c>
      <c r="U446" s="100">
        <f t="shared" si="446"/>
        <v>0</v>
      </c>
      <c r="V446" s="100">
        <f t="shared" si="446"/>
        <v>0</v>
      </c>
      <c r="W446" s="88" t="str">
        <f t="shared" si="9"/>
        <v/>
      </c>
      <c r="X446" s="89">
        <f>S446/D446</f>
        <v>0</v>
      </c>
      <c r="Y446" s="90" t="str">
        <f t="shared" si="10"/>
        <v>ERR</v>
      </c>
      <c r="Z446" s="90">
        <f>IF(H446=0,0,CAPITAL!$H$5*Y446)
</f>
        <v>0</v>
      </c>
      <c r="AA446" s="90">
        <f>IF(I446=0,0,CAPITAL!$H$6*Y446)
</f>
        <v>0</v>
      </c>
      <c r="AB446" s="90">
        <f>IF(J446=0,0,CAPITAL!$H$7*Y446)
</f>
        <v>0</v>
      </c>
      <c r="AC446" s="90"/>
    </row>
    <row r="447">
      <c r="A447" s="104"/>
      <c r="B447" s="101">
        <v>442.0</v>
      </c>
      <c r="C447" s="79" t="str">
        <f>ENTRY!B441</f>
        <v>SILVERBEES</v>
      </c>
      <c r="D447" s="80">
        <f>CAPITAL!$C$2</f>
        <v>3350000</v>
      </c>
      <c r="E447" s="81" t="str">
        <f>ENTRY!C441</f>
        <v/>
      </c>
      <c r="F447" s="82" t="str">
        <f>ENTRY!D441</f>
        <v/>
      </c>
      <c r="G447" s="83" t="str">
        <f>ENTRY!E441</f>
        <v/>
      </c>
      <c r="H447" s="84">
        <f>G447*ENTRY!$O441</f>
        <v>0</v>
      </c>
      <c r="I447" s="84">
        <f>G447*ENTRY!$P441</f>
        <v>0</v>
      </c>
      <c r="J447" s="84">
        <f>G447*ENTRY!$Q441</f>
        <v>0</v>
      </c>
      <c r="K447" s="82">
        <f t="shared" si="2"/>
        <v>0</v>
      </c>
      <c r="L447" s="82" t="str">
        <f>ENTRY!F441</f>
        <v/>
      </c>
      <c r="M447" s="81" t="str">
        <f>ENTRY!G441</f>
        <v/>
      </c>
      <c r="N447" s="85" t="str">
        <f t="shared" si="3"/>
        <v/>
      </c>
      <c r="O447" s="86">
        <f t="shared" si="4"/>
        <v>0</v>
      </c>
      <c r="P447" s="86">
        <f t="shared" si="5"/>
        <v>0</v>
      </c>
      <c r="Q447" s="86">
        <f t="shared" si="6"/>
        <v>0</v>
      </c>
      <c r="R447" s="86">
        <f t="shared" si="7"/>
        <v>0</v>
      </c>
      <c r="S447" s="87" t="str">
        <f t="shared" ref="S447:V447" si="447">IFERROR(O447-Y447,"")
</f>
        <v/>
      </c>
      <c r="T447" s="87">
        <f t="shared" si="447"/>
        <v>0</v>
      </c>
      <c r="U447" s="87">
        <f t="shared" si="447"/>
        <v>0</v>
      </c>
      <c r="V447" s="87">
        <f t="shared" si="447"/>
        <v>0</v>
      </c>
      <c r="W447" s="88" t="str">
        <f t="shared" si="9"/>
        <v/>
      </c>
      <c r="X447" s="89">
        <f>IFERROR(S447/D447,"")</f>
        <v>0</v>
      </c>
      <c r="Y447" s="90" t="str">
        <f t="shared" si="10"/>
        <v>ERR</v>
      </c>
      <c r="Z447" s="90">
        <f>IF(H447=0,0,CAPITAL!$H$5*Y447)
</f>
        <v>0</v>
      </c>
      <c r="AA447" s="90">
        <f>IF(I447=0,0,CAPITAL!$H$6*Y447)
</f>
        <v>0</v>
      </c>
      <c r="AB447" s="90">
        <f>IF(J447=0,0,CAPITAL!$H$7*Y447)
</f>
        <v>0</v>
      </c>
      <c r="AC447" s="90"/>
    </row>
    <row r="448">
      <c r="A448" s="104"/>
      <c r="B448" s="101">
        <v>443.0</v>
      </c>
      <c r="C448" s="18" t="str">
        <f>ENTRY!B442</f>
        <v>SILVERBEES</v>
      </c>
      <c r="D448" s="93">
        <f>CAPITAL!$C$2</f>
        <v>3350000</v>
      </c>
      <c r="E448" s="94" t="str">
        <f>ENTRY!C442</f>
        <v/>
      </c>
      <c r="F448" s="95" t="str">
        <f>ENTRY!D442</f>
        <v/>
      </c>
      <c r="G448" s="96" t="str">
        <f>ENTRY!E442</f>
        <v/>
      </c>
      <c r="H448" s="97">
        <f>G448*ENTRY!$O442</f>
        <v>0</v>
      </c>
      <c r="I448" s="97">
        <f>G448*ENTRY!$P442</f>
        <v>0</v>
      </c>
      <c r="J448" s="97">
        <f>G448*ENTRY!$Q442</f>
        <v>0</v>
      </c>
      <c r="K448" s="95">
        <f t="shared" si="2"/>
        <v>0</v>
      </c>
      <c r="L448" s="95" t="str">
        <f>ENTRY!F442</f>
        <v/>
      </c>
      <c r="M448" s="94" t="str">
        <f>ENTRY!G442</f>
        <v/>
      </c>
      <c r="N448" s="98" t="str">
        <f t="shared" si="3"/>
        <v/>
      </c>
      <c r="O448" s="99">
        <f t="shared" si="4"/>
        <v>0</v>
      </c>
      <c r="P448" s="99">
        <f t="shared" si="5"/>
        <v>0</v>
      </c>
      <c r="Q448" s="99">
        <f t="shared" si="6"/>
        <v>0</v>
      </c>
      <c r="R448" s="99">
        <f t="shared" si="7"/>
        <v>0</v>
      </c>
      <c r="S448" s="100" t="str">
        <f t="shared" ref="S448:V448" si="448">IFERROR(O448-Y448,"")
</f>
        <v/>
      </c>
      <c r="T448" s="100">
        <f t="shared" si="448"/>
        <v>0</v>
      </c>
      <c r="U448" s="100">
        <f t="shared" si="448"/>
        <v>0</v>
      </c>
      <c r="V448" s="100">
        <f t="shared" si="448"/>
        <v>0</v>
      </c>
      <c r="W448" s="88" t="str">
        <f t="shared" si="9"/>
        <v/>
      </c>
      <c r="X448" s="89">
        <f>S448/D448</f>
        <v>0</v>
      </c>
      <c r="Y448" s="90" t="str">
        <f t="shared" si="10"/>
        <v>ERR</v>
      </c>
      <c r="Z448" s="90">
        <f>IF(H448=0,0,CAPITAL!$H$5*Y448)
</f>
        <v>0</v>
      </c>
      <c r="AA448" s="90">
        <f>IF(I448=0,0,CAPITAL!$H$6*Y448)
</f>
        <v>0</v>
      </c>
      <c r="AB448" s="90">
        <f>IF(J448=0,0,CAPITAL!$H$7*Y448)
</f>
        <v>0</v>
      </c>
      <c r="AC448" s="90"/>
    </row>
    <row r="449">
      <c r="A449" s="104"/>
      <c r="B449" s="101">
        <v>444.0</v>
      </c>
      <c r="C449" s="79" t="str">
        <f>ENTRY!B443</f>
        <v>SILVERBEES</v>
      </c>
      <c r="D449" s="80">
        <f>CAPITAL!$C$2</f>
        <v>3350000</v>
      </c>
      <c r="E449" s="81" t="str">
        <f>ENTRY!C443</f>
        <v/>
      </c>
      <c r="F449" s="82" t="str">
        <f>ENTRY!D443</f>
        <v/>
      </c>
      <c r="G449" s="83" t="str">
        <f>ENTRY!E443</f>
        <v/>
      </c>
      <c r="H449" s="84">
        <f>G449*ENTRY!$O443</f>
        <v>0</v>
      </c>
      <c r="I449" s="84">
        <f>G449*ENTRY!$P443</f>
        <v>0</v>
      </c>
      <c r="J449" s="84">
        <f>G449*ENTRY!$Q443</f>
        <v>0</v>
      </c>
      <c r="K449" s="82">
        <f t="shared" si="2"/>
        <v>0</v>
      </c>
      <c r="L449" s="82" t="str">
        <f>ENTRY!F443</f>
        <v/>
      </c>
      <c r="M449" s="81" t="str">
        <f>ENTRY!G443</f>
        <v/>
      </c>
      <c r="N449" s="85" t="str">
        <f t="shared" si="3"/>
        <v/>
      </c>
      <c r="O449" s="86">
        <f t="shared" si="4"/>
        <v>0</v>
      </c>
      <c r="P449" s="86">
        <f t="shared" si="5"/>
        <v>0</v>
      </c>
      <c r="Q449" s="86">
        <f t="shared" si="6"/>
        <v>0</v>
      </c>
      <c r="R449" s="86">
        <f t="shared" si="7"/>
        <v>0</v>
      </c>
      <c r="S449" s="87" t="str">
        <f t="shared" ref="S449:V449" si="449">IFERROR(O449-Y449,"")
</f>
        <v/>
      </c>
      <c r="T449" s="87">
        <f t="shared" si="449"/>
        <v>0</v>
      </c>
      <c r="U449" s="87">
        <f t="shared" si="449"/>
        <v>0</v>
      </c>
      <c r="V449" s="87">
        <f t="shared" si="449"/>
        <v>0</v>
      </c>
      <c r="W449" s="88" t="str">
        <f t="shared" si="9"/>
        <v/>
      </c>
      <c r="X449" s="89">
        <f>IFERROR(S449/D449,"")</f>
        <v>0</v>
      </c>
      <c r="Y449" s="90" t="str">
        <f t="shared" si="10"/>
        <v>ERR</v>
      </c>
      <c r="Z449" s="90">
        <f>IF(H449=0,0,CAPITAL!$H$5*Y449)
</f>
        <v>0</v>
      </c>
      <c r="AA449" s="90">
        <f>IF(I449=0,0,CAPITAL!$H$6*Y449)
</f>
        <v>0</v>
      </c>
      <c r="AB449" s="90">
        <f>IF(J449=0,0,CAPITAL!$H$7*Y449)
</f>
        <v>0</v>
      </c>
      <c r="AC449" s="90"/>
    </row>
    <row r="450">
      <c r="A450" s="104"/>
      <c r="B450" s="101">
        <v>445.0</v>
      </c>
      <c r="C450" s="18" t="str">
        <f>ENTRY!B444</f>
        <v>SILVERBEES</v>
      </c>
      <c r="D450" s="93">
        <f>CAPITAL!$C$2</f>
        <v>3350000</v>
      </c>
      <c r="E450" s="94" t="str">
        <f>ENTRY!C444</f>
        <v/>
      </c>
      <c r="F450" s="95" t="str">
        <f>ENTRY!D444</f>
        <v/>
      </c>
      <c r="G450" s="96" t="str">
        <f>ENTRY!E444</f>
        <v/>
      </c>
      <c r="H450" s="97">
        <f>G450*ENTRY!$O444</f>
        <v>0</v>
      </c>
      <c r="I450" s="97">
        <f>G450*ENTRY!$P444</f>
        <v>0</v>
      </c>
      <c r="J450" s="97">
        <f>G450*ENTRY!$Q444</f>
        <v>0</v>
      </c>
      <c r="K450" s="95">
        <f t="shared" si="2"/>
        <v>0</v>
      </c>
      <c r="L450" s="95" t="str">
        <f>ENTRY!F444</f>
        <v/>
      </c>
      <c r="M450" s="94" t="str">
        <f>ENTRY!G444</f>
        <v/>
      </c>
      <c r="N450" s="98" t="str">
        <f t="shared" si="3"/>
        <v/>
      </c>
      <c r="O450" s="99">
        <f t="shared" si="4"/>
        <v>0</v>
      </c>
      <c r="P450" s="99">
        <f t="shared" si="5"/>
        <v>0</v>
      </c>
      <c r="Q450" s="99">
        <f t="shared" si="6"/>
        <v>0</v>
      </c>
      <c r="R450" s="99">
        <f t="shared" si="7"/>
        <v>0</v>
      </c>
      <c r="S450" s="100" t="str">
        <f t="shared" ref="S450:V450" si="450">IFERROR(O450-Y450,"")
</f>
        <v/>
      </c>
      <c r="T450" s="100">
        <f t="shared" si="450"/>
        <v>0</v>
      </c>
      <c r="U450" s="100">
        <f t="shared" si="450"/>
        <v>0</v>
      </c>
      <c r="V450" s="100">
        <f t="shared" si="450"/>
        <v>0</v>
      </c>
      <c r="W450" s="88" t="str">
        <f t="shared" si="9"/>
        <v/>
      </c>
      <c r="X450" s="89">
        <f>S450/D450</f>
        <v>0</v>
      </c>
      <c r="Y450" s="90" t="str">
        <f t="shared" si="10"/>
        <v>ERR</v>
      </c>
      <c r="Z450" s="90">
        <f>IF(H450=0,0,CAPITAL!$H$5*Y450)
</f>
        <v>0</v>
      </c>
      <c r="AA450" s="90">
        <f>IF(I450=0,0,CAPITAL!$H$6*Y450)
</f>
        <v>0</v>
      </c>
      <c r="AB450" s="90">
        <f>IF(J450=0,0,CAPITAL!$H$7*Y450)
</f>
        <v>0</v>
      </c>
      <c r="AC450" s="90"/>
    </row>
    <row r="451">
      <c r="A451" s="104"/>
      <c r="B451" s="101">
        <v>446.0</v>
      </c>
      <c r="C451" s="79" t="str">
        <f>ENTRY!B445</f>
        <v>SILVERBEES</v>
      </c>
      <c r="D451" s="80">
        <f>CAPITAL!$C$2</f>
        <v>3350000</v>
      </c>
      <c r="E451" s="81" t="str">
        <f>ENTRY!C445</f>
        <v/>
      </c>
      <c r="F451" s="82" t="str">
        <f>ENTRY!D445</f>
        <v/>
      </c>
      <c r="G451" s="83" t="str">
        <f>ENTRY!E445</f>
        <v/>
      </c>
      <c r="H451" s="84">
        <f>G451*ENTRY!$O445</f>
        <v>0</v>
      </c>
      <c r="I451" s="84">
        <f>G451*ENTRY!$P445</f>
        <v>0</v>
      </c>
      <c r="J451" s="84">
        <f>G451*ENTRY!$Q445</f>
        <v>0</v>
      </c>
      <c r="K451" s="82">
        <f t="shared" si="2"/>
        <v>0</v>
      </c>
      <c r="L451" s="82" t="str">
        <f>ENTRY!F445</f>
        <v/>
      </c>
      <c r="M451" s="81" t="str">
        <f>ENTRY!G445</f>
        <v/>
      </c>
      <c r="N451" s="85" t="str">
        <f t="shared" si="3"/>
        <v/>
      </c>
      <c r="O451" s="86">
        <f t="shared" si="4"/>
        <v>0</v>
      </c>
      <c r="P451" s="86">
        <f t="shared" si="5"/>
        <v>0</v>
      </c>
      <c r="Q451" s="86">
        <f t="shared" si="6"/>
        <v>0</v>
      </c>
      <c r="R451" s="86">
        <f t="shared" si="7"/>
        <v>0</v>
      </c>
      <c r="S451" s="87" t="str">
        <f t="shared" ref="S451:V451" si="451">IFERROR(O451-Y451,"")
</f>
        <v/>
      </c>
      <c r="T451" s="87">
        <f t="shared" si="451"/>
        <v>0</v>
      </c>
      <c r="U451" s="87">
        <f t="shared" si="451"/>
        <v>0</v>
      </c>
      <c r="V451" s="87">
        <f t="shared" si="451"/>
        <v>0</v>
      </c>
      <c r="W451" s="88" t="str">
        <f t="shared" si="9"/>
        <v/>
      </c>
      <c r="X451" s="89">
        <f>IFERROR(S451/D451,"")</f>
        <v>0</v>
      </c>
      <c r="Y451" s="90" t="str">
        <f t="shared" si="10"/>
        <v>ERR</v>
      </c>
      <c r="Z451" s="90">
        <f>IF(H451=0,0,CAPITAL!$H$5*Y451)
</f>
        <v>0</v>
      </c>
      <c r="AA451" s="90">
        <f>IF(I451=0,0,CAPITAL!$H$6*Y451)
</f>
        <v>0</v>
      </c>
      <c r="AB451" s="90">
        <f>IF(J451=0,0,CAPITAL!$H$7*Y451)
</f>
        <v>0</v>
      </c>
      <c r="AC451" s="90"/>
    </row>
    <row r="452">
      <c r="A452" s="104"/>
      <c r="B452" s="101">
        <v>447.0</v>
      </c>
      <c r="C452" s="18" t="str">
        <f>ENTRY!B446</f>
        <v>SILVERBEES</v>
      </c>
      <c r="D452" s="93">
        <f>CAPITAL!$C$2</f>
        <v>3350000</v>
      </c>
      <c r="E452" s="94" t="str">
        <f>ENTRY!C446</f>
        <v/>
      </c>
      <c r="F452" s="95" t="str">
        <f>ENTRY!D446</f>
        <v/>
      </c>
      <c r="G452" s="96" t="str">
        <f>ENTRY!E446</f>
        <v/>
      </c>
      <c r="H452" s="97">
        <f>G452*ENTRY!$O446</f>
        <v>0</v>
      </c>
      <c r="I452" s="97">
        <f>G452*ENTRY!$P446</f>
        <v>0</v>
      </c>
      <c r="J452" s="97">
        <f>G452*ENTRY!$Q446</f>
        <v>0</v>
      </c>
      <c r="K452" s="95">
        <f t="shared" si="2"/>
        <v>0</v>
      </c>
      <c r="L452" s="95" t="str">
        <f>ENTRY!F446</f>
        <v/>
      </c>
      <c r="M452" s="94" t="str">
        <f>ENTRY!G446</f>
        <v/>
      </c>
      <c r="N452" s="98" t="str">
        <f t="shared" si="3"/>
        <v/>
      </c>
      <c r="O452" s="99">
        <f t="shared" si="4"/>
        <v>0</v>
      </c>
      <c r="P452" s="99">
        <f t="shared" si="5"/>
        <v>0</v>
      </c>
      <c r="Q452" s="99">
        <f t="shared" si="6"/>
        <v>0</v>
      </c>
      <c r="R452" s="99">
        <f t="shared" si="7"/>
        <v>0</v>
      </c>
      <c r="S452" s="100" t="str">
        <f t="shared" ref="S452:V452" si="452">IFERROR(O452-Y452,"")
</f>
        <v/>
      </c>
      <c r="T452" s="100">
        <f t="shared" si="452"/>
        <v>0</v>
      </c>
      <c r="U452" s="100">
        <f t="shared" si="452"/>
        <v>0</v>
      </c>
      <c r="V452" s="100">
        <f t="shared" si="452"/>
        <v>0</v>
      </c>
      <c r="W452" s="88" t="str">
        <f t="shared" si="9"/>
        <v/>
      </c>
      <c r="X452" s="89">
        <f>S452/D452</f>
        <v>0</v>
      </c>
      <c r="Y452" s="90" t="str">
        <f t="shared" si="10"/>
        <v>ERR</v>
      </c>
      <c r="Z452" s="90">
        <f>IF(H452=0,0,CAPITAL!$H$5*Y452)
</f>
        <v>0</v>
      </c>
      <c r="AA452" s="90">
        <f>IF(I452=0,0,CAPITAL!$H$6*Y452)
</f>
        <v>0</v>
      </c>
      <c r="AB452" s="90">
        <f>IF(J452=0,0,CAPITAL!$H$7*Y452)
</f>
        <v>0</v>
      </c>
      <c r="AC452" s="90"/>
    </row>
    <row r="453">
      <c r="A453" s="104"/>
      <c r="B453" s="101">
        <v>448.0</v>
      </c>
      <c r="C453" s="79" t="str">
        <f>ENTRY!B447</f>
        <v>SILVERBEES</v>
      </c>
      <c r="D453" s="80">
        <f>CAPITAL!$C$2</f>
        <v>3350000</v>
      </c>
      <c r="E453" s="81" t="str">
        <f>ENTRY!C447</f>
        <v/>
      </c>
      <c r="F453" s="82" t="str">
        <f>ENTRY!D447</f>
        <v/>
      </c>
      <c r="G453" s="83" t="str">
        <f>ENTRY!E447</f>
        <v/>
      </c>
      <c r="H453" s="84">
        <f>G453*ENTRY!$O447</f>
        <v>0</v>
      </c>
      <c r="I453" s="84">
        <f>G453*ENTRY!$P447</f>
        <v>0</v>
      </c>
      <c r="J453" s="84">
        <f>G453*ENTRY!$Q447</f>
        <v>0</v>
      </c>
      <c r="K453" s="82">
        <f t="shared" si="2"/>
        <v>0</v>
      </c>
      <c r="L453" s="82" t="str">
        <f>ENTRY!F447</f>
        <v/>
      </c>
      <c r="M453" s="81" t="str">
        <f>ENTRY!G447</f>
        <v/>
      </c>
      <c r="N453" s="85" t="str">
        <f t="shared" si="3"/>
        <v/>
      </c>
      <c r="O453" s="86">
        <f t="shared" si="4"/>
        <v>0</v>
      </c>
      <c r="P453" s="86">
        <f t="shared" si="5"/>
        <v>0</v>
      </c>
      <c r="Q453" s="86">
        <f t="shared" si="6"/>
        <v>0</v>
      </c>
      <c r="R453" s="86">
        <f t="shared" si="7"/>
        <v>0</v>
      </c>
      <c r="S453" s="87" t="str">
        <f t="shared" ref="S453:V453" si="453">IFERROR(O453-Y453,"")
</f>
        <v/>
      </c>
      <c r="T453" s="87">
        <f t="shared" si="453"/>
        <v>0</v>
      </c>
      <c r="U453" s="87">
        <f t="shared" si="453"/>
        <v>0</v>
      </c>
      <c r="V453" s="87">
        <f t="shared" si="453"/>
        <v>0</v>
      </c>
      <c r="W453" s="88" t="str">
        <f t="shared" si="9"/>
        <v/>
      </c>
      <c r="X453" s="89">
        <f>IFERROR(S453/D453,"")</f>
        <v>0</v>
      </c>
      <c r="Y453" s="90" t="str">
        <f t="shared" si="10"/>
        <v>ERR</v>
      </c>
      <c r="Z453" s="90">
        <f>IF(H453=0,0,CAPITAL!$H$5*Y453)
</f>
        <v>0</v>
      </c>
      <c r="AA453" s="90">
        <f>IF(I453=0,0,CAPITAL!$H$6*Y453)
</f>
        <v>0</v>
      </c>
      <c r="AB453" s="90">
        <f>IF(J453=0,0,CAPITAL!$H$7*Y453)
</f>
        <v>0</v>
      </c>
      <c r="AC453" s="90"/>
    </row>
    <row r="454">
      <c r="A454" s="104"/>
      <c r="B454" s="101">
        <v>449.0</v>
      </c>
      <c r="C454" s="18" t="str">
        <f>ENTRY!B448</f>
        <v>SILVERBEES</v>
      </c>
      <c r="D454" s="93">
        <f>CAPITAL!$C$2</f>
        <v>3350000</v>
      </c>
      <c r="E454" s="94" t="str">
        <f>ENTRY!C448</f>
        <v/>
      </c>
      <c r="F454" s="95" t="str">
        <f>ENTRY!D448</f>
        <v/>
      </c>
      <c r="G454" s="96" t="str">
        <f>ENTRY!E448</f>
        <v/>
      </c>
      <c r="H454" s="97">
        <f>G454*ENTRY!$O448</f>
        <v>0</v>
      </c>
      <c r="I454" s="97">
        <f>G454*ENTRY!$P448</f>
        <v>0</v>
      </c>
      <c r="J454" s="97">
        <f>G454*ENTRY!$Q448</f>
        <v>0</v>
      </c>
      <c r="K454" s="95">
        <f t="shared" si="2"/>
        <v>0</v>
      </c>
      <c r="L454" s="95" t="str">
        <f>ENTRY!F448</f>
        <v/>
      </c>
      <c r="M454" s="94" t="str">
        <f>ENTRY!G448</f>
        <v/>
      </c>
      <c r="N454" s="98" t="str">
        <f t="shared" si="3"/>
        <v/>
      </c>
      <c r="O454" s="99">
        <f t="shared" si="4"/>
        <v>0</v>
      </c>
      <c r="P454" s="99">
        <f t="shared" si="5"/>
        <v>0</v>
      </c>
      <c r="Q454" s="99">
        <f t="shared" si="6"/>
        <v>0</v>
      </c>
      <c r="R454" s="99">
        <f t="shared" si="7"/>
        <v>0</v>
      </c>
      <c r="S454" s="100" t="str">
        <f t="shared" ref="S454:V454" si="454">IFERROR(O454-Y454,"")
</f>
        <v/>
      </c>
      <c r="T454" s="100">
        <f t="shared" si="454"/>
        <v>0</v>
      </c>
      <c r="U454" s="100">
        <f t="shared" si="454"/>
        <v>0</v>
      </c>
      <c r="V454" s="100">
        <f t="shared" si="454"/>
        <v>0</v>
      </c>
      <c r="W454" s="88" t="str">
        <f t="shared" si="9"/>
        <v/>
      </c>
      <c r="X454" s="89">
        <f>S454/D454</f>
        <v>0</v>
      </c>
      <c r="Y454" s="90" t="str">
        <f t="shared" si="10"/>
        <v>ERR</v>
      </c>
      <c r="Z454" s="90">
        <f>IF(H454=0,0,CAPITAL!$H$5*Y454)
</f>
        <v>0</v>
      </c>
      <c r="AA454" s="90">
        <f>IF(I454=0,0,CAPITAL!$H$6*Y454)
</f>
        <v>0</v>
      </c>
      <c r="AB454" s="90">
        <f>IF(J454=0,0,CAPITAL!$H$7*Y454)
</f>
        <v>0</v>
      </c>
      <c r="AC454" s="90"/>
    </row>
    <row r="455">
      <c r="A455" s="104"/>
      <c r="B455" s="101">
        <v>450.0</v>
      </c>
      <c r="C455" s="79" t="str">
        <f>ENTRY!B449</f>
        <v>SILVERBEES</v>
      </c>
      <c r="D455" s="80">
        <f>CAPITAL!$C$2</f>
        <v>3350000</v>
      </c>
      <c r="E455" s="81" t="str">
        <f>ENTRY!C449</f>
        <v/>
      </c>
      <c r="F455" s="82" t="str">
        <f>ENTRY!D449</f>
        <v/>
      </c>
      <c r="G455" s="83" t="str">
        <f>ENTRY!E449</f>
        <v/>
      </c>
      <c r="H455" s="84">
        <f>G455*ENTRY!$O449</f>
        <v>0</v>
      </c>
      <c r="I455" s="84">
        <f>G455*ENTRY!$P449</f>
        <v>0</v>
      </c>
      <c r="J455" s="84">
        <f>G455*ENTRY!$Q449</f>
        <v>0</v>
      </c>
      <c r="K455" s="82">
        <f t="shared" si="2"/>
        <v>0</v>
      </c>
      <c r="L455" s="82" t="str">
        <f>ENTRY!F449</f>
        <v/>
      </c>
      <c r="M455" s="81" t="str">
        <f>ENTRY!G449</f>
        <v/>
      </c>
      <c r="N455" s="85" t="str">
        <f t="shared" si="3"/>
        <v/>
      </c>
      <c r="O455" s="86">
        <f t="shared" si="4"/>
        <v>0</v>
      </c>
      <c r="P455" s="86">
        <f t="shared" si="5"/>
        <v>0</v>
      </c>
      <c r="Q455" s="86">
        <f t="shared" si="6"/>
        <v>0</v>
      </c>
      <c r="R455" s="86">
        <f t="shared" si="7"/>
        <v>0</v>
      </c>
      <c r="S455" s="87" t="str">
        <f t="shared" ref="S455:V455" si="455">IFERROR(O455-Y455,"")
</f>
        <v/>
      </c>
      <c r="T455" s="87">
        <f t="shared" si="455"/>
        <v>0</v>
      </c>
      <c r="U455" s="87">
        <f t="shared" si="455"/>
        <v>0</v>
      </c>
      <c r="V455" s="87">
        <f t="shared" si="455"/>
        <v>0</v>
      </c>
      <c r="W455" s="88" t="str">
        <f t="shared" si="9"/>
        <v/>
      </c>
      <c r="X455" s="89">
        <f>IFERROR(S455/D455,"")</f>
        <v>0</v>
      </c>
      <c r="Y455" s="90" t="str">
        <f t="shared" si="10"/>
        <v>ERR</v>
      </c>
      <c r="Z455" s="90">
        <f>IF(H455=0,0,CAPITAL!$H$5*Y455)
</f>
        <v>0</v>
      </c>
      <c r="AA455" s="90">
        <f>IF(I455=0,0,CAPITAL!$H$6*Y455)
</f>
        <v>0</v>
      </c>
      <c r="AB455" s="90">
        <f>IF(J455=0,0,CAPITAL!$H$7*Y455)
</f>
        <v>0</v>
      </c>
      <c r="AC455" s="90"/>
    </row>
    <row r="456">
      <c r="A456" s="104"/>
      <c r="B456" s="101">
        <v>451.0</v>
      </c>
      <c r="C456" s="18" t="str">
        <f>ENTRY!B450</f>
        <v>SILVERBEES</v>
      </c>
      <c r="D456" s="93">
        <f>CAPITAL!$C$2</f>
        <v>3350000</v>
      </c>
      <c r="E456" s="94" t="str">
        <f>ENTRY!C450</f>
        <v/>
      </c>
      <c r="F456" s="95" t="str">
        <f>ENTRY!D450</f>
        <v/>
      </c>
      <c r="G456" s="96" t="str">
        <f>ENTRY!E450</f>
        <v/>
      </c>
      <c r="H456" s="97">
        <f>G456*ENTRY!$O450</f>
        <v>0</v>
      </c>
      <c r="I456" s="97">
        <f>G456*ENTRY!$P450</f>
        <v>0</v>
      </c>
      <c r="J456" s="97">
        <f>G456*ENTRY!$Q450</f>
        <v>0</v>
      </c>
      <c r="K456" s="95">
        <f t="shared" si="2"/>
        <v>0</v>
      </c>
      <c r="L456" s="95" t="str">
        <f>ENTRY!F450</f>
        <v/>
      </c>
      <c r="M456" s="94" t="str">
        <f>ENTRY!G450</f>
        <v/>
      </c>
      <c r="N456" s="98" t="str">
        <f t="shared" si="3"/>
        <v/>
      </c>
      <c r="O456" s="99">
        <f t="shared" si="4"/>
        <v>0</v>
      </c>
      <c r="P456" s="99">
        <f t="shared" si="5"/>
        <v>0</v>
      </c>
      <c r="Q456" s="99">
        <f t="shared" si="6"/>
        <v>0</v>
      </c>
      <c r="R456" s="99">
        <f t="shared" si="7"/>
        <v>0</v>
      </c>
      <c r="S456" s="100" t="str">
        <f t="shared" ref="S456:V456" si="456">IFERROR(O456-Y456,"")
</f>
        <v/>
      </c>
      <c r="T456" s="100">
        <f t="shared" si="456"/>
        <v>0</v>
      </c>
      <c r="U456" s="100">
        <f t="shared" si="456"/>
        <v>0</v>
      </c>
      <c r="V456" s="100">
        <f t="shared" si="456"/>
        <v>0</v>
      </c>
      <c r="W456" s="88" t="str">
        <f t="shared" si="9"/>
        <v/>
      </c>
      <c r="X456" s="89">
        <f>S456/D456</f>
        <v>0</v>
      </c>
      <c r="Y456" s="90" t="str">
        <f t="shared" si="10"/>
        <v>ERR</v>
      </c>
      <c r="Z456" s="90">
        <f>IF(H456=0,0,CAPITAL!$H$5*Y456)
</f>
        <v>0</v>
      </c>
      <c r="AA456" s="90">
        <f>IF(I456=0,0,CAPITAL!$H$6*Y456)
</f>
        <v>0</v>
      </c>
      <c r="AB456" s="90">
        <f>IF(J456=0,0,CAPITAL!$H$7*Y456)
</f>
        <v>0</v>
      </c>
      <c r="AC456" s="90"/>
    </row>
    <row r="457">
      <c r="A457" s="104"/>
      <c r="B457" s="101">
        <v>452.0</v>
      </c>
      <c r="C457" s="79" t="str">
        <f>ENTRY!B451</f>
        <v>SILVERBEES</v>
      </c>
      <c r="D457" s="80">
        <f>CAPITAL!$C$2</f>
        <v>3350000</v>
      </c>
      <c r="E457" s="81" t="str">
        <f>ENTRY!C451</f>
        <v/>
      </c>
      <c r="F457" s="82" t="str">
        <f>ENTRY!D451</f>
        <v/>
      </c>
      <c r="G457" s="83" t="str">
        <f>ENTRY!E451</f>
        <v/>
      </c>
      <c r="H457" s="84">
        <f>G457*ENTRY!$O451</f>
        <v>0</v>
      </c>
      <c r="I457" s="84">
        <f>G457*ENTRY!$P451</f>
        <v>0</v>
      </c>
      <c r="J457" s="84">
        <f>G457*ENTRY!$Q451</f>
        <v>0</v>
      </c>
      <c r="K457" s="82">
        <f t="shared" si="2"/>
        <v>0</v>
      </c>
      <c r="L457" s="82" t="str">
        <f>ENTRY!F451</f>
        <v/>
      </c>
      <c r="M457" s="81" t="str">
        <f>ENTRY!G451</f>
        <v/>
      </c>
      <c r="N457" s="85" t="str">
        <f t="shared" si="3"/>
        <v/>
      </c>
      <c r="O457" s="86">
        <f t="shared" si="4"/>
        <v>0</v>
      </c>
      <c r="P457" s="86">
        <f t="shared" si="5"/>
        <v>0</v>
      </c>
      <c r="Q457" s="86">
        <f t="shared" si="6"/>
        <v>0</v>
      </c>
      <c r="R457" s="86">
        <f t="shared" si="7"/>
        <v>0</v>
      </c>
      <c r="S457" s="87" t="str">
        <f t="shared" ref="S457:V457" si="457">IFERROR(O457-Y457,"")
</f>
        <v/>
      </c>
      <c r="T457" s="87">
        <f t="shared" si="457"/>
        <v>0</v>
      </c>
      <c r="U457" s="87">
        <f t="shared" si="457"/>
        <v>0</v>
      </c>
      <c r="V457" s="87">
        <f t="shared" si="457"/>
        <v>0</v>
      </c>
      <c r="W457" s="88" t="str">
        <f t="shared" si="9"/>
        <v/>
      </c>
      <c r="X457" s="89">
        <f>IFERROR(S457/D457,"")</f>
        <v>0</v>
      </c>
      <c r="Y457" s="90" t="str">
        <f t="shared" si="10"/>
        <v>ERR</v>
      </c>
      <c r="Z457" s="90">
        <f>IF(H457=0,0,CAPITAL!$H$5*Y457)
</f>
        <v>0</v>
      </c>
      <c r="AA457" s="90">
        <f>IF(I457=0,0,CAPITAL!$H$6*Y457)
</f>
        <v>0</v>
      </c>
      <c r="AB457" s="90">
        <f>IF(J457=0,0,CAPITAL!$H$7*Y457)
</f>
        <v>0</v>
      </c>
      <c r="AC457" s="90"/>
    </row>
    <row r="458">
      <c r="A458" s="104"/>
      <c r="B458" s="101">
        <v>453.0</v>
      </c>
      <c r="C458" s="18" t="str">
        <f>ENTRY!B452</f>
        <v>SILVERBEES</v>
      </c>
      <c r="D458" s="93">
        <f>CAPITAL!$C$2</f>
        <v>3350000</v>
      </c>
      <c r="E458" s="94" t="str">
        <f>ENTRY!C452</f>
        <v/>
      </c>
      <c r="F458" s="95" t="str">
        <f>ENTRY!D452</f>
        <v/>
      </c>
      <c r="G458" s="96" t="str">
        <f>ENTRY!E452</f>
        <v/>
      </c>
      <c r="H458" s="97">
        <f>G458*ENTRY!$O452</f>
        <v>0</v>
      </c>
      <c r="I458" s="97">
        <f>G458*ENTRY!$P452</f>
        <v>0</v>
      </c>
      <c r="J458" s="97">
        <f>G458*ENTRY!$Q452</f>
        <v>0</v>
      </c>
      <c r="K458" s="95">
        <f t="shared" si="2"/>
        <v>0</v>
      </c>
      <c r="L458" s="95" t="str">
        <f>ENTRY!F452</f>
        <v/>
      </c>
      <c r="M458" s="94" t="str">
        <f>ENTRY!G452</f>
        <v/>
      </c>
      <c r="N458" s="98" t="str">
        <f t="shared" si="3"/>
        <v/>
      </c>
      <c r="O458" s="99">
        <f t="shared" si="4"/>
        <v>0</v>
      </c>
      <c r="P458" s="99">
        <f t="shared" si="5"/>
        <v>0</v>
      </c>
      <c r="Q458" s="99">
        <f t="shared" si="6"/>
        <v>0</v>
      </c>
      <c r="R458" s="99">
        <f t="shared" si="7"/>
        <v>0</v>
      </c>
      <c r="S458" s="100" t="str">
        <f t="shared" ref="S458:V458" si="458">IFERROR(O458-Y458,"")
</f>
        <v/>
      </c>
      <c r="T458" s="100">
        <f t="shared" si="458"/>
        <v>0</v>
      </c>
      <c r="U458" s="100">
        <f t="shared" si="458"/>
        <v>0</v>
      </c>
      <c r="V458" s="100">
        <f t="shared" si="458"/>
        <v>0</v>
      </c>
      <c r="W458" s="88" t="str">
        <f t="shared" si="9"/>
        <v/>
      </c>
      <c r="X458" s="89">
        <f>S458/D458</f>
        <v>0</v>
      </c>
      <c r="Y458" s="90" t="str">
        <f t="shared" si="10"/>
        <v>ERR</v>
      </c>
      <c r="Z458" s="90">
        <f>IF(H458=0,0,CAPITAL!$H$5*Y458)
</f>
        <v>0</v>
      </c>
      <c r="AA458" s="90">
        <f>IF(I458=0,0,CAPITAL!$H$6*Y458)
</f>
        <v>0</v>
      </c>
      <c r="AB458" s="90">
        <f>IF(J458=0,0,CAPITAL!$H$7*Y458)
</f>
        <v>0</v>
      </c>
      <c r="AC458" s="90"/>
    </row>
    <row r="459">
      <c r="A459" s="104"/>
      <c r="B459" s="101">
        <v>454.0</v>
      </c>
      <c r="C459" s="79" t="str">
        <f>ENTRY!B453</f>
        <v>SILVERBEES</v>
      </c>
      <c r="D459" s="80">
        <f>CAPITAL!$C$2</f>
        <v>3350000</v>
      </c>
      <c r="E459" s="81" t="str">
        <f>ENTRY!C453</f>
        <v/>
      </c>
      <c r="F459" s="82" t="str">
        <f>ENTRY!D453</f>
        <v/>
      </c>
      <c r="G459" s="83" t="str">
        <f>ENTRY!E453</f>
        <v/>
      </c>
      <c r="H459" s="84">
        <f>G459*ENTRY!$O453</f>
        <v>0</v>
      </c>
      <c r="I459" s="84">
        <f>G459*ENTRY!$P453</f>
        <v>0</v>
      </c>
      <c r="J459" s="84">
        <f>G459*ENTRY!$Q453</f>
        <v>0</v>
      </c>
      <c r="K459" s="82">
        <f t="shared" si="2"/>
        <v>0</v>
      </c>
      <c r="L459" s="82" t="str">
        <f>ENTRY!F453</f>
        <v/>
      </c>
      <c r="M459" s="81" t="str">
        <f>ENTRY!G453</f>
        <v/>
      </c>
      <c r="N459" s="85" t="str">
        <f t="shared" si="3"/>
        <v/>
      </c>
      <c r="O459" s="86">
        <f t="shared" si="4"/>
        <v>0</v>
      </c>
      <c r="P459" s="86">
        <f t="shared" si="5"/>
        <v>0</v>
      </c>
      <c r="Q459" s="86">
        <f t="shared" si="6"/>
        <v>0</v>
      </c>
      <c r="R459" s="86">
        <f t="shared" si="7"/>
        <v>0</v>
      </c>
      <c r="S459" s="87" t="str">
        <f t="shared" ref="S459:V459" si="459">IFERROR(O459-Y459,"")
</f>
        <v/>
      </c>
      <c r="T459" s="87">
        <f t="shared" si="459"/>
        <v>0</v>
      </c>
      <c r="U459" s="87">
        <f t="shared" si="459"/>
        <v>0</v>
      </c>
      <c r="V459" s="87">
        <f t="shared" si="459"/>
        <v>0</v>
      </c>
      <c r="W459" s="88" t="str">
        <f t="shared" si="9"/>
        <v/>
      </c>
      <c r="X459" s="89">
        <f>IFERROR(S459/D459,"")</f>
        <v>0</v>
      </c>
      <c r="Y459" s="90" t="str">
        <f t="shared" si="10"/>
        <v>ERR</v>
      </c>
      <c r="Z459" s="90">
        <f>IF(H459=0,0,CAPITAL!$H$5*Y459)
</f>
        <v>0</v>
      </c>
      <c r="AA459" s="90">
        <f>IF(I459=0,0,CAPITAL!$H$6*Y459)
</f>
        <v>0</v>
      </c>
      <c r="AB459" s="90">
        <f>IF(J459=0,0,CAPITAL!$H$7*Y459)
</f>
        <v>0</v>
      </c>
      <c r="AC459" s="90"/>
    </row>
    <row r="460">
      <c r="A460" s="104"/>
      <c r="B460" s="101">
        <v>455.0</v>
      </c>
      <c r="C460" s="18" t="str">
        <f>ENTRY!B454</f>
        <v>SILVERBEES</v>
      </c>
      <c r="D460" s="93">
        <f>CAPITAL!$C$2</f>
        <v>3350000</v>
      </c>
      <c r="E460" s="94" t="str">
        <f>ENTRY!C454</f>
        <v/>
      </c>
      <c r="F460" s="95" t="str">
        <f>ENTRY!D454</f>
        <v/>
      </c>
      <c r="G460" s="96" t="str">
        <f>ENTRY!E454</f>
        <v/>
      </c>
      <c r="H460" s="97">
        <f>G460*ENTRY!$O454</f>
        <v>0</v>
      </c>
      <c r="I460" s="97">
        <f>G460*ENTRY!$P454</f>
        <v>0</v>
      </c>
      <c r="J460" s="97">
        <f>G460*ENTRY!$Q454</f>
        <v>0</v>
      </c>
      <c r="K460" s="95">
        <f t="shared" si="2"/>
        <v>0</v>
      </c>
      <c r="L460" s="95" t="str">
        <f>ENTRY!F454</f>
        <v/>
      </c>
      <c r="M460" s="94" t="str">
        <f>ENTRY!G454</f>
        <v/>
      </c>
      <c r="N460" s="98" t="str">
        <f t="shared" si="3"/>
        <v/>
      </c>
      <c r="O460" s="99">
        <f t="shared" si="4"/>
        <v>0</v>
      </c>
      <c r="P460" s="99">
        <f t="shared" si="5"/>
        <v>0</v>
      </c>
      <c r="Q460" s="99">
        <f t="shared" si="6"/>
        <v>0</v>
      </c>
      <c r="R460" s="99">
        <f t="shared" si="7"/>
        <v>0</v>
      </c>
      <c r="S460" s="100" t="str">
        <f t="shared" ref="S460:V460" si="460">IFERROR(O460-Y460,"")
</f>
        <v/>
      </c>
      <c r="T460" s="100">
        <f t="shared" si="460"/>
        <v>0</v>
      </c>
      <c r="U460" s="100">
        <f t="shared" si="460"/>
        <v>0</v>
      </c>
      <c r="V460" s="100">
        <f t="shared" si="460"/>
        <v>0</v>
      </c>
      <c r="W460" s="88" t="str">
        <f t="shared" si="9"/>
        <v/>
      </c>
      <c r="X460" s="89">
        <f>S460/D460</f>
        <v>0</v>
      </c>
      <c r="Y460" s="90" t="str">
        <f t="shared" si="10"/>
        <v>ERR</v>
      </c>
      <c r="Z460" s="90">
        <f>IF(H460=0,0,CAPITAL!$H$5*Y460)
</f>
        <v>0</v>
      </c>
      <c r="AA460" s="90">
        <f>IF(I460=0,0,CAPITAL!$H$6*Y460)
</f>
        <v>0</v>
      </c>
      <c r="AB460" s="90">
        <f>IF(J460=0,0,CAPITAL!$H$7*Y460)
</f>
        <v>0</v>
      </c>
      <c r="AC460" s="90"/>
    </row>
    <row r="461">
      <c r="A461" s="104"/>
      <c r="B461" s="101">
        <v>456.0</v>
      </c>
      <c r="C461" s="79" t="str">
        <f>ENTRY!B455</f>
        <v>SILVERBEES</v>
      </c>
      <c r="D461" s="80">
        <f>CAPITAL!$C$2</f>
        <v>3350000</v>
      </c>
      <c r="E461" s="81" t="str">
        <f>ENTRY!C455</f>
        <v/>
      </c>
      <c r="F461" s="82" t="str">
        <f>ENTRY!D455</f>
        <v/>
      </c>
      <c r="G461" s="83" t="str">
        <f>ENTRY!E455</f>
        <v/>
      </c>
      <c r="H461" s="84">
        <f>G461*ENTRY!$O455</f>
        <v>0</v>
      </c>
      <c r="I461" s="84">
        <f>G461*ENTRY!$P455</f>
        <v>0</v>
      </c>
      <c r="J461" s="84">
        <f>G461*ENTRY!$Q455</f>
        <v>0</v>
      </c>
      <c r="K461" s="82">
        <f t="shared" si="2"/>
        <v>0</v>
      </c>
      <c r="L461" s="82" t="str">
        <f>ENTRY!F455</f>
        <v/>
      </c>
      <c r="M461" s="81" t="str">
        <f>ENTRY!G455</f>
        <v/>
      </c>
      <c r="N461" s="85" t="str">
        <f t="shared" si="3"/>
        <v/>
      </c>
      <c r="O461" s="86">
        <f t="shared" si="4"/>
        <v>0</v>
      </c>
      <c r="P461" s="86">
        <f t="shared" si="5"/>
        <v>0</v>
      </c>
      <c r="Q461" s="86">
        <f t="shared" si="6"/>
        <v>0</v>
      </c>
      <c r="R461" s="86">
        <f t="shared" si="7"/>
        <v>0</v>
      </c>
      <c r="S461" s="87" t="str">
        <f t="shared" ref="S461:V461" si="461">IFERROR(O461-Y461,"")
</f>
        <v/>
      </c>
      <c r="T461" s="87">
        <f t="shared" si="461"/>
        <v>0</v>
      </c>
      <c r="U461" s="87">
        <f t="shared" si="461"/>
        <v>0</v>
      </c>
      <c r="V461" s="87">
        <f t="shared" si="461"/>
        <v>0</v>
      </c>
      <c r="W461" s="88" t="str">
        <f t="shared" si="9"/>
        <v/>
      </c>
      <c r="X461" s="89">
        <f>IFERROR(S461/D461,"")</f>
        <v>0</v>
      </c>
      <c r="Y461" s="90" t="str">
        <f t="shared" si="10"/>
        <v>ERR</v>
      </c>
      <c r="Z461" s="90">
        <f>IF(H461=0,0,CAPITAL!$H$5*Y461)
</f>
        <v>0</v>
      </c>
      <c r="AA461" s="90">
        <f>IF(I461=0,0,CAPITAL!$H$6*Y461)
</f>
        <v>0</v>
      </c>
      <c r="AB461" s="90">
        <f>IF(J461=0,0,CAPITAL!$H$7*Y461)
</f>
        <v>0</v>
      </c>
      <c r="AC461" s="90"/>
    </row>
    <row r="462">
      <c r="A462" s="104"/>
      <c r="B462" s="101">
        <v>457.0</v>
      </c>
      <c r="C462" s="18" t="str">
        <f>ENTRY!B456</f>
        <v>SILVERBEES</v>
      </c>
      <c r="D462" s="93">
        <f>CAPITAL!$C$2</f>
        <v>3350000</v>
      </c>
      <c r="E462" s="94" t="str">
        <f>ENTRY!C456</f>
        <v/>
      </c>
      <c r="F462" s="95" t="str">
        <f>ENTRY!D456</f>
        <v/>
      </c>
      <c r="G462" s="96" t="str">
        <f>ENTRY!E456</f>
        <v/>
      </c>
      <c r="H462" s="97">
        <f>G462*ENTRY!$O456</f>
        <v>0</v>
      </c>
      <c r="I462" s="97">
        <f>G462*ENTRY!$P456</f>
        <v>0</v>
      </c>
      <c r="J462" s="97">
        <f>G462*ENTRY!$Q456</f>
        <v>0</v>
      </c>
      <c r="K462" s="95">
        <f t="shared" si="2"/>
        <v>0</v>
      </c>
      <c r="L462" s="95" t="str">
        <f>ENTRY!F456</f>
        <v/>
      </c>
      <c r="M462" s="94" t="str">
        <f>ENTRY!G456</f>
        <v/>
      </c>
      <c r="N462" s="98" t="str">
        <f t="shared" si="3"/>
        <v/>
      </c>
      <c r="O462" s="99">
        <f t="shared" si="4"/>
        <v>0</v>
      </c>
      <c r="P462" s="99">
        <f t="shared" si="5"/>
        <v>0</v>
      </c>
      <c r="Q462" s="99">
        <f t="shared" si="6"/>
        <v>0</v>
      </c>
      <c r="R462" s="99">
        <f t="shared" si="7"/>
        <v>0</v>
      </c>
      <c r="S462" s="100" t="str">
        <f t="shared" ref="S462:V462" si="462">IFERROR(O462-Y462,"")
</f>
        <v/>
      </c>
      <c r="T462" s="100">
        <f t="shared" si="462"/>
        <v>0</v>
      </c>
      <c r="U462" s="100">
        <f t="shared" si="462"/>
        <v>0</v>
      </c>
      <c r="V462" s="100">
        <f t="shared" si="462"/>
        <v>0</v>
      </c>
      <c r="W462" s="88" t="str">
        <f t="shared" si="9"/>
        <v/>
      </c>
      <c r="X462" s="89">
        <f>S462/D462</f>
        <v>0</v>
      </c>
      <c r="Y462" s="90" t="str">
        <f t="shared" si="10"/>
        <v>ERR</v>
      </c>
      <c r="Z462" s="90">
        <f>IF(H462=0,0,CAPITAL!$H$5*Y462)
</f>
        <v>0</v>
      </c>
      <c r="AA462" s="90">
        <f>IF(I462=0,0,CAPITAL!$H$6*Y462)
</f>
        <v>0</v>
      </c>
      <c r="AB462" s="90">
        <f>IF(J462=0,0,CAPITAL!$H$7*Y462)
</f>
        <v>0</v>
      </c>
      <c r="AC462" s="90"/>
    </row>
    <row r="463">
      <c r="A463" s="104"/>
      <c r="B463" s="101">
        <v>458.0</v>
      </c>
      <c r="C463" s="79" t="str">
        <f>ENTRY!B457</f>
        <v>SILVERBEES</v>
      </c>
      <c r="D463" s="80">
        <f>CAPITAL!$C$2</f>
        <v>3350000</v>
      </c>
      <c r="E463" s="81" t="str">
        <f>ENTRY!C457</f>
        <v/>
      </c>
      <c r="F463" s="82" t="str">
        <f>ENTRY!D457</f>
        <v/>
      </c>
      <c r="G463" s="83" t="str">
        <f>ENTRY!E457</f>
        <v/>
      </c>
      <c r="H463" s="84">
        <f>G463*ENTRY!$O457</f>
        <v>0</v>
      </c>
      <c r="I463" s="84">
        <f>G463*ENTRY!$P457</f>
        <v>0</v>
      </c>
      <c r="J463" s="84">
        <f>G463*ENTRY!$Q457</f>
        <v>0</v>
      </c>
      <c r="K463" s="82">
        <f t="shared" si="2"/>
        <v>0</v>
      </c>
      <c r="L463" s="82" t="str">
        <f>ENTRY!F457</f>
        <v/>
      </c>
      <c r="M463" s="81" t="str">
        <f>ENTRY!G457</f>
        <v/>
      </c>
      <c r="N463" s="85" t="str">
        <f t="shared" si="3"/>
        <v/>
      </c>
      <c r="O463" s="86">
        <f t="shared" si="4"/>
        <v>0</v>
      </c>
      <c r="P463" s="86">
        <f t="shared" si="5"/>
        <v>0</v>
      </c>
      <c r="Q463" s="86">
        <f t="shared" si="6"/>
        <v>0</v>
      </c>
      <c r="R463" s="86">
        <f t="shared" si="7"/>
        <v>0</v>
      </c>
      <c r="S463" s="87" t="str">
        <f t="shared" ref="S463:V463" si="463">IFERROR(O463-Y463,"")
</f>
        <v/>
      </c>
      <c r="T463" s="87">
        <f t="shared" si="463"/>
        <v>0</v>
      </c>
      <c r="U463" s="87">
        <f t="shared" si="463"/>
        <v>0</v>
      </c>
      <c r="V463" s="87">
        <f t="shared" si="463"/>
        <v>0</v>
      </c>
      <c r="W463" s="88" t="str">
        <f t="shared" si="9"/>
        <v/>
      </c>
      <c r="X463" s="89">
        <f>IFERROR(S463/D463,"")</f>
        <v>0</v>
      </c>
      <c r="Y463" s="90" t="str">
        <f t="shared" si="10"/>
        <v>ERR</v>
      </c>
      <c r="Z463" s="90">
        <f>IF(H463=0,0,CAPITAL!$H$5*Y463)
</f>
        <v>0</v>
      </c>
      <c r="AA463" s="90">
        <f>IF(I463=0,0,CAPITAL!$H$6*Y463)
</f>
        <v>0</v>
      </c>
      <c r="AB463" s="90">
        <f>IF(J463=0,0,CAPITAL!$H$7*Y463)
</f>
        <v>0</v>
      </c>
      <c r="AC463" s="90"/>
    </row>
    <row r="464">
      <c r="A464" s="104"/>
      <c r="B464" s="101">
        <v>459.0</v>
      </c>
      <c r="C464" s="18" t="str">
        <f>ENTRY!B458</f>
        <v>SILVERBEES</v>
      </c>
      <c r="D464" s="93">
        <f>CAPITAL!$C$2</f>
        <v>3350000</v>
      </c>
      <c r="E464" s="94" t="str">
        <f>ENTRY!C458</f>
        <v/>
      </c>
      <c r="F464" s="95" t="str">
        <f>ENTRY!D458</f>
        <v/>
      </c>
      <c r="G464" s="96" t="str">
        <f>ENTRY!E458</f>
        <v/>
      </c>
      <c r="H464" s="97">
        <f>G464*ENTRY!$O458</f>
        <v>0</v>
      </c>
      <c r="I464" s="97">
        <f>G464*ENTRY!$P458</f>
        <v>0</v>
      </c>
      <c r="J464" s="97">
        <f>G464*ENTRY!$Q458</f>
        <v>0</v>
      </c>
      <c r="K464" s="95">
        <f t="shared" si="2"/>
        <v>0</v>
      </c>
      <c r="L464" s="95" t="str">
        <f>ENTRY!F458</f>
        <v/>
      </c>
      <c r="M464" s="94" t="str">
        <f>ENTRY!G458</f>
        <v/>
      </c>
      <c r="N464" s="98" t="str">
        <f t="shared" si="3"/>
        <v/>
      </c>
      <c r="O464" s="99">
        <f t="shared" si="4"/>
        <v>0</v>
      </c>
      <c r="P464" s="99">
        <f t="shared" si="5"/>
        <v>0</v>
      </c>
      <c r="Q464" s="99">
        <f t="shared" si="6"/>
        <v>0</v>
      </c>
      <c r="R464" s="99">
        <f t="shared" si="7"/>
        <v>0</v>
      </c>
      <c r="S464" s="100" t="str">
        <f t="shared" ref="S464:V464" si="464">IFERROR(O464-Y464,"")
</f>
        <v/>
      </c>
      <c r="T464" s="100">
        <f t="shared" si="464"/>
        <v>0</v>
      </c>
      <c r="U464" s="100">
        <f t="shared" si="464"/>
        <v>0</v>
      </c>
      <c r="V464" s="100">
        <f t="shared" si="464"/>
        <v>0</v>
      </c>
      <c r="W464" s="88" t="str">
        <f t="shared" si="9"/>
        <v/>
      </c>
      <c r="X464" s="89">
        <f>S464/D464</f>
        <v>0</v>
      </c>
      <c r="Y464" s="90" t="str">
        <f t="shared" si="10"/>
        <v>ERR</v>
      </c>
      <c r="Z464" s="90">
        <f>IF(H464=0,0,CAPITAL!$H$5*Y464)
</f>
        <v>0</v>
      </c>
      <c r="AA464" s="90">
        <f>IF(I464=0,0,CAPITAL!$H$6*Y464)
</f>
        <v>0</v>
      </c>
      <c r="AB464" s="90">
        <f>IF(J464=0,0,CAPITAL!$H$7*Y464)
</f>
        <v>0</v>
      </c>
      <c r="AC464" s="90"/>
    </row>
    <row r="465">
      <c r="A465" s="104"/>
      <c r="B465" s="101">
        <v>460.0</v>
      </c>
      <c r="C465" s="79" t="str">
        <f>ENTRY!B459</f>
        <v>SILVERBEES</v>
      </c>
      <c r="D465" s="80">
        <f>CAPITAL!$C$2</f>
        <v>3350000</v>
      </c>
      <c r="E465" s="81" t="str">
        <f>ENTRY!C459</f>
        <v/>
      </c>
      <c r="F465" s="82" t="str">
        <f>ENTRY!D459</f>
        <v/>
      </c>
      <c r="G465" s="83" t="str">
        <f>ENTRY!E459</f>
        <v/>
      </c>
      <c r="H465" s="84">
        <f>G465*ENTRY!$O459</f>
        <v>0</v>
      </c>
      <c r="I465" s="84">
        <f>G465*ENTRY!$P459</f>
        <v>0</v>
      </c>
      <c r="J465" s="84">
        <f>G465*ENTRY!$Q459</f>
        <v>0</v>
      </c>
      <c r="K465" s="82">
        <f t="shared" si="2"/>
        <v>0</v>
      </c>
      <c r="L465" s="82" t="str">
        <f>ENTRY!F459</f>
        <v/>
      </c>
      <c r="M465" s="81" t="str">
        <f>ENTRY!G459</f>
        <v/>
      </c>
      <c r="N465" s="85" t="str">
        <f t="shared" si="3"/>
        <v/>
      </c>
      <c r="O465" s="86">
        <f t="shared" si="4"/>
        <v>0</v>
      </c>
      <c r="P465" s="86">
        <f t="shared" si="5"/>
        <v>0</v>
      </c>
      <c r="Q465" s="86">
        <f t="shared" si="6"/>
        <v>0</v>
      </c>
      <c r="R465" s="86">
        <f t="shared" si="7"/>
        <v>0</v>
      </c>
      <c r="S465" s="87" t="str">
        <f t="shared" ref="S465:V465" si="465">IFERROR(O465-Y465,"")
</f>
        <v/>
      </c>
      <c r="T465" s="87">
        <f t="shared" si="465"/>
        <v>0</v>
      </c>
      <c r="U465" s="87">
        <f t="shared" si="465"/>
        <v>0</v>
      </c>
      <c r="V465" s="87">
        <f t="shared" si="465"/>
        <v>0</v>
      </c>
      <c r="W465" s="88" t="str">
        <f t="shared" si="9"/>
        <v/>
      </c>
      <c r="X465" s="89">
        <f>IFERROR(S465/D465,"")</f>
        <v>0</v>
      </c>
      <c r="Y465" s="90" t="str">
        <f t="shared" si="10"/>
        <v>ERR</v>
      </c>
      <c r="Z465" s="90">
        <f>IF(H465=0,0,CAPITAL!$H$5*Y465)
</f>
        <v>0</v>
      </c>
      <c r="AA465" s="90">
        <f>IF(I465=0,0,CAPITAL!$H$6*Y465)
</f>
        <v>0</v>
      </c>
      <c r="AB465" s="90">
        <f>IF(J465=0,0,CAPITAL!$H$7*Y465)
</f>
        <v>0</v>
      </c>
      <c r="AC465" s="90"/>
    </row>
    <row r="466">
      <c r="A466" s="104"/>
      <c r="B466" s="101">
        <v>461.0</v>
      </c>
      <c r="C466" s="18" t="str">
        <f>ENTRY!B460</f>
        <v>SILVERBEES</v>
      </c>
      <c r="D466" s="93">
        <f>CAPITAL!$C$2</f>
        <v>3350000</v>
      </c>
      <c r="E466" s="94" t="str">
        <f>ENTRY!C460</f>
        <v/>
      </c>
      <c r="F466" s="95" t="str">
        <f>ENTRY!D460</f>
        <v/>
      </c>
      <c r="G466" s="96" t="str">
        <f>ENTRY!E460</f>
        <v/>
      </c>
      <c r="H466" s="97">
        <f>G466*ENTRY!$O460</f>
        <v>0</v>
      </c>
      <c r="I466" s="97">
        <f>G466*ENTRY!$P460</f>
        <v>0</v>
      </c>
      <c r="J466" s="97">
        <f>G466*ENTRY!$Q460</f>
        <v>0</v>
      </c>
      <c r="K466" s="95">
        <f t="shared" si="2"/>
        <v>0</v>
      </c>
      <c r="L466" s="95" t="str">
        <f>ENTRY!F460</f>
        <v/>
      </c>
      <c r="M466" s="94" t="str">
        <f>ENTRY!G460</f>
        <v/>
      </c>
      <c r="N466" s="98" t="str">
        <f t="shared" si="3"/>
        <v/>
      </c>
      <c r="O466" s="99">
        <f t="shared" si="4"/>
        <v>0</v>
      </c>
      <c r="P466" s="99">
        <f t="shared" si="5"/>
        <v>0</v>
      </c>
      <c r="Q466" s="99">
        <f t="shared" si="6"/>
        <v>0</v>
      </c>
      <c r="R466" s="99">
        <f t="shared" si="7"/>
        <v>0</v>
      </c>
      <c r="S466" s="100" t="str">
        <f t="shared" ref="S466:V466" si="466">IFERROR(O466-Y466,"")
</f>
        <v/>
      </c>
      <c r="T466" s="100">
        <f t="shared" si="466"/>
        <v>0</v>
      </c>
      <c r="U466" s="100">
        <f t="shared" si="466"/>
        <v>0</v>
      </c>
      <c r="V466" s="100">
        <f t="shared" si="466"/>
        <v>0</v>
      </c>
      <c r="W466" s="88" t="str">
        <f t="shared" si="9"/>
        <v/>
      </c>
      <c r="X466" s="89">
        <f>S466/D466</f>
        <v>0</v>
      </c>
      <c r="Y466" s="90" t="str">
        <f t="shared" si="10"/>
        <v>ERR</v>
      </c>
      <c r="Z466" s="90">
        <f>IF(H466=0,0,CAPITAL!$H$5*Y466)
</f>
        <v>0</v>
      </c>
      <c r="AA466" s="90">
        <f>IF(I466=0,0,CAPITAL!$H$6*Y466)
</f>
        <v>0</v>
      </c>
      <c r="AB466" s="90">
        <f>IF(J466=0,0,CAPITAL!$H$7*Y466)
</f>
        <v>0</v>
      </c>
      <c r="AC466" s="90"/>
    </row>
    <row r="467">
      <c r="A467" s="104"/>
      <c r="B467" s="101">
        <v>462.0</v>
      </c>
      <c r="C467" s="79" t="str">
        <f>ENTRY!B461</f>
        <v>SILVERBEES</v>
      </c>
      <c r="D467" s="80">
        <f>CAPITAL!$C$2</f>
        <v>3350000</v>
      </c>
      <c r="E467" s="81" t="str">
        <f>ENTRY!C461</f>
        <v/>
      </c>
      <c r="F467" s="82" t="str">
        <f>ENTRY!D461</f>
        <v/>
      </c>
      <c r="G467" s="83" t="str">
        <f>ENTRY!E461</f>
        <v/>
      </c>
      <c r="H467" s="84">
        <f>G467*ENTRY!$O461</f>
        <v>0</v>
      </c>
      <c r="I467" s="84">
        <f>G467*ENTRY!$P461</f>
        <v>0</v>
      </c>
      <c r="J467" s="84">
        <f>G467*ENTRY!$Q461</f>
        <v>0</v>
      </c>
      <c r="K467" s="82">
        <f t="shared" si="2"/>
        <v>0</v>
      </c>
      <c r="L467" s="82" t="str">
        <f>ENTRY!F461</f>
        <v/>
      </c>
      <c r="M467" s="81" t="str">
        <f>ENTRY!G461</f>
        <v/>
      </c>
      <c r="N467" s="85" t="str">
        <f t="shared" si="3"/>
        <v/>
      </c>
      <c r="O467" s="86">
        <f t="shared" si="4"/>
        <v>0</v>
      </c>
      <c r="P467" s="86">
        <f t="shared" si="5"/>
        <v>0</v>
      </c>
      <c r="Q467" s="86">
        <f t="shared" si="6"/>
        <v>0</v>
      </c>
      <c r="R467" s="86">
        <f t="shared" si="7"/>
        <v>0</v>
      </c>
      <c r="S467" s="87" t="str">
        <f t="shared" ref="S467:V467" si="467">IFERROR(O467-Y467,"")
</f>
        <v/>
      </c>
      <c r="T467" s="87">
        <f t="shared" si="467"/>
        <v>0</v>
      </c>
      <c r="U467" s="87">
        <f t="shared" si="467"/>
        <v>0</v>
      </c>
      <c r="V467" s="87">
        <f t="shared" si="467"/>
        <v>0</v>
      </c>
      <c r="W467" s="88" t="str">
        <f t="shared" si="9"/>
        <v/>
      </c>
      <c r="X467" s="89">
        <f>IFERROR(S467/D467,"")</f>
        <v>0</v>
      </c>
      <c r="Y467" s="90" t="str">
        <f t="shared" si="10"/>
        <v>ERR</v>
      </c>
      <c r="Z467" s="90">
        <f>IF(H467=0,0,CAPITAL!$H$5*Y467)
</f>
        <v>0</v>
      </c>
      <c r="AA467" s="90">
        <f>IF(I467=0,0,CAPITAL!$H$6*Y467)
</f>
        <v>0</v>
      </c>
      <c r="AB467" s="90">
        <f>IF(J467=0,0,CAPITAL!$H$7*Y467)
</f>
        <v>0</v>
      </c>
      <c r="AC467" s="90"/>
    </row>
    <row r="468">
      <c r="A468" s="104"/>
      <c r="B468" s="101">
        <v>463.0</v>
      </c>
      <c r="C468" s="18" t="str">
        <f>ENTRY!B462</f>
        <v>SILVERBEES</v>
      </c>
      <c r="D468" s="93">
        <f>CAPITAL!$C$2</f>
        <v>3350000</v>
      </c>
      <c r="E468" s="94" t="str">
        <f>ENTRY!C462</f>
        <v/>
      </c>
      <c r="F468" s="95" t="str">
        <f>ENTRY!D462</f>
        <v/>
      </c>
      <c r="G468" s="96" t="str">
        <f>ENTRY!E462</f>
        <v/>
      </c>
      <c r="H468" s="97">
        <f>G468*ENTRY!$O462</f>
        <v>0</v>
      </c>
      <c r="I468" s="97">
        <f>G468*ENTRY!$P462</f>
        <v>0</v>
      </c>
      <c r="J468" s="97">
        <f>G468*ENTRY!$Q462</f>
        <v>0</v>
      </c>
      <c r="K468" s="95">
        <f t="shared" si="2"/>
        <v>0</v>
      </c>
      <c r="L468" s="95" t="str">
        <f>ENTRY!F462</f>
        <v/>
      </c>
      <c r="M468" s="94" t="str">
        <f>ENTRY!G462</f>
        <v/>
      </c>
      <c r="N468" s="98" t="str">
        <f t="shared" si="3"/>
        <v/>
      </c>
      <c r="O468" s="99">
        <f t="shared" si="4"/>
        <v>0</v>
      </c>
      <c r="P468" s="99">
        <f t="shared" si="5"/>
        <v>0</v>
      </c>
      <c r="Q468" s="99">
        <f t="shared" si="6"/>
        <v>0</v>
      </c>
      <c r="R468" s="99">
        <f t="shared" si="7"/>
        <v>0</v>
      </c>
      <c r="S468" s="100" t="str">
        <f t="shared" ref="S468:V468" si="468">IFERROR(O468-Y468,"")
</f>
        <v/>
      </c>
      <c r="T468" s="100">
        <f t="shared" si="468"/>
        <v>0</v>
      </c>
      <c r="U468" s="100">
        <f t="shared" si="468"/>
        <v>0</v>
      </c>
      <c r="V468" s="100">
        <f t="shared" si="468"/>
        <v>0</v>
      </c>
      <c r="W468" s="88" t="str">
        <f t="shared" si="9"/>
        <v/>
      </c>
      <c r="X468" s="89">
        <f>S468/D468</f>
        <v>0</v>
      </c>
      <c r="Y468" s="90" t="str">
        <f t="shared" si="10"/>
        <v>ERR</v>
      </c>
      <c r="Z468" s="90">
        <f>IF(H468=0,0,CAPITAL!$H$5*Y468)
</f>
        <v>0</v>
      </c>
      <c r="AA468" s="90">
        <f>IF(I468=0,0,CAPITAL!$H$6*Y468)
</f>
        <v>0</v>
      </c>
      <c r="AB468" s="90">
        <f>IF(J468=0,0,CAPITAL!$H$7*Y468)
</f>
        <v>0</v>
      </c>
      <c r="AC468" s="90"/>
    </row>
    <row r="469">
      <c r="A469" s="104"/>
      <c r="B469" s="101">
        <v>464.0</v>
      </c>
      <c r="C469" s="79" t="str">
        <f>ENTRY!B463</f>
        <v>SILVERBEES</v>
      </c>
      <c r="D469" s="80">
        <f>CAPITAL!$C$2</f>
        <v>3350000</v>
      </c>
      <c r="E469" s="81" t="str">
        <f>ENTRY!C463</f>
        <v/>
      </c>
      <c r="F469" s="82" t="str">
        <f>ENTRY!D463</f>
        <v/>
      </c>
      <c r="G469" s="83" t="str">
        <f>ENTRY!E463</f>
        <v/>
      </c>
      <c r="H469" s="84">
        <f>G469*ENTRY!$O463</f>
        <v>0</v>
      </c>
      <c r="I469" s="84">
        <f>G469*ENTRY!$P463</f>
        <v>0</v>
      </c>
      <c r="J469" s="84">
        <f>G469*ENTRY!$Q463</f>
        <v>0</v>
      </c>
      <c r="K469" s="82">
        <f t="shared" si="2"/>
        <v>0</v>
      </c>
      <c r="L469" s="82" t="str">
        <f>ENTRY!F463</f>
        <v/>
      </c>
      <c r="M469" s="81" t="str">
        <f>ENTRY!G463</f>
        <v/>
      </c>
      <c r="N469" s="85" t="str">
        <f t="shared" si="3"/>
        <v/>
      </c>
      <c r="O469" s="86">
        <f t="shared" si="4"/>
        <v>0</v>
      </c>
      <c r="P469" s="86">
        <f t="shared" si="5"/>
        <v>0</v>
      </c>
      <c r="Q469" s="86">
        <f t="shared" si="6"/>
        <v>0</v>
      </c>
      <c r="R469" s="86">
        <f t="shared" si="7"/>
        <v>0</v>
      </c>
      <c r="S469" s="87" t="str">
        <f t="shared" ref="S469:V469" si="469">IFERROR(O469-Y469,"")
</f>
        <v/>
      </c>
      <c r="T469" s="87">
        <f t="shared" si="469"/>
        <v>0</v>
      </c>
      <c r="U469" s="87">
        <f t="shared" si="469"/>
        <v>0</v>
      </c>
      <c r="V469" s="87">
        <f t="shared" si="469"/>
        <v>0</v>
      </c>
      <c r="W469" s="88" t="str">
        <f t="shared" si="9"/>
        <v/>
      </c>
      <c r="X469" s="89">
        <f>IFERROR(S469/D469,"")</f>
        <v>0</v>
      </c>
      <c r="Y469" s="90" t="str">
        <f t="shared" si="10"/>
        <v>ERR</v>
      </c>
      <c r="Z469" s="90">
        <f>IF(H469=0,0,CAPITAL!$H$5*Y469)
</f>
        <v>0</v>
      </c>
      <c r="AA469" s="90">
        <f>IF(I469=0,0,CAPITAL!$H$6*Y469)
</f>
        <v>0</v>
      </c>
      <c r="AB469" s="90">
        <f>IF(J469=0,0,CAPITAL!$H$7*Y469)
</f>
        <v>0</v>
      </c>
      <c r="AC469" s="90"/>
    </row>
    <row r="470">
      <c r="A470" s="104"/>
      <c r="B470" s="101">
        <v>465.0</v>
      </c>
      <c r="C470" s="18" t="str">
        <f>ENTRY!B464</f>
        <v>SILVERBEES</v>
      </c>
      <c r="D470" s="93">
        <f>CAPITAL!$C$2</f>
        <v>3350000</v>
      </c>
      <c r="E470" s="94" t="str">
        <f>ENTRY!C464</f>
        <v/>
      </c>
      <c r="F470" s="95" t="str">
        <f>ENTRY!D464</f>
        <v/>
      </c>
      <c r="G470" s="96" t="str">
        <f>ENTRY!E464</f>
        <v/>
      </c>
      <c r="H470" s="97">
        <f>G470*ENTRY!$O464</f>
        <v>0</v>
      </c>
      <c r="I470" s="97">
        <f>G470*ENTRY!$P464</f>
        <v>0</v>
      </c>
      <c r="J470" s="97">
        <f>G470*ENTRY!$Q464</f>
        <v>0</v>
      </c>
      <c r="K470" s="95">
        <f t="shared" si="2"/>
        <v>0</v>
      </c>
      <c r="L470" s="95" t="str">
        <f>ENTRY!F464</f>
        <v/>
      </c>
      <c r="M470" s="94" t="str">
        <f>ENTRY!G464</f>
        <v/>
      </c>
      <c r="N470" s="98" t="str">
        <f t="shared" si="3"/>
        <v/>
      </c>
      <c r="O470" s="99">
        <f t="shared" si="4"/>
        <v>0</v>
      </c>
      <c r="P470" s="99">
        <f t="shared" si="5"/>
        <v>0</v>
      </c>
      <c r="Q470" s="99">
        <f t="shared" si="6"/>
        <v>0</v>
      </c>
      <c r="R470" s="99">
        <f t="shared" si="7"/>
        <v>0</v>
      </c>
      <c r="S470" s="100" t="str">
        <f t="shared" ref="S470:V470" si="470">IFERROR(O470-Y470,"")
</f>
        <v/>
      </c>
      <c r="T470" s="100">
        <f t="shared" si="470"/>
        <v>0</v>
      </c>
      <c r="U470" s="100">
        <f t="shared" si="470"/>
        <v>0</v>
      </c>
      <c r="V470" s="100">
        <f t="shared" si="470"/>
        <v>0</v>
      </c>
      <c r="W470" s="88" t="str">
        <f t="shared" si="9"/>
        <v/>
      </c>
      <c r="X470" s="89">
        <f>S470/D470</f>
        <v>0</v>
      </c>
      <c r="Y470" s="90" t="str">
        <f t="shared" si="10"/>
        <v>ERR</v>
      </c>
      <c r="Z470" s="90">
        <f>IF(H470=0,0,CAPITAL!$H$5*Y470)
</f>
        <v>0</v>
      </c>
      <c r="AA470" s="90">
        <f>IF(I470=0,0,CAPITAL!$H$6*Y470)
</f>
        <v>0</v>
      </c>
      <c r="AB470" s="90">
        <f>IF(J470=0,0,CAPITAL!$H$7*Y470)
</f>
        <v>0</v>
      </c>
      <c r="AC470" s="90"/>
    </row>
    <row r="471">
      <c r="A471" s="104"/>
      <c r="B471" s="101">
        <v>466.0</v>
      </c>
      <c r="C471" s="79" t="str">
        <f>ENTRY!B465</f>
        <v>SILVERBEES</v>
      </c>
      <c r="D471" s="80">
        <f>CAPITAL!$C$2</f>
        <v>3350000</v>
      </c>
      <c r="E471" s="81" t="str">
        <f>ENTRY!C465</f>
        <v/>
      </c>
      <c r="F471" s="82" t="str">
        <f>ENTRY!D465</f>
        <v/>
      </c>
      <c r="G471" s="83" t="str">
        <f>ENTRY!E465</f>
        <v/>
      </c>
      <c r="H471" s="84">
        <f>G471*ENTRY!$O465</f>
        <v>0</v>
      </c>
      <c r="I471" s="84">
        <f>G471*ENTRY!$P465</f>
        <v>0</v>
      </c>
      <c r="J471" s="84">
        <f>G471*ENTRY!$Q465</f>
        <v>0</v>
      </c>
      <c r="K471" s="82">
        <f t="shared" si="2"/>
        <v>0</v>
      </c>
      <c r="L471" s="82" t="str">
        <f>ENTRY!F465</f>
        <v/>
      </c>
      <c r="M471" s="81" t="str">
        <f>ENTRY!G465</f>
        <v/>
      </c>
      <c r="N471" s="85" t="str">
        <f t="shared" si="3"/>
        <v/>
      </c>
      <c r="O471" s="86">
        <f t="shared" si="4"/>
        <v>0</v>
      </c>
      <c r="P471" s="86">
        <f t="shared" si="5"/>
        <v>0</v>
      </c>
      <c r="Q471" s="86">
        <f t="shared" si="6"/>
        <v>0</v>
      </c>
      <c r="R471" s="86">
        <f t="shared" si="7"/>
        <v>0</v>
      </c>
      <c r="S471" s="87" t="str">
        <f t="shared" ref="S471:V471" si="471">IFERROR(O471-Y471,"")
</f>
        <v/>
      </c>
      <c r="T471" s="87">
        <f t="shared" si="471"/>
        <v>0</v>
      </c>
      <c r="U471" s="87">
        <f t="shared" si="471"/>
        <v>0</v>
      </c>
      <c r="V471" s="87">
        <f t="shared" si="471"/>
        <v>0</v>
      </c>
      <c r="W471" s="88" t="str">
        <f t="shared" si="9"/>
        <v/>
      </c>
      <c r="X471" s="89">
        <f>IFERROR(S471/D471,"")</f>
        <v>0</v>
      </c>
      <c r="Y471" s="90" t="str">
        <f t="shared" si="10"/>
        <v>ERR</v>
      </c>
      <c r="Z471" s="90">
        <f>IF(H471=0,0,CAPITAL!$H$5*Y471)
</f>
        <v>0</v>
      </c>
      <c r="AA471" s="90">
        <f>IF(I471=0,0,CAPITAL!$H$6*Y471)
</f>
        <v>0</v>
      </c>
      <c r="AB471" s="90">
        <f>IF(J471=0,0,CAPITAL!$H$7*Y471)
</f>
        <v>0</v>
      </c>
      <c r="AC471" s="90"/>
    </row>
    <row r="472">
      <c r="A472" s="104"/>
      <c r="B472" s="101">
        <v>467.0</v>
      </c>
      <c r="C472" s="18" t="str">
        <f>ENTRY!B466</f>
        <v>SILVERBEES</v>
      </c>
      <c r="D472" s="93">
        <f>CAPITAL!$C$2</f>
        <v>3350000</v>
      </c>
      <c r="E472" s="94" t="str">
        <f>ENTRY!C466</f>
        <v/>
      </c>
      <c r="F472" s="95" t="str">
        <f>ENTRY!D466</f>
        <v/>
      </c>
      <c r="G472" s="96" t="str">
        <f>ENTRY!E466</f>
        <v/>
      </c>
      <c r="H472" s="97">
        <f>G472*ENTRY!$O466</f>
        <v>0</v>
      </c>
      <c r="I472" s="97">
        <f>G472*ENTRY!$P466</f>
        <v>0</v>
      </c>
      <c r="J472" s="97">
        <f>G472*ENTRY!$Q466</f>
        <v>0</v>
      </c>
      <c r="K472" s="95">
        <f t="shared" si="2"/>
        <v>0</v>
      </c>
      <c r="L472" s="95" t="str">
        <f>ENTRY!F466</f>
        <v/>
      </c>
      <c r="M472" s="94" t="str">
        <f>ENTRY!G466</f>
        <v/>
      </c>
      <c r="N472" s="98" t="str">
        <f t="shared" si="3"/>
        <v/>
      </c>
      <c r="O472" s="99">
        <f t="shared" si="4"/>
        <v>0</v>
      </c>
      <c r="P472" s="99">
        <f t="shared" si="5"/>
        <v>0</v>
      </c>
      <c r="Q472" s="99">
        <f t="shared" si="6"/>
        <v>0</v>
      </c>
      <c r="R472" s="99">
        <f t="shared" si="7"/>
        <v>0</v>
      </c>
      <c r="S472" s="100" t="str">
        <f t="shared" ref="S472:V472" si="472">IFERROR(O472-Y472,"")
</f>
        <v/>
      </c>
      <c r="T472" s="100">
        <f t="shared" si="472"/>
        <v>0</v>
      </c>
      <c r="U472" s="100">
        <f t="shared" si="472"/>
        <v>0</v>
      </c>
      <c r="V472" s="100">
        <f t="shared" si="472"/>
        <v>0</v>
      </c>
      <c r="W472" s="88" t="str">
        <f t="shared" si="9"/>
        <v/>
      </c>
      <c r="X472" s="89">
        <f>S472/D472</f>
        <v>0</v>
      </c>
      <c r="Y472" s="90" t="str">
        <f t="shared" si="10"/>
        <v>ERR</v>
      </c>
      <c r="Z472" s="90">
        <f>IF(H472=0,0,CAPITAL!$H$5*Y472)
</f>
        <v>0</v>
      </c>
      <c r="AA472" s="90">
        <f>IF(I472=0,0,CAPITAL!$H$6*Y472)
</f>
        <v>0</v>
      </c>
      <c r="AB472" s="90">
        <f>IF(J472=0,0,CAPITAL!$H$7*Y472)
</f>
        <v>0</v>
      </c>
      <c r="AC472" s="90"/>
    </row>
    <row r="473">
      <c r="A473" s="104"/>
      <c r="B473" s="101">
        <v>468.0</v>
      </c>
      <c r="C473" s="79" t="str">
        <f>ENTRY!B467</f>
        <v>SILVERBEES</v>
      </c>
      <c r="D473" s="80">
        <f>CAPITAL!$C$2</f>
        <v>3350000</v>
      </c>
      <c r="E473" s="81" t="str">
        <f>ENTRY!C467</f>
        <v/>
      </c>
      <c r="F473" s="82" t="str">
        <f>ENTRY!D467</f>
        <v/>
      </c>
      <c r="G473" s="83" t="str">
        <f>ENTRY!E467</f>
        <v/>
      </c>
      <c r="H473" s="84">
        <f>G473*ENTRY!$O467</f>
        <v>0</v>
      </c>
      <c r="I473" s="84">
        <f>G473*ENTRY!$P467</f>
        <v>0</v>
      </c>
      <c r="J473" s="84">
        <f>G473*ENTRY!$Q467</f>
        <v>0</v>
      </c>
      <c r="K473" s="82">
        <f t="shared" si="2"/>
        <v>0</v>
      </c>
      <c r="L473" s="82" t="str">
        <f>ENTRY!F467</f>
        <v/>
      </c>
      <c r="M473" s="81" t="str">
        <f>ENTRY!G467</f>
        <v/>
      </c>
      <c r="N473" s="85" t="str">
        <f t="shared" si="3"/>
        <v/>
      </c>
      <c r="O473" s="86">
        <f t="shared" si="4"/>
        <v>0</v>
      </c>
      <c r="P473" s="86">
        <f t="shared" si="5"/>
        <v>0</v>
      </c>
      <c r="Q473" s="86">
        <f t="shared" si="6"/>
        <v>0</v>
      </c>
      <c r="R473" s="86">
        <f t="shared" si="7"/>
        <v>0</v>
      </c>
      <c r="S473" s="87" t="str">
        <f t="shared" ref="S473:V473" si="473">IFERROR(O473-Y473,"")
</f>
        <v/>
      </c>
      <c r="T473" s="87">
        <f t="shared" si="473"/>
        <v>0</v>
      </c>
      <c r="U473" s="87">
        <f t="shared" si="473"/>
        <v>0</v>
      </c>
      <c r="V473" s="87">
        <f t="shared" si="473"/>
        <v>0</v>
      </c>
      <c r="W473" s="88" t="str">
        <f t="shared" si="9"/>
        <v/>
      </c>
      <c r="X473" s="89">
        <f>IFERROR(S473/D473,"")</f>
        <v>0</v>
      </c>
      <c r="Y473" s="90" t="str">
        <f t="shared" si="10"/>
        <v>ERR</v>
      </c>
      <c r="Z473" s="90">
        <f>IF(H473=0,0,CAPITAL!$H$5*Y473)
</f>
        <v>0</v>
      </c>
      <c r="AA473" s="90">
        <f>IF(I473=0,0,CAPITAL!$H$6*Y473)
</f>
        <v>0</v>
      </c>
      <c r="AB473" s="90">
        <f>IF(J473=0,0,CAPITAL!$H$7*Y473)
</f>
        <v>0</v>
      </c>
      <c r="AC473" s="90"/>
    </row>
    <row r="474">
      <c r="A474" s="104"/>
      <c r="B474" s="101">
        <v>469.0</v>
      </c>
      <c r="C474" s="18" t="str">
        <f>ENTRY!B468</f>
        <v>SILVERBEES</v>
      </c>
      <c r="D474" s="93">
        <f>CAPITAL!$C$2</f>
        <v>3350000</v>
      </c>
      <c r="E474" s="94" t="str">
        <f>ENTRY!C468</f>
        <v/>
      </c>
      <c r="F474" s="95" t="str">
        <f>ENTRY!D468</f>
        <v/>
      </c>
      <c r="G474" s="96" t="str">
        <f>ENTRY!E468</f>
        <v/>
      </c>
      <c r="H474" s="97">
        <f>G474*ENTRY!$O468</f>
        <v>0</v>
      </c>
      <c r="I474" s="97">
        <f>G474*ENTRY!$P468</f>
        <v>0</v>
      </c>
      <c r="J474" s="97">
        <f>G474*ENTRY!$Q468</f>
        <v>0</v>
      </c>
      <c r="K474" s="95">
        <f t="shared" si="2"/>
        <v>0</v>
      </c>
      <c r="L474" s="95" t="str">
        <f>ENTRY!F468</f>
        <v/>
      </c>
      <c r="M474" s="94" t="str">
        <f>ENTRY!G468</f>
        <v/>
      </c>
      <c r="N474" s="98" t="str">
        <f t="shared" si="3"/>
        <v/>
      </c>
      <c r="O474" s="99">
        <f t="shared" si="4"/>
        <v>0</v>
      </c>
      <c r="P474" s="99">
        <f t="shared" si="5"/>
        <v>0</v>
      </c>
      <c r="Q474" s="99">
        <f t="shared" si="6"/>
        <v>0</v>
      </c>
      <c r="R474" s="99">
        <f t="shared" si="7"/>
        <v>0</v>
      </c>
      <c r="S474" s="100" t="str">
        <f t="shared" ref="S474:V474" si="474">IFERROR(O474-Y474,"")
</f>
        <v/>
      </c>
      <c r="T474" s="100">
        <f t="shared" si="474"/>
        <v>0</v>
      </c>
      <c r="U474" s="100">
        <f t="shared" si="474"/>
        <v>0</v>
      </c>
      <c r="V474" s="100">
        <f t="shared" si="474"/>
        <v>0</v>
      </c>
      <c r="W474" s="88" t="str">
        <f t="shared" si="9"/>
        <v/>
      </c>
      <c r="X474" s="89">
        <f>S474/D474</f>
        <v>0</v>
      </c>
      <c r="Y474" s="90" t="str">
        <f t="shared" si="10"/>
        <v>ERR</v>
      </c>
      <c r="Z474" s="90">
        <f>IF(H474=0,0,CAPITAL!$H$5*Y474)
</f>
        <v>0</v>
      </c>
      <c r="AA474" s="90">
        <f>IF(I474=0,0,CAPITAL!$H$6*Y474)
</f>
        <v>0</v>
      </c>
      <c r="AB474" s="90">
        <f>IF(J474=0,0,CAPITAL!$H$7*Y474)
</f>
        <v>0</v>
      </c>
      <c r="AC474" s="90"/>
    </row>
    <row r="475">
      <c r="A475" s="104"/>
      <c r="B475" s="101">
        <v>470.0</v>
      </c>
      <c r="C475" s="79" t="str">
        <f>ENTRY!B469</f>
        <v>SILVERBEES</v>
      </c>
      <c r="D475" s="80">
        <f>CAPITAL!$C$2</f>
        <v>3350000</v>
      </c>
      <c r="E475" s="81" t="str">
        <f>ENTRY!C469</f>
        <v/>
      </c>
      <c r="F475" s="82" t="str">
        <f>ENTRY!D469</f>
        <v/>
      </c>
      <c r="G475" s="83" t="str">
        <f>ENTRY!E469</f>
        <v/>
      </c>
      <c r="H475" s="84">
        <f>G475*ENTRY!$O469</f>
        <v>0</v>
      </c>
      <c r="I475" s="84">
        <f>G475*ENTRY!$P469</f>
        <v>0</v>
      </c>
      <c r="J475" s="84">
        <f>G475*ENTRY!$Q469</f>
        <v>0</v>
      </c>
      <c r="K475" s="82">
        <f t="shared" si="2"/>
        <v>0</v>
      </c>
      <c r="L475" s="82" t="str">
        <f>ENTRY!F469</f>
        <v/>
      </c>
      <c r="M475" s="81" t="str">
        <f>ENTRY!G469</f>
        <v/>
      </c>
      <c r="N475" s="85" t="str">
        <f t="shared" si="3"/>
        <v/>
      </c>
      <c r="O475" s="86">
        <f t="shared" si="4"/>
        <v>0</v>
      </c>
      <c r="P475" s="86">
        <f t="shared" si="5"/>
        <v>0</v>
      </c>
      <c r="Q475" s="86">
        <f t="shared" si="6"/>
        <v>0</v>
      </c>
      <c r="R475" s="86">
        <f t="shared" si="7"/>
        <v>0</v>
      </c>
      <c r="S475" s="87" t="str">
        <f t="shared" ref="S475:V475" si="475">IFERROR(O475-Y475,"")
</f>
        <v/>
      </c>
      <c r="T475" s="87">
        <f t="shared" si="475"/>
        <v>0</v>
      </c>
      <c r="U475" s="87">
        <f t="shared" si="475"/>
        <v>0</v>
      </c>
      <c r="V475" s="87">
        <f t="shared" si="475"/>
        <v>0</v>
      </c>
      <c r="W475" s="88" t="str">
        <f t="shared" si="9"/>
        <v/>
      </c>
      <c r="X475" s="89">
        <f>IFERROR(S475/D475,"")</f>
        <v>0</v>
      </c>
      <c r="Y475" s="90" t="str">
        <f t="shared" si="10"/>
        <v>ERR</v>
      </c>
      <c r="Z475" s="90">
        <f>IF(H475=0,0,CAPITAL!$H$5*Y475)
</f>
        <v>0</v>
      </c>
      <c r="AA475" s="90">
        <f>IF(I475=0,0,CAPITAL!$H$6*Y475)
</f>
        <v>0</v>
      </c>
      <c r="AB475" s="90">
        <f>IF(J475=0,0,CAPITAL!$H$7*Y475)
</f>
        <v>0</v>
      </c>
      <c r="AC475" s="90"/>
    </row>
    <row r="476">
      <c r="A476" s="104"/>
      <c r="B476" s="101">
        <v>471.0</v>
      </c>
      <c r="C476" s="18" t="str">
        <f>ENTRY!B470</f>
        <v>SILVERBEES</v>
      </c>
      <c r="D476" s="93">
        <f>CAPITAL!$C$2</f>
        <v>3350000</v>
      </c>
      <c r="E476" s="94" t="str">
        <f>ENTRY!C470</f>
        <v/>
      </c>
      <c r="F476" s="95" t="str">
        <f>ENTRY!D470</f>
        <v/>
      </c>
      <c r="G476" s="96" t="str">
        <f>ENTRY!E470</f>
        <v/>
      </c>
      <c r="H476" s="97">
        <f>G476*ENTRY!$O470</f>
        <v>0</v>
      </c>
      <c r="I476" s="97">
        <f>G476*ENTRY!$P470</f>
        <v>0</v>
      </c>
      <c r="J476" s="97">
        <f>G476*ENTRY!$Q470</f>
        <v>0</v>
      </c>
      <c r="K476" s="95">
        <f t="shared" si="2"/>
        <v>0</v>
      </c>
      <c r="L476" s="95" t="str">
        <f>ENTRY!F470</f>
        <v/>
      </c>
      <c r="M476" s="94" t="str">
        <f>ENTRY!G470</f>
        <v/>
      </c>
      <c r="N476" s="98" t="str">
        <f t="shared" si="3"/>
        <v/>
      </c>
      <c r="O476" s="99">
        <f t="shared" si="4"/>
        <v>0</v>
      </c>
      <c r="P476" s="99">
        <f t="shared" si="5"/>
        <v>0</v>
      </c>
      <c r="Q476" s="99">
        <f t="shared" si="6"/>
        <v>0</v>
      </c>
      <c r="R476" s="99">
        <f t="shared" si="7"/>
        <v>0</v>
      </c>
      <c r="S476" s="100" t="str">
        <f t="shared" ref="S476:V476" si="476">IFERROR(O476-Y476,"")
</f>
        <v/>
      </c>
      <c r="T476" s="100">
        <f t="shared" si="476"/>
        <v>0</v>
      </c>
      <c r="U476" s="100">
        <f t="shared" si="476"/>
        <v>0</v>
      </c>
      <c r="V476" s="100">
        <f t="shared" si="476"/>
        <v>0</v>
      </c>
      <c r="W476" s="88" t="str">
        <f t="shared" si="9"/>
        <v/>
      </c>
      <c r="X476" s="89">
        <f>S476/D476</f>
        <v>0</v>
      </c>
      <c r="Y476" s="90" t="str">
        <f t="shared" si="10"/>
        <v>ERR</v>
      </c>
      <c r="Z476" s="90">
        <f>IF(H476=0,0,CAPITAL!$H$5*Y476)
</f>
        <v>0</v>
      </c>
      <c r="AA476" s="90">
        <f>IF(I476=0,0,CAPITAL!$H$6*Y476)
</f>
        <v>0</v>
      </c>
      <c r="AB476" s="90">
        <f>IF(J476=0,0,CAPITAL!$H$7*Y476)
</f>
        <v>0</v>
      </c>
      <c r="AC476" s="90"/>
    </row>
    <row r="477">
      <c r="A477" s="104"/>
      <c r="B477" s="101">
        <v>472.0</v>
      </c>
      <c r="C477" s="79" t="str">
        <f>ENTRY!B471</f>
        <v>SILVERBEES</v>
      </c>
      <c r="D477" s="80">
        <f>CAPITAL!$C$2</f>
        <v>3350000</v>
      </c>
      <c r="E477" s="81" t="str">
        <f>ENTRY!C471</f>
        <v/>
      </c>
      <c r="F477" s="82" t="str">
        <f>ENTRY!D471</f>
        <v/>
      </c>
      <c r="G477" s="83" t="str">
        <f>ENTRY!E471</f>
        <v/>
      </c>
      <c r="H477" s="84">
        <f>G477*ENTRY!$O471</f>
        <v>0</v>
      </c>
      <c r="I477" s="84">
        <f>G477*ENTRY!$P471</f>
        <v>0</v>
      </c>
      <c r="J477" s="84">
        <f>G477*ENTRY!$Q471</f>
        <v>0</v>
      </c>
      <c r="K477" s="82">
        <f t="shared" si="2"/>
        <v>0</v>
      </c>
      <c r="L477" s="82" t="str">
        <f>ENTRY!F471</f>
        <v/>
      </c>
      <c r="M477" s="81" t="str">
        <f>ENTRY!G471</f>
        <v/>
      </c>
      <c r="N477" s="85" t="str">
        <f t="shared" si="3"/>
        <v/>
      </c>
      <c r="O477" s="86">
        <f t="shared" si="4"/>
        <v>0</v>
      </c>
      <c r="P477" s="86">
        <f t="shared" si="5"/>
        <v>0</v>
      </c>
      <c r="Q477" s="86">
        <f t="shared" si="6"/>
        <v>0</v>
      </c>
      <c r="R477" s="86">
        <f t="shared" si="7"/>
        <v>0</v>
      </c>
      <c r="S477" s="87" t="str">
        <f t="shared" ref="S477:V477" si="477">IFERROR(O477-Y477,"")
</f>
        <v/>
      </c>
      <c r="T477" s="87">
        <f t="shared" si="477"/>
        <v>0</v>
      </c>
      <c r="U477" s="87">
        <f t="shared" si="477"/>
        <v>0</v>
      </c>
      <c r="V477" s="87">
        <f t="shared" si="477"/>
        <v>0</v>
      </c>
      <c r="W477" s="88" t="str">
        <f t="shared" si="9"/>
        <v/>
      </c>
      <c r="X477" s="89">
        <f>IFERROR(S477/D477,"")</f>
        <v>0</v>
      </c>
      <c r="Y477" s="90" t="str">
        <f t="shared" si="10"/>
        <v>ERR</v>
      </c>
      <c r="Z477" s="90">
        <f>IF(H477=0,0,CAPITAL!$H$5*Y477)
</f>
        <v>0</v>
      </c>
      <c r="AA477" s="90">
        <f>IF(I477=0,0,CAPITAL!$H$6*Y477)
</f>
        <v>0</v>
      </c>
      <c r="AB477" s="90">
        <f>IF(J477=0,0,CAPITAL!$H$7*Y477)
</f>
        <v>0</v>
      </c>
      <c r="AC477" s="90"/>
    </row>
    <row r="478">
      <c r="A478" s="104"/>
      <c r="B478" s="101">
        <v>473.0</v>
      </c>
      <c r="C478" s="18" t="str">
        <f>ENTRY!B472</f>
        <v>SILVERBEES</v>
      </c>
      <c r="D478" s="93">
        <f>CAPITAL!$C$2</f>
        <v>3350000</v>
      </c>
      <c r="E478" s="94" t="str">
        <f>ENTRY!C472</f>
        <v/>
      </c>
      <c r="F478" s="95" t="str">
        <f>ENTRY!D472</f>
        <v/>
      </c>
      <c r="G478" s="96" t="str">
        <f>ENTRY!E472</f>
        <v/>
      </c>
      <c r="H478" s="97">
        <f>G478*ENTRY!$O472</f>
        <v>0</v>
      </c>
      <c r="I478" s="97">
        <f>G478*ENTRY!$P472</f>
        <v>0</v>
      </c>
      <c r="J478" s="97">
        <f>G478*ENTRY!$Q472</f>
        <v>0</v>
      </c>
      <c r="K478" s="95">
        <f t="shared" si="2"/>
        <v>0</v>
      </c>
      <c r="L478" s="95" t="str">
        <f>ENTRY!F472</f>
        <v/>
      </c>
      <c r="M478" s="94" t="str">
        <f>ENTRY!G472</f>
        <v/>
      </c>
      <c r="N478" s="98" t="str">
        <f t="shared" si="3"/>
        <v/>
      </c>
      <c r="O478" s="99">
        <f t="shared" si="4"/>
        <v>0</v>
      </c>
      <c r="P478" s="99">
        <f t="shared" si="5"/>
        <v>0</v>
      </c>
      <c r="Q478" s="99">
        <f t="shared" si="6"/>
        <v>0</v>
      </c>
      <c r="R478" s="99">
        <f t="shared" si="7"/>
        <v>0</v>
      </c>
      <c r="S478" s="100" t="str">
        <f t="shared" ref="S478:V478" si="478">IFERROR(O478-Y478,"")
</f>
        <v/>
      </c>
      <c r="T478" s="100">
        <f t="shared" si="478"/>
        <v>0</v>
      </c>
      <c r="U478" s="100">
        <f t="shared" si="478"/>
        <v>0</v>
      </c>
      <c r="V478" s="100">
        <f t="shared" si="478"/>
        <v>0</v>
      </c>
      <c r="W478" s="88" t="str">
        <f t="shared" si="9"/>
        <v/>
      </c>
      <c r="X478" s="89">
        <f>S478/D478</f>
        <v>0</v>
      </c>
      <c r="Y478" s="90" t="str">
        <f t="shared" si="10"/>
        <v>ERR</v>
      </c>
      <c r="Z478" s="90">
        <f>IF(H478=0,0,CAPITAL!$H$5*Y478)
</f>
        <v>0</v>
      </c>
      <c r="AA478" s="90">
        <f>IF(I478=0,0,CAPITAL!$H$6*Y478)
</f>
        <v>0</v>
      </c>
      <c r="AB478" s="90">
        <f>IF(J478=0,0,CAPITAL!$H$7*Y478)
</f>
        <v>0</v>
      </c>
      <c r="AC478" s="90"/>
    </row>
    <row r="479">
      <c r="A479" s="104"/>
      <c r="B479" s="101">
        <v>474.0</v>
      </c>
      <c r="C479" s="79" t="str">
        <f>ENTRY!B473</f>
        <v>SILVERBEES</v>
      </c>
      <c r="D479" s="80">
        <f>CAPITAL!$C$2</f>
        <v>3350000</v>
      </c>
      <c r="E479" s="81" t="str">
        <f>ENTRY!C473</f>
        <v/>
      </c>
      <c r="F479" s="82" t="str">
        <f>ENTRY!D473</f>
        <v/>
      </c>
      <c r="G479" s="83" t="str">
        <f>ENTRY!E473</f>
        <v/>
      </c>
      <c r="H479" s="84">
        <f>G479*ENTRY!$O473</f>
        <v>0</v>
      </c>
      <c r="I479" s="84">
        <f>G479*ENTRY!$P473</f>
        <v>0</v>
      </c>
      <c r="J479" s="84">
        <f>G479*ENTRY!$Q473</f>
        <v>0</v>
      </c>
      <c r="K479" s="82">
        <f t="shared" si="2"/>
        <v>0</v>
      </c>
      <c r="L479" s="82" t="str">
        <f>ENTRY!F473</f>
        <v/>
      </c>
      <c r="M479" s="81" t="str">
        <f>ENTRY!G473</f>
        <v/>
      </c>
      <c r="N479" s="85" t="str">
        <f t="shared" si="3"/>
        <v/>
      </c>
      <c r="O479" s="86">
        <f t="shared" si="4"/>
        <v>0</v>
      </c>
      <c r="P479" s="86">
        <f t="shared" si="5"/>
        <v>0</v>
      </c>
      <c r="Q479" s="86">
        <f t="shared" si="6"/>
        <v>0</v>
      </c>
      <c r="R479" s="86">
        <f t="shared" si="7"/>
        <v>0</v>
      </c>
      <c r="S479" s="87" t="str">
        <f t="shared" ref="S479:V479" si="479">IFERROR(O479-Y479,"")
</f>
        <v/>
      </c>
      <c r="T479" s="87">
        <f t="shared" si="479"/>
        <v>0</v>
      </c>
      <c r="U479" s="87">
        <f t="shared" si="479"/>
        <v>0</v>
      </c>
      <c r="V479" s="87">
        <f t="shared" si="479"/>
        <v>0</v>
      </c>
      <c r="W479" s="88" t="str">
        <f t="shared" si="9"/>
        <v/>
      </c>
      <c r="X479" s="89">
        <f>IFERROR(S479/D479,"")</f>
        <v>0</v>
      </c>
      <c r="Y479" s="90" t="str">
        <f t="shared" si="10"/>
        <v>ERR</v>
      </c>
      <c r="Z479" s="90">
        <f>IF(H479=0,0,CAPITAL!$H$5*Y479)
</f>
        <v>0</v>
      </c>
      <c r="AA479" s="90">
        <f>IF(I479=0,0,CAPITAL!$H$6*Y479)
</f>
        <v>0</v>
      </c>
      <c r="AB479" s="90">
        <f>IF(J479=0,0,CAPITAL!$H$7*Y479)
</f>
        <v>0</v>
      </c>
      <c r="AC479" s="90"/>
    </row>
    <row r="480">
      <c r="A480" s="104"/>
      <c r="B480" s="101">
        <v>475.0</v>
      </c>
      <c r="C480" s="18" t="str">
        <f>ENTRY!B474</f>
        <v>SILVERBEES</v>
      </c>
      <c r="D480" s="93">
        <f>CAPITAL!$C$2</f>
        <v>3350000</v>
      </c>
      <c r="E480" s="94" t="str">
        <f>ENTRY!C474</f>
        <v/>
      </c>
      <c r="F480" s="95" t="str">
        <f>ENTRY!D474</f>
        <v/>
      </c>
      <c r="G480" s="96" t="str">
        <f>ENTRY!E474</f>
        <v/>
      </c>
      <c r="H480" s="97">
        <f>G480*ENTRY!$O474</f>
        <v>0</v>
      </c>
      <c r="I480" s="97">
        <f>G480*ENTRY!$P474</f>
        <v>0</v>
      </c>
      <c r="J480" s="97">
        <f>G480*ENTRY!$Q474</f>
        <v>0</v>
      </c>
      <c r="K480" s="95">
        <f t="shared" si="2"/>
        <v>0</v>
      </c>
      <c r="L480" s="95" t="str">
        <f>ENTRY!F474</f>
        <v/>
      </c>
      <c r="M480" s="94" t="str">
        <f>ENTRY!G474</f>
        <v/>
      </c>
      <c r="N480" s="98" t="str">
        <f t="shared" si="3"/>
        <v/>
      </c>
      <c r="O480" s="99">
        <f t="shared" si="4"/>
        <v>0</v>
      </c>
      <c r="P480" s="99">
        <f t="shared" si="5"/>
        <v>0</v>
      </c>
      <c r="Q480" s="99">
        <f t="shared" si="6"/>
        <v>0</v>
      </c>
      <c r="R480" s="99">
        <f t="shared" si="7"/>
        <v>0</v>
      </c>
      <c r="S480" s="100" t="str">
        <f t="shared" ref="S480:V480" si="480">IFERROR(O480-Y480,"")
</f>
        <v/>
      </c>
      <c r="T480" s="100">
        <f t="shared" si="480"/>
        <v>0</v>
      </c>
      <c r="U480" s="100">
        <f t="shared" si="480"/>
        <v>0</v>
      </c>
      <c r="V480" s="100">
        <f t="shared" si="480"/>
        <v>0</v>
      </c>
      <c r="W480" s="88" t="str">
        <f t="shared" si="9"/>
        <v/>
      </c>
      <c r="X480" s="89">
        <f>S480/D480</f>
        <v>0</v>
      </c>
      <c r="Y480" s="90" t="str">
        <f t="shared" si="10"/>
        <v>ERR</v>
      </c>
      <c r="Z480" s="90">
        <f>IF(H480=0,0,CAPITAL!$H$5*Y480)
</f>
        <v>0</v>
      </c>
      <c r="AA480" s="90">
        <f>IF(I480=0,0,CAPITAL!$H$6*Y480)
</f>
        <v>0</v>
      </c>
      <c r="AB480" s="90">
        <f>IF(J480=0,0,CAPITAL!$H$7*Y480)
</f>
        <v>0</v>
      </c>
      <c r="AC480" s="90"/>
    </row>
    <row r="481">
      <c r="A481" s="104"/>
      <c r="B481" s="101">
        <v>476.0</v>
      </c>
      <c r="C481" s="79" t="str">
        <f>ENTRY!B475</f>
        <v>SILVERBEES</v>
      </c>
      <c r="D481" s="80">
        <f>CAPITAL!$C$2</f>
        <v>3350000</v>
      </c>
      <c r="E481" s="81" t="str">
        <f>ENTRY!C475</f>
        <v/>
      </c>
      <c r="F481" s="82" t="str">
        <f>ENTRY!D475</f>
        <v/>
      </c>
      <c r="G481" s="83" t="str">
        <f>ENTRY!E475</f>
        <v/>
      </c>
      <c r="H481" s="84">
        <f>G481*ENTRY!$O475</f>
        <v>0</v>
      </c>
      <c r="I481" s="84">
        <f>G481*ENTRY!$P475</f>
        <v>0</v>
      </c>
      <c r="J481" s="84">
        <f>G481*ENTRY!$Q475</f>
        <v>0</v>
      </c>
      <c r="K481" s="82">
        <f t="shared" si="2"/>
        <v>0</v>
      </c>
      <c r="L481" s="82" t="str">
        <f>ENTRY!F475</f>
        <v/>
      </c>
      <c r="M481" s="81" t="str">
        <f>ENTRY!G475</f>
        <v/>
      </c>
      <c r="N481" s="85" t="str">
        <f t="shared" si="3"/>
        <v/>
      </c>
      <c r="O481" s="86">
        <f t="shared" si="4"/>
        <v>0</v>
      </c>
      <c r="P481" s="86">
        <f t="shared" si="5"/>
        <v>0</v>
      </c>
      <c r="Q481" s="86">
        <f t="shared" si="6"/>
        <v>0</v>
      </c>
      <c r="R481" s="86">
        <f t="shared" si="7"/>
        <v>0</v>
      </c>
      <c r="S481" s="87" t="str">
        <f t="shared" ref="S481:V481" si="481">IFERROR(O481-Y481,"")
</f>
        <v/>
      </c>
      <c r="T481" s="87">
        <f t="shared" si="481"/>
        <v>0</v>
      </c>
      <c r="U481" s="87">
        <f t="shared" si="481"/>
        <v>0</v>
      </c>
      <c r="V481" s="87">
        <f t="shared" si="481"/>
        <v>0</v>
      </c>
      <c r="W481" s="88" t="str">
        <f t="shared" si="9"/>
        <v/>
      </c>
      <c r="X481" s="89">
        <f>IFERROR(S481/D481,"")</f>
        <v>0</v>
      </c>
      <c r="Y481" s="90" t="str">
        <f t="shared" si="10"/>
        <v>ERR</v>
      </c>
      <c r="Z481" s="90">
        <f>IF(H481=0,0,CAPITAL!$H$5*Y481)
</f>
        <v>0</v>
      </c>
      <c r="AA481" s="90">
        <f>IF(I481=0,0,CAPITAL!$H$6*Y481)
</f>
        <v>0</v>
      </c>
      <c r="AB481" s="90">
        <f>IF(J481=0,0,CAPITAL!$H$7*Y481)
</f>
        <v>0</v>
      </c>
      <c r="AC481" s="90"/>
    </row>
    <row r="482">
      <c r="A482" s="104"/>
      <c r="B482" s="101">
        <v>477.0</v>
      </c>
      <c r="C482" s="18" t="str">
        <f>ENTRY!B476</f>
        <v>SILVERBEES</v>
      </c>
      <c r="D482" s="93">
        <f>CAPITAL!$C$2</f>
        <v>3350000</v>
      </c>
      <c r="E482" s="94" t="str">
        <f>ENTRY!C476</f>
        <v/>
      </c>
      <c r="F482" s="95" t="str">
        <f>ENTRY!D476</f>
        <v/>
      </c>
      <c r="G482" s="96" t="str">
        <f>ENTRY!E476</f>
        <v/>
      </c>
      <c r="H482" s="97">
        <f>G482*ENTRY!$O476</f>
        <v>0</v>
      </c>
      <c r="I482" s="97">
        <f>G482*ENTRY!$P476</f>
        <v>0</v>
      </c>
      <c r="J482" s="97">
        <f>G482*ENTRY!$Q476</f>
        <v>0</v>
      </c>
      <c r="K482" s="95">
        <f t="shared" si="2"/>
        <v>0</v>
      </c>
      <c r="L482" s="95" t="str">
        <f>ENTRY!F476</f>
        <v/>
      </c>
      <c r="M482" s="94" t="str">
        <f>ENTRY!G476</f>
        <v/>
      </c>
      <c r="N482" s="98" t="str">
        <f t="shared" si="3"/>
        <v/>
      </c>
      <c r="O482" s="99">
        <f t="shared" si="4"/>
        <v>0</v>
      </c>
      <c r="P482" s="99">
        <f t="shared" si="5"/>
        <v>0</v>
      </c>
      <c r="Q482" s="99">
        <f t="shared" si="6"/>
        <v>0</v>
      </c>
      <c r="R482" s="99">
        <f t="shared" si="7"/>
        <v>0</v>
      </c>
      <c r="S482" s="100" t="str">
        <f t="shared" ref="S482:V482" si="482">IFERROR(O482-Y482,"")
</f>
        <v/>
      </c>
      <c r="T482" s="100">
        <f t="shared" si="482"/>
        <v>0</v>
      </c>
      <c r="U482" s="100">
        <f t="shared" si="482"/>
        <v>0</v>
      </c>
      <c r="V482" s="100">
        <f t="shared" si="482"/>
        <v>0</v>
      </c>
      <c r="W482" s="88" t="str">
        <f t="shared" si="9"/>
        <v/>
      </c>
      <c r="X482" s="89">
        <f>S482/D482</f>
        <v>0</v>
      </c>
      <c r="Y482" s="90" t="str">
        <f t="shared" si="10"/>
        <v>ERR</v>
      </c>
      <c r="Z482" s="90">
        <f>IF(H482=0,0,CAPITAL!$H$5*Y482)
</f>
        <v>0</v>
      </c>
      <c r="AA482" s="90">
        <f>IF(I482=0,0,CAPITAL!$H$6*Y482)
</f>
        <v>0</v>
      </c>
      <c r="AB482" s="90">
        <f>IF(J482=0,0,CAPITAL!$H$7*Y482)
</f>
        <v>0</v>
      </c>
      <c r="AC482" s="90"/>
    </row>
    <row r="483">
      <c r="A483" s="104"/>
      <c r="B483" s="101">
        <v>478.0</v>
      </c>
      <c r="C483" s="79" t="str">
        <f>ENTRY!B477</f>
        <v>SILVERBEES</v>
      </c>
      <c r="D483" s="80">
        <f>CAPITAL!$C$2</f>
        <v>3350000</v>
      </c>
      <c r="E483" s="81" t="str">
        <f>ENTRY!C477</f>
        <v/>
      </c>
      <c r="F483" s="82" t="str">
        <f>ENTRY!D477</f>
        <v/>
      </c>
      <c r="G483" s="83" t="str">
        <f>ENTRY!E477</f>
        <v/>
      </c>
      <c r="H483" s="84">
        <f>G483*ENTRY!$O477</f>
        <v>0</v>
      </c>
      <c r="I483" s="84">
        <f>G483*ENTRY!$P477</f>
        <v>0</v>
      </c>
      <c r="J483" s="84">
        <f>G483*ENTRY!$Q477</f>
        <v>0</v>
      </c>
      <c r="K483" s="82">
        <f t="shared" si="2"/>
        <v>0</v>
      </c>
      <c r="L483" s="82" t="str">
        <f>ENTRY!F477</f>
        <v/>
      </c>
      <c r="M483" s="81" t="str">
        <f>ENTRY!G477</f>
        <v/>
      </c>
      <c r="N483" s="85" t="str">
        <f t="shared" si="3"/>
        <v/>
      </c>
      <c r="O483" s="86">
        <f t="shared" si="4"/>
        <v>0</v>
      </c>
      <c r="P483" s="86">
        <f t="shared" si="5"/>
        <v>0</v>
      </c>
      <c r="Q483" s="86">
        <f t="shared" si="6"/>
        <v>0</v>
      </c>
      <c r="R483" s="86">
        <f t="shared" si="7"/>
        <v>0</v>
      </c>
      <c r="S483" s="87" t="str">
        <f t="shared" ref="S483:V483" si="483">IFERROR(O483-Y483,"")
</f>
        <v/>
      </c>
      <c r="T483" s="87">
        <f t="shared" si="483"/>
        <v>0</v>
      </c>
      <c r="U483" s="87">
        <f t="shared" si="483"/>
        <v>0</v>
      </c>
      <c r="V483" s="87">
        <f t="shared" si="483"/>
        <v>0</v>
      </c>
      <c r="W483" s="88" t="str">
        <f t="shared" si="9"/>
        <v/>
      </c>
      <c r="X483" s="89">
        <f>IFERROR(S483/D483,"")</f>
        <v>0</v>
      </c>
      <c r="Y483" s="90" t="str">
        <f t="shared" si="10"/>
        <v>ERR</v>
      </c>
      <c r="Z483" s="90">
        <f>IF(H483=0,0,CAPITAL!$H$5*Y483)
</f>
        <v>0</v>
      </c>
      <c r="AA483" s="90">
        <f>IF(I483=0,0,CAPITAL!$H$6*Y483)
</f>
        <v>0</v>
      </c>
      <c r="AB483" s="90">
        <f>IF(J483=0,0,CAPITAL!$H$7*Y483)
</f>
        <v>0</v>
      </c>
      <c r="AC483" s="90"/>
    </row>
    <row r="484">
      <c r="A484" s="104"/>
      <c r="B484" s="101">
        <v>479.0</v>
      </c>
      <c r="C484" s="18" t="str">
        <f>ENTRY!B478</f>
        <v>SILVERBEES</v>
      </c>
      <c r="D484" s="93">
        <f>CAPITAL!$C$2</f>
        <v>3350000</v>
      </c>
      <c r="E484" s="94" t="str">
        <f>ENTRY!C478</f>
        <v/>
      </c>
      <c r="F484" s="95" t="str">
        <f>ENTRY!D478</f>
        <v/>
      </c>
      <c r="G484" s="96" t="str">
        <f>ENTRY!E478</f>
        <v/>
      </c>
      <c r="H484" s="97">
        <f>G484*ENTRY!$O478</f>
        <v>0</v>
      </c>
      <c r="I484" s="97">
        <f>G484*ENTRY!$P478</f>
        <v>0</v>
      </c>
      <c r="J484" s="97">
        <f>G484*ENTRY!$Q478</f>
        <v>0</v>
      </c>
      <c r="K484" s="95">
        <f t="shared" si="2"/>
        <v>0</v>
      </c>
      <c r="L484" s="95" t="str">
        <f>ENTRY!F478</f>
        <v/>
      </c>
      <c r="M484" s="94" t="str">
        <f>ENTRY!G478</f>
        <v/>
      </c>
      <c r="N484" s="98" t="str">
        <f t="shared" si="3"/>
        <v/>
      </c>
      <c r="O484" s="99">
        <f t="shared" si="4"/>
        <v>0</v>
      </c>
      <c r="P484" s="99">
        <f t="shared" si="5"/>
        <v>0</v>
      </c>
      <c r="Q484" s="99">
        <f t="shared" si="6"/>
        <v>0</v>
      </c>
      <c r="R484" s="99">
        <f t="shared" si="7"/>
        <v>0</v>
      </c>
      <c r="S484" s="100" t="str">
        <f t="shared" ref="S484:V484" si="484">IFERROR(O484-Y484,"")
</f>
        <v/>
      </c>
      <c r="T484" s="100">
        <f t="shared" si="484"/>
        <v>0</v>
      </c>
      <c r="U484" s="100">
        <f t="shared" si="484"/>
        <v>0</v>
      </c>
      <c r="V484" s="100">
        <f t="shared" si="484"/>
        <v>0</v>
      </c>
      <c r="W484" s="88" t="str">
        <f t="shared" si="9"/>
        <v/>
      </c>
      <c r="X484" s="89">
        <f>S484/D484</f>
        <v>0</v>
      </c>
      <c r="Y484" s="90" t="str">
        <f t="shared" si="10"/>
        <v>ERR</v>
      </c>
      <c r="Z484" s="90">
        <f>IF(H484=0,0,CAPITAL!$H$5*Y484)
</f>
        <v>0</v>
      </c>
      <c r="AA484" s="90">
        <f>IF(I484=0,0,CAPITAL!$H$6*Y484)
</f>
        <v>0</v>
      </c>
      <c r="AB484" s="90">
        <f>IF(J484=0,0,CAPITAL!$H$7*Y484)
</f>
        <v>0</v>
      </c>
      <c r="AC484" s="90"/>
    </row>
    <row r="485">
      <c r="A485" s="104"/>
      <c r="B485" s="101">
        <v>480.0</v>
      </c>
      <c r="C485" s="79" t="str">
        <f>ENTRY!B479</f>
        <v>SILVERBEES</v>
      </c>
      <c r="D485" s="80">
        <f>CAPITAL!$C$2</f>
        <v>3350000</v>
      </c>
      <c r="E485" s="81" t="str">
        <f>ENTRY!C479</f>
        <v/>
      </c>
      <c r="F485" s="82" t="str">
        <f>ENTRY!D479</f>
        <v/>
      </c>
      <c r="G485" s="83" t="str">
        <f>ENTRY!E479</f>
        <v/>
      </c>
      <c r="H485" s="84">
        <f>G485*ENTRY!$O479</f>
        <v>0</v>
      </c>
      <c r="I485" s="84">
        <f>G485*ENTRY!$P479</f>
        <v>0</v>
      </c>
      <c r="J485" s="84">
        <f>G485*ENTRY!$Q479</f>
        <v>0</v>
      </c>
      <c r="K485" s="82">
        <f t="shared" si="2"/>
        <v>0</v>
      </c>
      <c r="L485" s="82" t="str">
        <f>ENTRY!F479</f>
        <v/>
      </c>
      <c r="M485" s="81" t="str">
        <f>ENTRY!G479</f>
        <v/>
      </c>
      <c r="N485" s="85" t="str">
        <f t="shared" si="3"/>
        <v/>
      </c>
      <c r="O485" s="86">
        <f t="shared" si="4"/>
        <v>0</v>
      </c>
      <c r="P485" s="86">
        <f t="shared" si="5"/>
        <v>0</v>
      </c>
      <c r="Q485" s="86">
        <f t="shared" si="6"/>
        <v>0</v>
      </c>
      <c r="R485" s="86">
        <f t="shared" si="7"/>
        <v>0</v>
      </c>
      <c r="S485" s="87" t="str">
        <f t="shared" ref="S485:V485" si="485">IFERROR(O485-Y485,"")
</f>
        <v/>
      </c>
      <c r="T485" s="87">
        <f t="shared" si="485"/>
        <v>0</v>
      </c>
      <c r="U485" s="87">
        <f t="shared" si="485"/>
        <v>0</v>
      </c>
      <c r="V485" s="87">
        <f t="shared" si="485"/>
        <v>0</v>
      </c>
      <c r="W485" s="88" t="str">
        <f t="shared" si="9"/>
        <v/>
      </c>
      <c r="X485" s="89">
        <f>IFERROR(S485/D485,"")</f>
        <v>0</v>
      </c>
      <c r="Y485" s="90" t="str">
        <f t="shared" si="10"/>
        <v>ERR</v>
      </c>
      <c r="Z485" s="90">
        <f>IF(H485=0,0,CAPITAL!$H$5*Y485)
</f>
        <v>0</v>
      </c>
      <c r="AA485" s="90">
        <f>IF(I485=0,0,CAPITAL!$H$6*Y485)
</f>
        <v>0</v>
      </c>
      <c r="AB485" s="90">
        <f>IF(J485=0,0,CAPITAL!$H$7*Y485)
</f>
        <v>0</v>
      </c>
      <c r="AC485" s="90"/>
    </row>
    <row r="486">
      <c r="A486" s="104"/>
      <c r="B486" s="101">
        <v>481.0</v>
      </c>
      <c r="C486" s="18" t="str">
        <f>ENTRY!B480</f>
        <v>SILVERBEES</v>
      </c>
      <c r="D486" s="93">
        <f>CAPITAL!$C$2</f>
        <v>3350000</v>
      </c>
      <c r="E486" s="94" t="str">
        <f>ENTRY!C480</f>
        <v/>
      </c>
      <c r="F486" s="95" t="str">
        <f>ENTRY!D480</f>
        <v/>
      </c>
      <c r="G486" s="96" t="str">
        <f>ENTRY!E480</f>
        <v/>
      </c>
      <c r="H486" s="97">
        <f>G486*ENTRY!$O480</f>
        <v>0</v>
      </c>
      <c r="I486" s="97">
        <f>G486*ENTRY!$P480</f>
        <v>0</v>
      </c>
      <c r="J486" s="97">
        <f>G486*ENTRY!$Q480</f>
        <v>0</v>
      </c>
      <c r="K486" s="95">
        <f t="shared" si="2"/>
        <v>0</v>
      </c>
      <c r="L486" s="95" t="str">
        <f>ENTRY!F480</f>
        <v/>
      </c>
      <c r="M486" s="94" t="str">
        <f>ENTRY!G480</f>
        <v/>
      </c>
      <c r="N486" s="98" t="str">
        <f t="shared" si="3"/>
        <v/>
      </c>
      <c r="O486" s="99">
        <f t="shared" si="4"/>
        <v>0</v>
      </c>
      <c r="P486" s="99">
        <f t="shared" si="5"/>
        <v>0</v>
      </c>
      <c r="Q486" s="99">
        <f t="shared" si="6"/>
        <v>0</v>
      </c>
      <c r="R486" s="99">
        <f t="shared" si="7"/>
        <v>0</v>
      </c>
      <c r="S486" s="100" t="str">
        <f t="shared" ref="S486:V486" si="486">IFERROR(O486-Y486,"")
</f>
        <v/>
      </c>
      <c r="T486" s="100">
        <f t="shared" si="486"/>
        <v>0</v>
      </c>
      <c r="U486" s="100">
        <f t="shared" si="486"/>
        <v>0</v>
      </c>
      <c r="V486" s="100">
        <f t="shared" si="486"/>
        <v>0</v>
      </c>
      <c r="W486" s="88" t="str">
        <f t="shared" si="9"/>
        <v/>
      </c>
      <c r="X486" s="89">
        <f>S486/D486</f>
        <v>0</v>
      </c>
      <c r="Y486" s="90" t="str">
        <f t="shared" si="10"/>
        <v>ERR</v>
      </c>
      <c r="Z486" s="90">
        <f>IF(H486=0,0,CAPITAL!$H$5*Y486)
</f>
        <v>0</v>
      </c>
      <c r="AA486" s="90">
        <f>IF(I486=0,0,CAPITAL!$H$6*Y486)
</f>
        <v>0</v>
      </c>
      <c r="AB486" s="90">
        <f>IF(J486=0,0,CAPITAL!$H$7*Y486)
</f>
        <v>0</v>
      </c>
      <c r="AC486" s="90"/>
    </row>
    <row r="487">
      <c r="A487" s="104"/>
      <c r="B487" s="101">
        <v>482.0</v>
      </c>
      <c r="C487" s="79" t="str">
        <f>ENTRY!B481</f>
        <v>SILVERBEES</v>
      </c>
      <c r="D487" s="80">
        <f>CAPITAL!$C$2</f>
        <v>3350000</v>
      </c>
      <c r="E487" s="81" t="str">
        <f>ENTRY!C481</f>
        <v/>
      </c>
      <c r="F487" s="82" t="str">
        <f>ENTRY!D481</f>
        <v/>
      </c>
      <c r="G487" s="83" t="str">
        <f>ENTRY!E481</f>
        <v/>
      </c>
      <c r="H487" s="84">
        <f>G487*ENTRY!$O481</f>
        <v>0</v>
      </c>
      <c r="I487" s="84">
        <f>G487*ENTRY!$P481</f>
        <v>0</v>
      </c>
      <c r="J487" s="84">
        <f>G487*ENTRY!$Q481</f>
        <v>0</v>
      </c>
      <c r="K487" s="82">
        <f t="shared" si="2"/>
        <v>0</v>
      </c>
      <c r="L487" s="82" t="str">
        <f>ENTRY!F481</f>
        <v/>
      </c>
      <c r="M487" s="81" t="str">
        <f>ENTRY!G481</f>
        <v/>
      </c>
      <c r="N487" s="85" t="str">
        <f t="shared" si="3"/>
        <v/>
      </c>
      <c r="O487" s="86">
        <f t="shared" si="4"/>
        <v>0</v>
      </c>
      <c r="P487" s="86">
        <f t="shared" si="5"/>
        <v>0</v>
      </c>
      <c r="Q487" s="86">
        <f t="shared" si="6"/>
        <v>0</v>
      </c>
      <c r="R487" s="86">
        <f t="shared" si="7"/>
        <v>0</v>
      </c>
      <c r="S487" s="87" t="str">
        <f t="shared" ref="S487:V487" si="487">IFERROR(O487-Y487,"")
</f>
        <v/>
      </c>
      <c r="T487" s="87">
        <f t="shared" si="487"/>
        <v>0</v>
      </c>
      <c r="U487" s="87">
        <f t="shared" si="487"/>
        <v>0</v>
      </c>
      <c r="V487" s="87">
        <f t="shared" si="487"/>
        <v>0</v>
      </c>
      <c r="W487" s="88" t="str">
        <f t="shared" si="9"/>
        <v/>
      </c>
      <c r="X487" s="89">
        <f>IFERROR(S487/D487,"")</f>
        <v>0</v>
      </c>
      <c r="Y487" s="90" t="str">
        <f t="shared" si="10"/>
        <v>ERR</v>
      </c>
      <c r="Z487" s="90">
        <f>IF(H487=0,0,CAPITAL!$H$5*Y487)
</f>
        <v>0</v>
      </c>
      <c r="AA487" s="90">
        <f>IF(I487=0,0,CAPITAL!$H$6*Y487)
</f>
        <v>0</v>
      </c>
      <c r="AB487" s="90">
        <f>IF(J487=0,0,CAPITAL!$H$7*Y487)
</f>
        <v>0</v>
      </c>
      <c r="AC487" s="90"/>
    </row>
    <row r="488">
      <c r="A488" s="104"/>
      <c r="B488" s="101">
        <v>483.0</v>
      </c>
      <c r="C488" s="18" t="str">
        <f>ENTRY!B482</f>
        <v>SILVERBEES</v>
      </c>
      <c r="D488" s="93">
        <f>CAPITAL!$C$2</f>
        <v>3350000</v>
      </c>
      <c r="E488" s="94" t="str">
        <f>ENTRY!C482</f>
        <v/>
      </c>
      <c r="F488" s="95" t="str">
        <f>ENTRY!D482</f>
        <v/>
      </c>
      <c r="G488" s="96" t="str">
        <f>ENTRY!E482</f>
        <v/>
      </c>
      <c r="H488" s="97">
        <f>G488*ENTRY!$O482</f>
        <v>0</v>
      </c>
      <c r="I488" s="97">
        <f>G488*ENTRY!$P482</f>
        <v>0</v>
      </c>
      <c r="J488" s="97">
        <f>G488*ENTRY!$Q482</f>
        <v>0</v>
      </c>
      <c r="K488" s="95">
        <f t="shared" si="2"/>
        <v>0</v>
      </c>
      <c r="L488" s="95" t="str">
        <f>ENTRY!F482</f>
        <v/>
      </c>
      <c r="M488" s="94" t="str">
        <f>ENTRY!G482</f>
        <v/>
      </c>
      <c r="N488" s="98" t="str">
        <f t="shared" si="3"/>
        <v/>
      </c>
      <c r="O488" s="99">
        <f t="shared" si="4"/>
        <v>0</v>
      </c>
      <c r="P488" s="99">
        <f t="shared" si="5"/>
        <v>0</v>
      </c>
      <c r="Q488" s="99">
        <f t="shared" si="6"/>
        <v>0</v>
      </c>
      <c r="R488" s="99">
        <f t="shared" si="7"/>
        <v>0</v>
      </c>
      <c r="S488" s="100" t="str">
        <f t="shared" ref="S488:V488" si="488">IFERROR(O488-Y488,"")
</f>
        <v/>
      </c>
      <c r="T488" s="100">
        <f t="shared" si="488"/>
        <v>0</v>
      </c>
      <c r="U488" s="100">
        <f t="shared" si="488"/>
        <v>0</v>
      </c>
      <c r="V488" s="100">
        <f t="shared" si="488"/>
        <v>0</v>
      </c>
      <c r="W488" s="88" t="str">
        <f t="shared" si="9"/>
        <v/>
      </c>
      <c r="X488" s="89">
        <f>S488/D488</f>
        <v>0</v>
      </c>
      <c r="Y488" s="90" t="str">
        <f t="shared" si="10"/>
        <v>ERR</v>
      </c>
      <c r="Z488" s="90">
        <f>IF(H488=0,0,CAPITAL!$H$5*Y488)
</f>
        <v>0</v>
      </c>
      <c r="AA488" s="90">
        <f>IF(I488=0,0,CAPITAL!$H$6*Y488)
</f>
        <v>0</v>
      </c>
      <c r="AB488" s="90">
        <f>IF(J488=0,0,CAPITAL!$H$7*Y488)
</f>
        <v>0</v>
      </c>
      <c r="AC488" s="90"/>
    </row>
    <row r="489">
      <c r="A489" s="104"/>
      <c r="B489" s="101">
        <v>484.0</v>
      </c>
      <c r="C489" s="79" t="str">
        <f>ENTRY!B483</f>
        <v>SILVERBEES</v>
      </c>
      <c r="D489" s="80">
        <f>CAPITAL!$C$2</f>
        <v>3350000</v>
      </c>
      <c r="E489" s="81" t="str">
        <f>ENTRY!C483</f>
        <v/>
      </c>
      <c r="F489" s="82" t="str">
        <f>ENTRY!D483</f>
        <v/>
      </c>
      <c r="G489" s="83" t="str">
        <f>ENTRY!E483</f>
        <v/>
      </c>
      <c r="H489" s="84">
        <f>G489*ENTRY!$O483</f>
        <v>0</v>
      </c>
      <c r="I489" s="84">
        <f>G489*ENTRY!$P483</f>
        <v>0</v>
      </c>
      <c r="J489" s="84">
        <f>G489*ENTRY!$Q483</f>
        <v>0</v>
      </c>
      <c r="K489" s="82">
        <f t="shared" si="2"/>
        <v>0</v>
      </c>
      <c r="L489" s="82" t="str">
        <f>ENTRY!F483</f>
        <v/>
      </c>
      <c r="M489" s="81" t="str">
        <f>ENTRY!G483</f>
        <v/>
      </c>
      <c r="N489" s="85" t="str">
        <f t="shared" si="3"/>
        <v/>
      </c>
      <c r="O489" s="86">
        <f t="shared" si="4"/>
        <v>0</v>
      </c>
      <c r="P489" s="86">
        <f t="shared" si="5"/>
        <v>0</v>
      </c>
      <c r="Q489" s="86">
        <f t="shared" si="6"/>
        <v>0</v>
      </c>
      <c r="R489" s="86">
        <f t="shared" si="7"/>
        <v>0</v>
      </c>
      <c r="S489" s="87" t="str">
        <f t="shared" ref="S489:V489" si="489">IFERROR(O489-Y489,"")
</f>
        <v/>
      </c>
      <c r="T489" s="87">
        <f t="shared" si="489"/>
        <v>0</v>
      </c>
      <c r="U489" s="87">
        <f t="shared" si="489"/>
        <v>0</v>
      </c>
      <c r="V489" s="87">
        <f t="shared" si="489"/>
        <v>0</v>
      </c>
      <c r="W489" s="88" t="str">
        <f t="shared" si="9"/>
        <v/>
      </c>
      <c r="X489" s="89">
        <f>IFERROR(S489/D489,"")</f>
        <v>0</v>
      </c>
      <c r="Y489" s="90" t="str">
        <f t="shared" si="10"/>
        <v>ERR</v>
      </c>
      <c r="Z489" s="90">
        <f>IF(H489=0,0,CAPITAL!$H$5*Y489)
</f>
        <v>0</v>
      </c>
      <c r="AA489" s="90">
        <f>IF(I489=0,0,CAPITAL!$H$6*Y489)
</f>
        <v>0</v>
      </c>
      <c r="AB489" s="90">
        <f>IF(J489=0,0,CAPITAL!$H$7*Y489)
</f>
        <v>0</v>
      </c>
      <c r="AC489" s="90"/>
    </row>
    <row r="490">
      <c r="A490" s="104"/>
      <c r="B490" s="101">
        <v>485.0</v>
      </c>
      <c r="C490" s="18" t="str">
        <f>ENTRY!B484</f>
        <v>SILVERBEES</v>
      </c>
      <c r="D490" s="93">
        <f>CAPITAL!$C$2</f>
        <v>3350000</v>
      </c>
      <c r="E490" s="94" t="str">
        <f>ENTRY!C484</f>
        <v/>
      </c>
      <c r="F490" s="95" t="str">
        <f>ENTRY!D484</f>
        <v/>
      </c>
      <c r="G490" s="96" t="str">
        <f>ENTRY!E484</f>
        <v/>
      </c>
      <c r="H490" s="97">
        <f>G490*ENTRY!$O484</f>
        <v>0</v>
      </c>
      <c r="I490" s="97">
        <f>G490*ENTRY!$P484</f>
        <v>0</v>
      </c>
      <c r="J490" s="97">
        <f>G490*ENTRY!$Q484</f>
        <v>0</v>
      </c>
      <c r="K490" s="95">
        <f t="shared" si="2"/>
        <v>0</v>
      </c>
      <c r="L490" s="95" t="str">
        <f>ENTRY!F484</f>
        <v/>
      </c>
      <c r="M490" s="94" t="str">
        <f>ENTRY!G484</f>
        <v/>
      </c>
      <c r="N490" s="98" t="str">
        <f t="shared" si="3"/>
        <v/>
      </c>
      <c r="O490" s="99">
        <f t="shared" si="4"/>
        <v>0</v>
      </c>
      <c r="P490" s="99">
        <f t="shared" si="5"/>
        <v>0</v>
      </c>
      <c r="Q490" s="99">
        <f t="shared" si="6"/>
        <v>0</v>
      </c>
      <c r="R490" s="99">
        <f t="shared" si="7"/>
        <v>0</v>
      </c>
      <c r="S490" s="100" t="str">
        <f t="shared" ref="S490:V490" si="490">IFERROR(O490-Y490,"")
</f>
        <v/>
      </c>
      <c r="T490" s="100">
        <f t="shared" si="490"/>
        <v>0</v>
      </c>
      <c r="U490" s="100">
        <f t="shared" si="490"/>
        <v>0</v>
      </c>
      <c r="V490" s="100">
        <f t="shared" si="490"/>
        <v>0</v>
      </c>
      <c r="W490" s="88" t="str">
        <f t="shared" si="9"/>
        <v/>
      </c>
      <c r="X490" s="89">
        <f>S490/D490</f>
        <v>0</v>
      </c>
      <c r="Y490" s="90" t="str">
        <f t="shared" si="10"/>
        <v>ERR</v>
      </c>
      <c r="Z490" s="90">
        <f>IF(H490=0,0,CAPITAL!$H$5*Y490)
</f>
        <v>0</v>
      </c>
      <c r="AA490" s="90">
        <f>IF(I490=0,0,CAPITAL!$H$6*Y490)
</f>
        <v>0</v>
      </c>
      <c r="AB490" s="90">
        <f>IF(J490=0,0,CAPITAL!$H$7*Y490)
</f>
        <v>0</v>
      </c>
      <c r="AC490" s="90"/>
    </row>
    <row r="491">
      <c r="A491" s="104"/>
      <c r="B491" s="101">
        <v>486.0</v>
      </c>
      <c r="C491" s="79" t="str">
        <f>ENTRY!B485</f>
        <v>SILVERBEES</v>
      </c>
      <c r="D491" s="80">
        <f>CAPITAL!$C$2</f>
        <v>3350000</v>
      </c>
      <c r="E491" s="81" t="str">
        <f>ENTRY!C485</f>
        <v/>
      </c>
      <c r="F491" s="82" t="str">
        <f>ENTRY!D485</f>
        <v/>
      </c>
      <c r="G491" s="83" t="str">
        <f>ENTRY!E485</f>
        <v/>
      </c>
      <c r="H491" s="84">
        <f>G491*ENTRY!$O485</f>
        <v>0</v>
      </c>
      <c r="I491" s="84">
        <f>G491*ENTRY!$P485</f>
        <v>0</v>
      </c>
      <c r="J491" s="84">
        <f>G491*ENTRY!$Q485</f>
        <v>0</v>
      </c>
      <c r="K491" s="82">
        <f t="shared" si="2"/>
        <v>0</v>
      </c>
      <c r="L491" s="82" t="str">
        <f>ENTRY!F485</f>
        <v/>
      </c>
      <c r="M491" s="81" t="str">
        <f>ENTRY!G485</f>
        <v/>
      </c>
      <c r="N491" s="85" t="str">
        <f t="shared" si="3"/>
        <v/>
      </c>
      <c r="O491" s="86">
        <f t="shared" si="4"/>
        <v>0</v>
      </c>
      <c r="P491" s="86">
        <f t="shared" si="5"/>
        <v>0</v>
      </c>
      <c r="Q491" s="86">
        <f t="shared" si="6"/>
        <v>0</v>
      </c>
      <c r="R491" s="86">
        <f t="shared" si="7"/>
        <v>0</v>
      </c>
      <c r="S491" s="87" t="str">
        <f t="shared" ref="S491:V491" si="491">IFERROR(O491-Y491,"")
</f>
        <v/>
      </c>
      <c r="T491" s="87">
        <f t="shared" si="491"/>
        <v>0</v>
      </c>
      <c r="U491" s="87">
        <f t="shared" si="491"/>
        <v>0</v>
      </c>
      <c r="V491" s="87">
        <f t="shared" si="491"/>
        <v>0</v>
      </c>
      <c r="W491" s="88" t="str">
        <f t="shared" si="9"/>
        <v/>
      </c>
      <c r="X491" s="89">
        <f>IFERROR(S491/D491,"")</f>
        <v>0</v>
      </c>
      <c r="Y491" s="90" t="str">
        <f t="shared" si="10"/>
        <v>ERR</v>
      </c>
      <c r="Z491" s="90">
        <f>IF(H491=0,0,CAPITAL!$H$5*Y491)
</f>
        <v>0</v>
      </c>
      <c r="AA491" s="90">
        <f>IF(I491=0,0,CAPITAL!$H$6*Y491)
</f>
        <v>0</v>
      </c>
      <c r="AB491" s="90">
        <f>IF(J491=0,0,CAPITAL!$H$7*Y491)
</f>
        <v>0</v>
      </c>
      <c r="AC491" s="90"/>
    </row>
    <row r="492">
      <c r="A492" s="104"/>
      <c r="B492" s="101">
        <v>487.0</v>
      </c>
      <c r="C492" s="18" t="str">
        <f>ENTRY!B486</f>
        <v>SILVERBEES</v>
      </c>
      <c r="D492" s="93">
        <f>CAPITAL!$C$2</f>
        <v>3350000</v>
      </c>
      <c r="E492" s="94" t="str">
        <f>ENTRY!C486</f>
        <v/>
      </c>
      <c r="F492" s="95" t="str">
        <f>ENTRY!D486</f>
        <v/>
      </c>
      <c r="G492" s="96" t="str">
        <f>ENTRY!E486</f>
        <v/>
      </c>
      <c r="H492" s="97">
        <f>G492*ENTRY!$O486</f>
        <v>0</v>
      </c>
      <c r="I492" s="97">
        <f>G492*ENTRY!$P486</f>
        <v>0</v>
      </c>
      <c r="J492" s="97">
        <f>G492*ENTRY!$Q486</f>
        <v>0</v>
      </c>
      <c r="K492" s="95">
        <f t="shared" si="2"/>
        <v>0</v>
      </c>
      <c r="L492" s="95" t="str">
        <f>ENTRY!F486</f>
        <v/>
      </c>
      <c r="M492" s="94" t="str">
        <f>ENTRY!G486</f>
        <v/>
      </c>
      <c r="N492" s="98" t="str">
        <f t="shared" si="3"/>
        <v/>
      </c>
      <c r="O492" s="99">
        <f t="shared" si="4"/>
        <v>0</v>
      </c>
      <c r="P492" s="99">
        <f t="shared" si="5"/>
        <v>0</v>
      </c>
      <c r="Q492" s="99">
        <f t="shared" si="6"/>
        <v>0</v>
      </c>
      <c r="R492" s="99">
        <f t="shared" si="7"/>
        <v>0</v>
      </c>
      <c r="S492" s="100" t="str">
        <f t="shared" ref="S492:V492" si="492">IFERROR(O492-Y492,"")
</f>
        <v/>
      </c>
      <c r="T492" s="100">
        <f t="shared" si="492"/>
        <v>0</v>
      </c>
      <c r="U492" s="100">
        <f t="shared" si="492"/>
        <v>0</v>
      </c>
      <c r="V492" s="100">
        <f t="shared" si="492"/>
        <v>0</v>
      </c>
      <c r="W492" s="88" t="str">
        <f t="shared" si="9"/>
        <v/>
      </c>
      <c r="X492" s="89">
        <f>S492/D492</f>
        <v>0</v>
      </c>
      <c r="Y492" s="90" t="str">
        <f t="shared" si="10"/>
        <v>ERR</v>
      </c>
      <c r="Z492" s="90">
        <f>IF(H492=0,0,CAPITAL!$H$5*Y492)
</f>
        <v>0</v>
      </c>
      <c r="AA492" s="90">
        <f>IF(I492=0,0,CAPITAL!$H$6*Y492)
</f>
        <v>0</v>
      </c>
      <c r="AB492" s="90">
        <f>IF(J492=0,0,CAPITAL!$H$7*Y492)
</f>
        <v>0</v>
      </c>
      <c r="AC492" s="90"/>
    </row>
    <row r="493">
      <c r="A493" s="104"/>
      <c r="B493" s="101">
        <v>488.0</v>
      </c>
      <c r="C493" s="79" t="str">
        <f>ENTRY!B487</f>
        <v>SILVERBEES</v>
      </c>
      <c r="D493" s="80">
        <f>CAPITAL!$C$2</f>
        <v>3350000</v>
      </c>
      <c r="E493" s="81" t="str">
        <f>ENTRY!C487</f>
        <v/>
      </c>
      <c r="F493" s="82" t="str">
        <f>ENTRY!D487</f>
        <v/>
      </c>
      <c r="G493" s="83" t="str">
        <f>ENTRY!E487</f>
        <v/>
      </c>
      <c r="H493" s="84">
        <f>G493*ENTRY!$O487</f>
        <v>0</v>
      </c>
      <c r="I493" s="84">
        <f>G493*ENTRY!$P487</f>
        <v>0</v>
      </c>
      <c r="J493" s="84">
        <f>G493*ENTRY!$Q487</f>
        <v>0</v>
      </c>
      <c r="K493" s="82">
        <f t="shared" si="2"/>
        <v>0</v>
      </c>
      <c r="L493" s="82" t="str">
        <f>ENTRY!F487</f>
        <v/>
      </c>
      <c r="M493" s="81" t="str">
        <f>ENTRY!G487</f>
        <v/>
      </c>
      <c r="N493" s="85" t="str">
        <f t="shared" si="3"/>
        <v/>
      </c>
      <c r="O493" s="86">
        <f t="shared" si="4"/>
        <v>0</v>
      </c>
      <c r="P493" s="86">
        <f t="shared" si="5"/>
        <v>0</v>
      </c>
      <c r="Q493" s="86">
        <f t="shared" si="6"/>
        <v>0</v>
      </c>
      <c r="R493" s="86">
        <f t="shared" si="7"/>
        <v>0</v>
      </c>
      <c r="S493" s="87" t="str">
        <f t="shared" ref="S493:V493" si="493">IFERROR(O493-Y493,"")
</f>
        <v/>
      </c>
      <c r="T493" s="87">
        <f t="shared" si="493"/>
        <v>0</v>
      </c>
      <c r="U493" s="87">
        <f t="shared" si="493"/>
        <v>0</v>
      </c>
      <c r="V493" s="87">
        <f t="shared" si="493"/>
        <v>0</v>
      </c>
      <c r="W493" s="88" t="str">
        <f t="shared" si="9"/>
        <v/>
      </c>
      <c r="X493" s="89">
        <f>IFERROR(S493/D493,"")</f>
        <v>0</v>
      </c>
      <c r="Y493" s="90" t="str">
        <f t="shared" si="10"/>
        <v>ERR</v>
      </c>
      <c r="Z493" s="90">
        <f>IF(H493=0,0,CAPITAL!$H$5*Y493)
</f>
        <v>0</v>
      </c>
      <c r="AA493" s="90">
        <f>IF(I493=0,0,CAPITAL!$H$6*Y493)
</f>
        <v>0</v>
      </c>
      <c r="AB493" s="90">
        <f>IF(J493=0,0,CAPITAL!$H$7*Y493)
</f>
        <v>0</v>
      </c>
      <c r="AC493" s="90"/>
    </row>
    <row r="494">
      <c r="A494" s="104"/>
      <c r="B494" s="101">
        <v>489.0</v>
      </c>
      <c r="C494" s="18" t="str">
        <f>ENTRY!B488</f>
        <v>SILVERBEES</v>
      </c>
      <c r="D494" s="93">
        <f>CAPITAL!$C$2</f>
        <v>3350000</v>
      </c>
      <c r="E494" s="94" t="str">
        <f>ENTRY!C488</f>
        <v/>
      </c>
      <c r="F494" s="95" t="str">
        <f>ENTRY!D488</f>
        <v/>
      </c>
      <c r="G494" s="96" t="str">
        <f>ENTRY!E488</f>
        <v/>
      </c>
      <c r="H494" s="97">
        <f>G494*ENTRY!$O488</f>
        <v>0</v>
      </c>
      <c r="I494" s="97">
        <f>G494*ENTRY!$P488</f>
        <v>0</v>
      </c>
      <c r="J494" s="97">
        <f>G494*ENTRY!$Q488</f>
        <v>0</v>
      </c>
      <c r="K494" s="95">
        <f t="shared" si="2"/>
        <v>0</v>
      </c>
      <c r="L494" s="95" t="str">
        <f>ENTRY!F488</f>
        <v/>
      </c>
      <c r="M494" s="94" t="str">
        <f>ENTRY!G488</f>
        <v/>
      </c>
      <c r="N494" s="98" t="str">
        <f t="shared" si="3"/>
        <v/>
      </c>
      <c r="O494" s="99">
        <f t="shared" si="4"/>
        <v>0</v>
      </c>
      <c r="P494" s="99">
        <f t="shared" si="5"/>
        <v>0</v>
      </c>
      <c r="Q494" s="99">
        <f t="shared" si="6"/>
        <v>0</v>
      </c>
      <c r="R494" s="99">
        <f t="shared" si="7"/>
        <v>0</v>
      </c>
      <c r="S494" s="100" t="str">
        <f t="shared" ref="S494:V494" si="494">IFERROR(O494-Y494,"")
</f>
        <v/>
      </c>
      <c r="T494" s="100">
        <f t="shared" si="494"/>
        <v>0</v>
      </c>
      <c r="U494" s="100">
        <f t="shared" si="494"/>
        <v>0</v>
      </c>
      <c r="V494" s="100">
        <f t="shared" si="494"/>
        <v>0</v>
      </c>
      <c r="W494" s="88" t="str">
        <f t="shared" si="9"/>
        <v/>
      </c>
      <c r="X494" s="89">
        <f>S494/D494</f>
        <v>0</v>
      </c>
      <c r="Y494" s="90" t="str">
        <f t="shared" si="10"/>
        <v>ERR</v>
      </c>
      <c r="Z494" s="90">
        <f>IF(H494=0,0,CAPITAL!$H$5*Y494)
</f>
        <v>0</v>
      </c>
      <c r="AA494" s="90">
        <f>IF(I494=0,0,CAPITAL!$H$6*Y494)
</f>
        <v>0</v>
      </c>
      <c r="AB494" s="90">
        <f>IF(J494=0,0,CAPITAL!$H$7*Y494)
</f>
        <v>0</v>
      </c>
      <c r="AC494" s="90"/>
    </row>
    <row r="495">
      <c r="A495" s="104"/>
      <c r="B495" s="101">
        <v>490.0</v>
      </c>
      <c r="C495" s="79" t="str">
        <f>ENTRY!B489</f>
        <v>SILVERBEES</v>
      </c>
      <c r="D495" s="80">
        <f>CAPITAL!$C$2</f>
        <v>3350000</v>
      </c>
      <c r="E495" s="81" t="str">
        <f>ENTRY!C489</f>
        <v/>
      </c>
      <c r="F495" s="82" t="str">
        <f>ENTRY!D489</f>
        <v/>
      </c>
      <c r="G495" s="83" t="str">
        <f>ENTRY!E489</f>
        <v/>
      </c>
      <c r="H495" s="84">
        <f>G495*ENTRY!$O489</f>
        <v>0</v>
      </c>
      <c r="I495" s="84">
        <f>G495*ENTRY!$P489</f>
        <v>0</v>
      </c>
      <c r="J495" s="84">
        <f>G495*ENTRY!$Q489</f>
        <v>0</v>
      </c>
      <c r="K495" s="82">
        <f t="shared" si="2"/>
        <v>0</v>
      </c>
      <c r="L495" s="82" t="str">
        <f>ENTRY!F489</f>
        <v/>
      </c>
      <c r="M495" s="81" t="str">
        <f>ENTRY!G489</f>
        <v/>
      </c>
      <c r="N495" s="85" t="str">
        <f t="shared" si="3"/>
        <v/>
      </c>
      <c r="O495" s="86">
        <f t="shared" si="4"/>
        <v>0</v>
      </c>
      <c r="P495" s="86">
        <f t="shared" si="5"/>
        <v>0</v>
      </c>
      <c r="Q495" s="86">
        <f t="shared" si="6"/>
        <v>0</v>
      </c>
      <c r="R495" s="86">
        <f t="shared" si="7"/>
        <v>0</v>
      </c>
      <c r="S495" s="87" t="str">
        <f t="shared" ref="S495:V495" si="495">IFERROR(O495-Y495,"")
</f>
        <v/>
      </c>
      <c r="T495" s="87">
        <f t="shared" si="495"/>
        <v>0</v>
      </c>
      <c r="U495" s="87">
        <f t="shared" si="495"/>
        <v>0</v>
      </c>
      <c r="V495" s="87">
        <f t="shared" si="495"/>
        <v>0</v>
      </c>
      <c r="W495" s="88" t="str">
        <f t="shared" si="9"/>
        <v/>
      </c>
      <c r="X495" s="89">
        <f>IFERROR(S495/D495,"")</f>
        <v>0</v>
      </c>
      <c r="Y495" s="90" t="str">
        <f t="shared" si="10"/>
        <v>ERR</v>
      </c>
      <c r="Z495" s="90">
        <f>IF(H495=0,0,CAPITAL!$H$5*Y495)
</f>
        <v>0</v>
      </c>
      <c r="AA495" s="90">
        <f>IF(I495=0,0,CAPITAL!$H$6*Y495)
</f>
        <v>0</v>
      </c>
      <c r="AB495" s="90">
        <f>IF(J495=0,0,CAPITAL!$H$7*Y495)
</f>
        <v>0</v>
      </c>
      <c r="AC495" s="90"/>
    </row>
    <row r="496">
      <c r="A496" s="104"/>
      <c r="B496" s="101">
        <v>491.0</v>
      </c>
      <c r="C496" s="18" t="str">
        <f>ENTRY!B490</f>
        <v>SILVERBEES</v>
      </c>
      <c r="D496" s="93">
        <f>CAPITAL!$C$2</f>
        <v>3350000</v>
      </c>
      <c r="E496" s="94" t="str">
        <f>ENTRY!C490</f>
        <v/>
      </c>
      <c r="F496" s="95" t="str">
        <f>ENTRY!D490</f>
        <v/>
      </c>
      <c r="G496" s="96" t="str">
        <f>ENTRY!E490</f>
        <v/>
      </c>
      <c r="H496" s="97">
        <f>G496*ENTRY!$O490</f>
        <v>0</v>
      </c>
      <c r="I496" s="97">
        <f>G496*ENTRY!$P490</f>
        <v>0</v>
      </c>
      <c r="J496" s="97">
        <f>G496*ENTRY!$Q490</f>
        <v>0</v>
      </c>
      <c r="K496" s="95">
        <f t="shared" si="2"/>
        <v>0</v>
      </c>
      <c r="L496" s="95" t="str">
        <f>ENTRY!F490</f>
        <v/>
      </c>
      <c r="M496" s="94" t="str">
        <f>ENTRY!G490</f>
        <v/>
      </c>
      <c r="N496" s="98" t="str">
        <f t="shared" si="3"/>
        <v/>
      </c>
      <c r="O496" s="99">
        <f t="shared" si="4"/>
        <v>0</v>
      </c>
      <c r="P496" s="99">
        <f t="shared" si="5"/>
        <v>0</v>
      </c>
      <c r="Q496" s="99">
        <f t="shared" si="6"/>
        <v>0</v>
      </c>
      <c r="R496" s="99">
        <f t="shared" si="7"/>
        <v>0</v>
      </c>
      <c r="S496" s="100" t="str">
        <f t="shared" ref="S496:V496" si="496">IFERROR(O496-Y496,"")
</f>
        <v/>
      </c>
      <c r="T496" s="100">
        <f t="shared" si="496"/>
        <v>0</v>
      </c>
      <c r="U496" s="100">
        <f t="shared" si="496"/>
        <v>0</v>
      </c>
      <c r="V496" s="100">
        <f t="shared" si="496"/>
        <v>0</v>
      </c>
      <c r="W496" s="88" t="str">
        <f t="shared" si="9"/>
        <v/>
      </c>
      <c r="X496" s="89">
        <f>S496/D496</f>
        <v>0</v>
      </c>
      <c r="Y496" s="90" t="str">
        <f t="shared" si="10"/>
        <v>ERR</v>
      </c>
      <c r="Z496" s="90">
        <f>IF(H496=0,0,CAPITAL!$H$5*Y496)
</f>
        <v>0</v>
      </c>
      <c r="AA496" s="90">
        <f>IF(I496=0,0,CAPITAL!$H$6*Y496)
</f>
        <v>0</v>
      </c>
      <c r="AB496" s="90">
        <f>IF(J496=0,0,CAPITAL!$H$7*Y496)
</f>
        <v>0</v>
      </c>
      <c r="AC496" s="90"/>
    </row>
    <row r="497">
      <c r="A497" s="104"/>
      <c r="B497" s="101">
        <v>492.0</v>
      </c>
      <c r="C497" s="79" t="str">
        <f>ENTRY!B491</f>
        <v>SILVERBEES</v>
      </c>
      <c r="D497" s="80">
        <f>CAPITAL!$C$2</f>
        <v>3350000</v>
      </c>
      <c r="E497" s="81" t="str">
        <f>ENTRY!C491</f>
        <v/>
      </c>
      <c r="F497" s="82" t="str">
        <f>ENTRY!D491</f>
        <v/>
      </c>
      <c r="G497" s="83" t="str">
        <f>ENTRY!E491</f>
        <v/>
      </c>
      <c r="H497" s="84">
        <f>G497*ENTRY!$O491</f>
        <v>0</v>
      </c>
      <c r="I497" s="84">
        <f>G497*ENTRY!$P491</f>
        <v>0</v>
      </c>
      <c r="J497" s="84">
        <f>G497*ENTRY!$Q491</f>
        <v>0</v>
      </c>
      <c r="K497" s="82">
        <f t="shared" si="2"/>
        <v>0</v>
      </c>
      <c r="L497" s="82" t="str">
        <f>ENTRY!F491</f>
        <v/>
      </c>
      <c r="M497" s="81" t="str">
        <f>ENTRY!G491</f>
        <v/>
      </c>
      <c r="N497" s="85" t="str">
        <f t="shared" si="3"/>
        <v/>
      </c>
      <c r="O497" s="86">
        <f t="shared" si="4"/>
        <v>0</v>
      </c>
      <c r="P497" s="86">
        <f t="shared" si="5"/>
        <v>0</v>
      </c>
      <c r="Q497" s="86">
        <f t="shared" si="6"/>
        <v>0</v>
      </c>
      <c r="R497" s="86">
        <f t="shared" si="7"/>
        <v>0</v>
      </c>
      <c r="S497" s="87" t="str">
        <f t="shared" ref="S497:V497" si="497">IFERROR(O497-Y497,"")
</f>
        <v/>
      </c>
      <c r="T497" s="87">
        <f t="shared" si="497"/>
        <v>0</v>
      </c>
      <c r="U497" s="87">
        <f t="shared" si="497"/>
        <v>0</v>
      </c>
      <c r="V497" s="87">
        <f t="shared" si="497"/>
        <v>0</v>
      </c>
      <c r="W497" s="88" t="str">
        <f t="shared" si="9"/>
        <v/>
      </c>
      <c r="X497" s="89">
        <f>IFERROR(S497/D497,"")</f>
        <v>0</v>
      </c>
      <c r="Y497" s="90" t="str">
        <f t="shared" si="10"/>
        <v>ERR</v>
      </c>
      <c r="Z497" s="90">
        <f>IF(H497=0,0,CAPITAL!$H$5*Y497)
</f>
        <v>0</v>
      </c>
      <c r="AA497" s="90">
        <f>IF(I497=0,0,CAPITAL!$H$6*Y497)
</f>
        <v>0</v>
      </c>
      <c r="AB497" s="90">
        <f>IF(J497=0,0,CAPITAL!$H$7*Y497)
</f>
        <v>0</v>
      </c>
      <c r="AC497" s="90"/>
    </row>
    <row r="498">
      <c r="A498" s="104"/>
      <c r="B498" s="101">
        <v>493.0</v>
      </c>
      <c r="C498" s="18" t="str">
        <f>ENTRY!B492</f>
        <v>SILVERBEES</v>
      </c>
      <c r="D498" s="93">
        <f>CAPITAL!$C$2</f>
        <v>3350000</v>
      </c>
      <c r="E498" s="94" t="str">
        <f>ENTRY!C492</f>
        <v/>
      </c>
      <c r="F498" s="95" t="str">
        <f>ENTRY!D492</f>
        <v/>
      </c>
      <c r="G498" s="96" t="str">
        <f>ENTRY!E492</f>
        <v/>
      </c>
      <c r="H498" s="97">
        <f>G498*ENTRY!$O492</f>
        <v>0</v>
      </c>
      <c r="I498" s="97">
        <f>G498*ENTRY!$P492</f>
        <v>0</v>
      </c>
      <c r="J498" s="97">
        <f>G498*ENTRY!$Q492</f>
        <v>0</v>
      </c>
      <c r="K498" s="95">
        <f t="shared" si="2"/>
        <v>0</v>
      </c>
      <c r="L498" s="95" t="str">
        <f>ENTRY!F492</f>
        <v/>
      </c>
      <c r="M498" s="94" t="str">
        <f>ENTRY!G492</f>
        <v/>
      </c>
      <c r="N498" s="98" t="str">
        <f t="shared" si="3"/>
        <v/>
      </c>
      <c r="O498" s="99">
        <f t="shared" si="4"/>
        <v>0</v>
      </c>
      <c r="P498" s="99">
        <f t="shared" si="5"/>
        <v>0</v>
      </c>
      <c r="Q498" s="99">
        <f t="shared" si="6"/>
        <v>0</v>
      </c>
      <c r="R498" s="99">
        <f t="shared" si="7"/>
        <v>0</v>
      </c>
      <c r="S498" s="100" t="str">
        <f t="shared" ref="S498:V498" si="498">IFERROR(O498-Y498,"")
</f>
        <v/>
      </c>
      <c r="T498" s="100">
        <f t="shared" si="498"/>
        <v>0</v>
      </c>
      <c r="U498" s="100">
        <f t="shared" si="498"/>
        <v>0</v>
      </c>
      <c r="V498" s="100">
        <f t="shared" si="498"/>
        <v>0</v>
      </c>
      <c r="W498" s="88" t="str">
        <f t="shared" si="9"/>
        <v/>
      </c>
      <c r="X498" s="89">
        <f>S498/D498</f>
        <v>0</v>
      </c>
      <c r="Y498" s="90" t="str">
        <f t="shared" si="10"/>
        <v>ERR</v>
      </c>
      <c r="Z498" s="90">
        <f>IF(H498=0,0,CAPITAL!$H$5*Y498)
</f>
        <v>0</v>
      </c>
      <c r="AA498" s="90">
        <f>IF(I498=0,0,CAPITAL!$H$6*Y498)
</f>
        <v>0</v>
      </c>
      <c r="AB498" s="90">
        <f>IF(J498=0,0,CAPITAL!$H$7*Y498)
</f>
        <v>0</v>
      </c>
      <c r="AC498" s="90"/>
    </row>
    <row r="499">
      <c r="A499" s="104"/>
      <c r="B499" s="101">
        <v>494.0</v>
      </c>
      <c r="C499" s="79" t="str">
        <f>ENTRY!B493</f>
        <v>SILVERBEES</v>
      </c>
      <c r="D499" s="80">
        <f>CAPITAL!$C$2</f>
        <v>3350000</v>
      </c>
      <c r="E499" s="81" t="str">
        <f>ENTRY!C493</f>
        <v/>
      </c>
      <c r="F499" s="82" t="str">
        <f>ENTRY!D493</f>
        <v/>
      </c>
      <c r="G499" s="83" t="str">
        <f>ENTRY!E493</f>
        <v/>
      </c>
      <c r="H499" s="84">
        <f>G499*ENTRY!$O493</f>
        <v>0</v>
      </c>
      <c r="I499" s="84">
        <f>G499*ENTRY!$P493</f>
        <v>0</v>
      </c>
      <c r="J499" s="84">
        <f>G499*ENTRY!$Q493</f>
        <v>0</v>
      </c>
      <c r="K499" s="82">
        <f t="shared" si="2"/>
        <v>0</v>
      </c>
      <c r="L499" s="82" t="str">
        <f>ENTRY!F493</f>
        <v/>
      </c>
      <c r="M499" s="81" t="str">
        <f>ENTRY!G493</f>
        <v/>
      </c>
      <c r="N499" s="85" t="str">
        <f t="shared" si="3"/>
        <v/>
      </c>
      <c r="O499" s="86">
        <f t="shared" si="4"/>
        <v>0</v>
      </c>
      <c r="P499" s="86">
        <f t="shared" si="5"/>
        <v>0</v>
      </c>
      <c r="Q499" s="86">
        <f t="shared" si="6"/>
        <v>0</v>
      </c>
      <c r="R499" s="86">
        <f t="shared" si="7"/>
        <v>0</v>
      </c>
      <c r="S499" s="87" t="str">
        <f t="shared" ref="S499:V499" si="499">IFERROR(O499-Y499,"")
</f>
        <v/>
      </c>
      <c r="T499" s="87">
        <f t="shared" si="499"/>
        <v>0</v>
      </c>
      <c r="U499" s="87">
        <f t="shared" si="499"/>
        <v>0</v>
      </c>
      <c r="V499" s="87">
        <f t="shared" si="499"/>
        <v>0</v>
      </c>
      <c r="W499" s="88" t="str">
        <f t="shared" si="9"/>
        <v/>
      </c>
      <c r="X499" s="89">
        <f>IFERROR(S499/D499,"")</f>
        <v>0</v>
      </c>
      <c r="Y499" s="90" t="str">
        <f t="shared" si="10"/>
        <v>ERR</v>
      </c>
      <c r="Z499" s="90">
        <f>IF(H499=0,0,CAPITAL!$H$5*Y499)
</f>
        <v>0</v>
      </c>
      <c r="AA499" s="90">
        <f>IF(I499=0,0,CAPITAL!$H$6*Y499)
</f>
        <v>0</v>
      </c>
      <c r="AB499" s="90">
        <f>IF(J499=0,0,CAPITAL!$H$7*Y499)
</f>
        <v>0</v>
      </c>
      <c r="AC499" s="90"/>
    </row>
    <row r="500">
      <c r="A500" s="104"/>
      <c r="B500" s="101">
        <v>495.0</v>
      </c>
      <c r="C500" s="18" t="str">
        <f>ENTRY!B494</f>
        <v>SILVERBEES</v>
      </c>
      <c r="D500" s="93">
        <f>CAPITAL!$C$2</f>
        <v>3350000</v>
      </c>
      <c r="E500" s="94" t="str">
        <f>ENTRY!C494</f>
        <v/>
      </c>
      <c r="F500" s="95" t="str">
        <f>ENTRY!D494</f>
        <v/>
      </c>
      <c r="G500" s="96" t="str">
        <f>ENTRY!E494</f>
        <v/>
      </c>
      <c r="H500" s="97">
        <f>G500*ENTRY!$O494</f>
        <v>0</v>
      </c>
      <c r="I500" s="97">
        <f>G500*ENTRY!$P494</f>
        <v>0</v>
      </c>
      <c r="J500" s="97">
        <f>G500*ENTRY!$Q494</f>
        <v>0</v>
      </c>
      <c r="K500" s="95">
        <f t="shared" si="2"/>
        <v>0</v>
      </c>
      <c r="L500" s="95" t="str">
        <f>ENTRY!F494</f>
        <v/>
      </c>
      <c r="M500" s="94" t="str">
        <f>ENTRY!G494</f>
        <v/>
      </c>
      <c r="N500" s="98" t="str">
        <f t="shared" si="3"/>
        <v/>
      </c>
      <c r="O500" s="99">
        <f t="shared" si="4"/>
        <v>0</v>
      </c>
      <c r="P500" s="99">
        <f t="shared" si="5"/>
        <v>0</v>
      </c>
      <c r="Q500" s="99">
        <f t="shared" si="6"/>
        <v>0</v>
      </c>
      <c r="R500" s="99">
        <f t="shared" si="7"/>
        <v>0</v>
      </c>
      <c r="S500" s="100" t="str">
        <f t="shared" ref="S500:V500" si="500">IFERROR(O500-Y500,"")
</f>
        <v/>
      </c>
      <c r="T500" s="100">
        <f t="shared" si="500"/>
        <v>0</v>
      </c>
      <c r="U500" s="100">
        <f t="shared" si="500"/>
        <v>0</v>
      </c>
      <c r="V500" s="100">
        <f t="shared" si="500"/>
        <v>0</v>
      </c>
      <c r="W500" s="88" t="str">
        <f t="shared" si="9"/>
        <v/>
      </c>
      <c r="X500" s="89">
        <f>S500/D500</f>
        <v>0</v>
      </c>
      <c r="Y500" s="90" t="str">
        <f t="shared" si="10"/>
        <v>ERR</v>
      </c>
      <c r="Z500" s="90">
        <f>IF(H500=0,0,CAPITAL!$H$5*Y500)
</f>
        <v>0</v>
      </c>
      <c r="AA500" s="90">
        <f>IF(I500=0,0,CAPITAL!$H$6*Y500)
</f>
        <v>0</v>
      </c>
      <c r="AB500" s="90">
        <f>IF(J500=0,0,CAPITAL!$H$7*Y500)
</f>
        <v>0</v>
      </c>
      <c r="AC500" s="90"/>
    </row>
    <row r="501">
      <c r="A501" s="104"/>
      <c r="B501" s="101"/>
      <c r="C501" s="105"/>
      <c r="D501" s="80"/>
      <c r="E501" s="81"/>
      <c r="F501" s="82"/>
      <c r="G501" s="83"/>
      <c r="H501" s="84">
        <f>G501*ENTRY!$O495</f>
        <v>0</v>
      </c>
      <c r="I501" s="84">
        <f>G501*ENTRY!$P495</f>
        <v>0</v>
      </c>
      <c r="J501" s="84">
        <f>G501*ENTRY!$Q495</f>
        <v>0</v>
      </c>
      <c r="K501" s="82"/>
      <c r="L501" s="82"/>
      <c r="M501" s="81"/>
      <c r="N501" s="85"/>
      <c r="O501" s="86"/>
      <c r="P501" s="86"/>
      <c r="Q501" s="86"/>
      <c r="R501" s="86"/>
      <c r="S501" s="87"/>
      <c r="T501" s="87"/>
      <c r="U501" s="87"/>
      <c r="V501" s="87"/>
      <c r="W501" s="88"/>
      <c r="X501" s="89"/>
      <c r="Y501" s="90"/>
      <c r="Z501" s="90"/>
      <c r="AA501" s="90"/>
      <c r="AB501" s="90"/>
      <c r="AC501" s="90"/>
    </row>
    <row r="502">
      <c r="A502" s="104"/>
      <c r="B502" s="101"/>
      <c r="C502" s="105"/>
      <c r="D502" s="93"/>
      <c r="E502" s="106"/>
      <c r="F502" s="107"/>
      <c r="G502" s="108"/>
      <c r="H502" s="97">
        <f>G502*ENTRY!$O496</f>
        <v>0</v>
      </c>
      <c r="I502" s="97">
        <f>G502*ENTRY!$P496</f>
        <v>0</v>
      </c>
      <c r="J502" s="97">
        <f>G502*ENTRY!$Q496</f>
        <v>0</v>
      </c>
      <c r="K502" s="95"/>
      <c r="L502" s="109"/>
      <c r="M502" s="106"/>
      <c r="N502" s="98"/>
      <c r="O502" s="99"/>
      <c r="P502" s="99"/>
      <c r="Q502" s="99"/>
      <c r="R502" s="99"/>
      <c r="S502" s="100"/>
      <c r="T502" s="100"/>
      <c r="U502" s="100"/>
      <c r="V502" s="100"/>
      <c r="W502" s="88"/>
      <c r="X502" s="89"/>
      <c r="Y502" s="90"/>
      <c r="Z502" s="90"/>
      <c r="AA502" s="90"/>
      <c r="AB502" s="90"/>
      <c r="AC502" s="90"/>
    </row>
    <row r="503">
      <c r="A503" s="104"/>
      <c r="B503" s="101"/>
      <c r="C503" s="105"/>
      <c r="D503" s="80"/>
      <c r="E503" s="81"/>
      <c r="F503" s="82"/>
      <c r="G503" s="83"/>
      <c r="H503" s="84">
        <f>G503*ENTRY!$O497</f>
        <v>0</v>
      </c>
      <c r="I503" s="84">
        <f>G503*ENTRY!$P497</f>
        <v>0</v>
      </c>
      <c r="J503" s="84">
        <f>G503*ENTRY!$Q497</f>
        <v>0</v>
      </c>
      <c r="K503" s="82"/>
      <c r="L503" s="82"/>
      <c r="M503" s="81"/>
      <c r="N503" s="85"/>
      <c r="O503" s="86"/>
      <c r="P503" s="86"/>
      <c r="Q503" s="86"/>
      <c r="R503" s="86"/>
      <c r="S503" s="87"/>
      <c r="T503" s="87"/>
      <c r="U503" s="87"/>
      <c r="V503" s="87"/>
      <c r="W503" s="88"/>
      <c r="X503" s="89"/>
      <c r="Y503" s="90"/>
      <c r="Z503" s="90"/>
      <c r="AA503" s="90"/>
      <c r="AB503" s="90"/>
      <c r="AC503" s="90"/>
    </row>
    <row r="504">
      <c r="A504" s="104"/>
      <c r="B504" s="101"/>
      <c r="C504" s="105"/>
      <c r="D504" s="93"/>
      <c r="E504" s="106"/>
      <c r="F504" s="107"/>
      <c r="G504" s="108"/>
      <c r="H504" s="97">
        <f>G504*ENTRY!$O498</f>
        <v>0</v>
      </c>
      <c r="I504" s="97">
        <f>G504*ENTRY!$P498</f>
        <v>0</v>
      </c>
      <c r="J504" s="97">
        <f>G504*ENTRY!$Q498</f>
        <v>0</v>
      </c>
      <c r="K504" s="95"/>
      <c r="L504" s="109"/>
      <c r="M504" s="106"/>
      <c r="N504" s="98"/>
      <c r="O504" s="99"/>
      <c r="P504" s="99"/>
      <c r="Q504" s="99"/>
      <c r="R504" s="99"/>
      <c r="S504" s="100"/>
      <c r="T504" s="100"/>
      <c r="U504" s="100"/>
      <c r="V504" s="100"/>
      <c r="W504" s="88"/>
      <c r="X504" s="89"/>
      <c r="Y504" s="90"/>
      <c r="Z504" s="90"/>
      <c r="AA504" s="90"/>
      <c r="AB504" s="90"/>
      <c r="AC504" s="90"/>
    </row>
    <row r="505">
      <c r="A505" s="104"/>
      <c r="B505" s="101"/>
      <c r="C505" s="105"/>
      <c r="D505" s="80"/>
      <c r="E505" s="81"/>
      <c r="F505" s="82"/>
      <c r="G505" s="83"/>
      <c r="H505" s="84">
        <f>G505*ENTRY!$O499</f>
        <v>0</v>
      </c>
      <c r="I505" s="84">
        <f>G505*ENTRY!$P499</f>
        <v>0</v>
      </c>
      <c r="J505" s="84">
        <f>G505*ENTRY!$Q499</f>
        <v>0</v>
      </c>
      <c r="K505" s="82"/>
      <c r="L505" s="82"/>
      <c r="M505" s="81"/>
      <c r="N505" s="85"/>
      <c r="O505" s="86"/>
      <c r="P505" s="86"/>
      <c r="Q505" s="86"/>
      <c r="R505" s="86"/>
      <c r="S505" s="87"/>
      <c r="T505" s="87"/>
      <c r="U505" s="87"/>
      <c r="V505" s="87"/>
      <c r="W505" s="88"/>
      <c r="X505" s="89"/>
      <c r="Y505" s="90"/>
      <c r="Z505" s="90"/>
      <c r="AA505" s="90"/>
      <c r="AB505" s="90"/>
      <c r="AC505" s="90"/>
    </row>
    <row r="506">
      <c r="A506" s="104"/>
      <c r="B506" s="101"/>
      <c r="C506" s="105"/>
      <c r="D506" s="93"/>
      <c r="E506" s="106"/>
      <c r="F506" s="107"/>
      <c r="G506" s="108"/>
      <c r="H506" s="97">
        <f>G506*ENTRY!$O500</f>
        <v>0</v>
      </c>
      <c r="I506" s="97">
        <f>G506*ENTRY!$P500</f>
        <v>0</v>
      </c>
      <c r="J506" s="97">
        <f>G506*ENTRY!$Q500</f>
        <v>0</v>
      </c>
      <c r="K506" s="95"/>
      <c r="L506" s="109"/>
      <c r="M506" s="106"/>
      <c r="N506" s="98"/>
      <c r="O506" s="99"/>
      <c r="P506" s="99"/>
      <c r="Q506" s="99"/>
      <c r="R506" s="99"/>
      <c r="S506" s="100"/>
      <c r="T506" s="100"/>
      <c r="U506" s="100"/>
      <c r="V506" s="100"/>
      <c r="W506" s="88"/>
      <c r="X506" s="89"/>
      <c r="Y506" s="90"/>
      <c r="Z506" s="90"/>
      <c r="AA506" s="90"/>
      <c r="AB506" s="90"/>
      <c r="AC506" s="90"/>
    </row>
    <row r="507">
      <c r="A507" s="104"/>
      <c r="B507" s="101"/>
      <c r="C507" s="105"/>
      <c r="D507" s="80"/>
      <c r="E507" s="81"/>
      <c r="F507" s="82"/>
      <c r="G507" s="83"/>
      <c r="H507" s="84">
        <f>G507*ENTRY!$O501</f>
        <v>0</v>
      </c>
      <c r="I507" s="84">
        <f>G507*ENTRY!$P501</f>
        <v>0</v>
      </c>
      <c r="J507" s="84">
        <f>G507*ENTRY!$Q501</f>
        <v>0</v>
      </c>
      <c r="K507" s="82"/>
      <c r="L507" s="82"/>
      <c r="M507" s="81"/>
      <c r="N507" s="85"/>
      <c r="O507" s="86"/>
      <c r="P507" s="86"/>
      <c r="Q507" s="86"/>
      <c r="R507" s="86"/>
      <c r="S507" s="87"/>
      <c r="T507" s="87"/>
      <c r="U507" s="87"/>
      <c r="V507" s="87"/>
      <c r="W507" s="88"/>
      <c r="X507" s="89"/>
      <c r="Y507" s="90"/>
      <c r="Z507" s="90"/>
      <c r="AA507" s="90"/>
      <c r="AB507" s="90"/>
      <c r="AC507" s="90"/>
    </row>
    <row r="508">
      <c r="A508" s="104"/>
      <c r="B508" s="101"/>
      <c r="C508" s="105"/>
      <c r="D508" s="93"/>
      <c r="E508" s="106"/>
      <c r="F508" s="107"/>
      <c r="G508" s="108"/>
      <c r="H508" s="97">
        <f>G508*ENTRY!$O502</f>
        <v>0</v>
      </c>
      <c r="I508" s="97">
        <f>G508*ENTRY!$P502</f>
        <v>0</v>
      </c>
      <c r="J508" s="97">
        <f>G508*ENTRY!$Q502</f>
        <v>0</v>
      </c>
      <c r="K508" s="95"/>
      <c r="L508" s="109"/>
      <c r="M508" s="106"/>
      <c r="N508" s="98"/>
      <c r="O508" s="99"/>
      <c r="P508" s="99"/>
      <c r="Q508" s="99"/>
      <c r="R508" s="99"/>
      <c r="S508" s="100"/>
      <c r="T508" s="100"/>
      <c r="U508" s="100"/>
      <c r="V508" s="100"/>
      <c r="W508" s="88"/>
      <c r="X508" s="89"/>
      <c r="Y508" s="90"/>
      <c r="Z508" s="90"/>
      <c r="AA508" s="90"/>
      <c r="AB508" s="90"/>
      <c r="AC508" s="90"/>
    </row>
    <row r="509">
      <c r="A509" s="104"/>
      <c r="B509" s="101"/>
      <c r="C509" s="105"/>
      <c r="D509" s="80"/>
      <c r="E509" s="81"/>
      <c r="F509" s="82"/>
      <c r="G509" s="83"/>
      <c r="H509" s="84">
        <f>G509*ENTRY!$O503</f>
        <v>0</v>
      </c>
      <c r="I509" s="84">
        <f>G509*ENTRY!$P503</f>
        <v>0</v>
      </c>
      <c r="J509" s="84">
        <f>G509*ENTRY!$Q503</f>
        <v>0</v>
      </c>
      <c r="K509" s="82"/>
      <c r="L509" s="82"/>
      <c r="M509" s="81"/>
      <c r="N509" s="85"/>
      <c r="O509" s="86"/>
      <c r="P509" s="86"/>
      <c r="Q509" s="86"/>
      <c r="R509" s="86"/>
      <c r="S509" s="87"/>
      <c r="T509" s="87"/>
      <c r="U509" s="87"/>
      <c r="V509" s="87"/>
      <c r="W509" s="88"/>
      <c r="X509" s="89"/>
      <c r="Y509" s="90"/>
      <c r="Z509" s="90"/>
      <c r="AA509" s="90"/>
      <c r="AB509" s="90"/>
      <c r="AC509" s="90"/>
    </row>
    <row r="510">
      <c r="A510" s="104"/>
      <c r="B510" s="101"/>
      <c r="C510" s="105"/>
      <c r="D510" s="93"/>
      <c r="E510" s="106"/>
      <c r="F510" s="107"/>
      <c r="G510" s="108"/>
      <c r="H510" s="97">
        <f>G510*ENTRY!$O504</f>
        <v>0</v>
      </c>
      <c r="I510" s="97">
        <f>G510*ENTRY!$P504</f>
        <v>0</v>
      </c>
      <c r="J510" s="97">
        <f>G510*ENTRY!$Q504</f>
        <v>0</v>
      </c>
      <c r="K510" s="95"/>
      <c r="L510" s="109"/>
      <c r="M510" s="106"/>
      <c r="N510" s="98"/>
      <c r="O510" s="99"/>
      <c r="P510" s="99"/>
      <c r="Q510" s="99"/>
      <c r="R510" s="99"/>
      <c r="S510" s="100"/>
      <c r="T510" s="100"/>
      <c r="U510" s="100"/>
      <c r="V510" s="100"/>
      <c r="W510" s="88"/>
      <c r="X510" s="89"/>
      <c r="Y510" s="90"/>
      <c r="Z510" s="90"/>
      <c r="AA510" s="90"/>
      <c r="AB510" s="90"/>
      <c r="AC510" s="90"/>
    </row>
    <row r="511">
      <c r="A511" s="104"/>
      <c r="B511" s="101"/>
      <c r="C511" s="105"/>
      <c r="D511" s="80"/>
      <c r="E511" s="81"/>
      <c r="F511" s="82"/>
      <c r="G511" s="83"/>
      <c r="H511" s="84">
        <f>G511*ENTRY!$O505</f>
        <v>0</v>
      </c>
      <c r="I511" s="84">
        <f>G511*ENTRY!$P505</f>
        <v>0</v>
      </c>
      <c r="J511" s="84">
        <f>G511*ENTRY!$Q505</f>
        <v>0</v>
      </c>
      <c r="K511" s="82"/>
      <c r="L511" s="82"/>
      <c r="M511" s="81"/>
      <c r="N511" s="85"/>
      <c r="O511" s="86"/>
      <c r="P511" s="86"/>
      <c r="Q511" s="86"/>
      <c r="R511" s="86"/>
      <c r="S511" s="87"/>
      <c r="T511" s="87"/>
      <c r="U511" s="87"/>
      <c r="V511" s="87"/>
      <c r="W511" s="88"/>
      <c r="X511" s="89"/>
      <c r="Y511" s="90"/>
      <c r="Z511" s="90"/>
      <c r="AA511" s="90"/>
      <c r="AB511" s="90"/>
      <c r="AC511" s="90"/>
    </row>
    <row r="512">
      <c r="A512" s="104"/>
      <c r="B512" s="101"/>
      <c r="C512" s="105"/>
      <c r="D512" s="93"/>
      <c r="E512" s="106"/>
      <c r="F512" s="107"/>
      <c r="G512" s="108"/>
      <c r="H512" s="97">
        <f>G512*ENTRY!$O506</f>
        <v>0</v>
      </c>
      <c r="I512" s="97">
        <f>G512*ENTRY!$P506</f>
        <v>0</v>
      </c>
      <c r="J512" s="97">
        <f>G512*ENTRY!$Q506</f>
        <v>0</v>
      </c>
      <c r="K512" s="95"/>
      <c r="L512" s="109"/>
      <c r="M512" s="106"/>
      <c r="N512" s="98"/>
      <c r="O512" s="99"/>
      <c r="P512" s="99"/>
      <c r="Q512" s="99"/>
      <c r="R512" s="99"/>
      <c r="S512" s="100"/>
      <c r="T512" s="100"/>
      <c r="U512" s="100"/>
      <c r="V512" s="100"/>
      <c r="W512" s="88"/>
      <c r="X512" s="89"/>
      <c r="Y512" s="90"/>
      <c r="Z512" s="90"/>
      <c r="AA512" s="90"/>
      <c r="AB512" s="90"/>
      <c r="AC512" s="90"/>
    </row>
    <row r="513">
      <c r="A513" s="104"/>
      <c r="B513" s="101"/>
      <c r="C513" s="105"/>
      <c r="D513" s="80"/>
      <c r="E513" s="81"/>
      <c r="F513" s="82"/>
      <c r="G513" s="83"/>
      <c r="H513" s="84">
        <f>G513*ENTRY!$O507</f>
        <v>0</v>
      </c>
      <c r="I513" s="84">
        <f>G513*ENTRY!$P507</f>
        <v>0</v>
      </c>
      <c r="J513" s="84">
        <f>G513*ENTRY!$Q507</f>
        <v>0</v>
      </c>
      <c r="K513" s="82"/>
      <c r="L513" s="82"/>
      <c r="M513" s="81"/>
      <c r="N513" s="85"/>
      <c r="O513" s="86"/>
      <c r="P513" s="86"/>
      <c r="Q513" s="86"/>
      <c r="R513" s="86"/>
      <c r="S513" s="87"/>
      <c r="T513" s="87"/>
      <c r="U513" s="87"/>
      <c r="V513" s="87"/>
      <c r="W513" s="88"/>
      <c r="X513" s="89"/>
      <c r="Y513" s="90"/>
      <c r="Z513" s="90"/>
      <c r="AA513" s="90"/>
      <c r="AB513" s="90"/>
      <c r="AC513" s="90"/>
    </row>
    <row r="514">
      <c r="A514" s="104"/>
      <c r="B514" s="101"/>
      <c r="C514" s="105"/>
      <c r="D514" s="93"/>
      <c r="E514" s="106"/>
      <c r="F514" s="107"/>
      <c r="G514" s="108"/>
      <c r="H514" s="97">
        <f>G514*ENTRY!$O508</f>
        <v>0</v>
      </c>
      <c r="I514" s="97">
        <f>G514*ENTRY!$P508</f>
        <v>0</v>
      </c>
      <c r="J514" s="97">
        <f>G514*ENTRY!$Q508</f>
        <v>0</v>
      </c>
      <c r="K514" s="95"/>
      <c r="L514" s="109"/>
      <c r="M514" s="106"/>
      <c r="N514" s="98"/>
      <c r="O514" s="99"/>
      <c r="P514" s="99"/>
      <c r="Q514" s="99"/>
      <c r="R514" s="99"/>
      <c r="S514" s="100"/>
      <c r="T514" s="100"/>
      <c r="U514" s="100"/>
      <c r="V514" s="100"/>
      <c r="W514" s="88"/>
      <c r="X514" s="89"/>
      <c r="Y514" s="90"/>
      <c r="Z514" s="90"/>
      <c r="AA514" s="90"/>
      <c r="AB514" s="90"/>
      <c r="AC514" s="90"/>
    </row>
    <row r="515">
      <c r="A515" s="104"/>
      <c r="B515" s="101"/>
      <c r="C515" s="105"/>
      <c r="D515" s="80"/>
      <c r="E515" s="81"/>
      <c r="F515" s="82"/>
      <c r="G515" s="83"/>
      <c r="H515" s="84">
        <f>G515*ENTRY!$O509</f>
        <v>0</v>
      </c>
      <c r="I515" s="84">
        <f>G515*ENTRY!$P509</f>
        <v>0</v>
      </c>
      <c r="J515" s="84">
        <f>G515*ENTRY!$Q509</f>
        <v>0</v>
      </c>
      <c r="K515" s="82"/>
      <c r="L515" s="82"/>
      <c r="M515" s="81"/>
      <c r="N515" s="85"/>
      <c r="O515" s="86"/>
      <c r="P515" s="86"/>
      <c r="Q515" s="86"/>
      <c r="R515" s="86"/>
      <c r="S515" s="87"/>
      <c r="T515" s="87"/>
      <c r="U515" s="87"/>
      <c r="V515" s="87"/>
      <c r="W515" s="88"/>
      <c r="X515" s="89"/>
      <c r="Y515" s="90"/>
      <c r="Z515" s="90"/>
      <c r="AA515" s="90"/>
      <c r="AB515" s="90"/>
      <c r="AC515" s="90"/>
    </row>
    <row r="516">
      <c r="A516" s="104"/>
      <c r="B516" s="101"/>
      <c r="C516" s="105"/>
      <c r="D516" s="93"/>
      <c r="E516" s="106"/>
      <c r="F516" s="107"/>
      <c r="G516" s="108"/>
      <c r="H516" s="97">
        <f>G516*ENTRY!$O510</f>
        <v>0</v>
      </c>
      <c r="I516" s="97">
        <f>G516*ENTRY!$P510</f>
        <v>0</v>
      </c>
      <c r="J516" s="97">
        <f>G516*ENTRY!$Q510</f>
        <v>0</v>
      </c>
      <c r="K516" s="95"/>
      <c r="L516" s="109"/>
      <c r="M516" s="106"/>
      <c r="N516" s="98"/>
      <c r="O516" s="99"/>
      <c r="P516" s="99"/>
      <c r="Q516" s="99"/>
      <c r="R516" s="99"/>
      <c r="S516" s="100"/>
      <c r="T516" s="100"/>
      <c r="U516" s="100"/>
      <c r="V516" s="100"/>
      <c r="W516" s="88"/>
      <c r="X516" s="89"/>
      <c r="Y516" s="90"/>
      <c r="Z516" s="90"/>
      <c r="AA516" s="90"/>
      <c r="AB516" s="90"/>
      <c r="AC516" s="90"/>
    </row>
    <row r="517">
      <c r="A517" s="104"/>
      <c r="B517" s="101"/>
      <c r="C517" s="105"/>
      <c r="D517" s="80"/>
      <c r="E517" s="81"/>
      <c r="F517" s="82"/>
      <c r="G517" s="83"/>
      <c r="H517" s="84">
        <f>G517*ENTRY!$O511</f>
        <v>0</v>
      </c>
      <c r="I517" s="84">
        <f>G517*ENTRY!$P511</f>
        <v>0</v>
      </c>
      <c r="J517" s="84">
        <f>G517*ENTRY!$Q511</f>
        <v>0</v>
      </c>
      <c r="K517" s="82"/>
      <c r="L517" s="82"/>
      <c r="M517" s="81"/>
      <c r="N517" s="85"/>
      <c r="O517" s="86"/>
      <c r="P517" s="86"/>
      <c r="Q517" s="86"/>
      <c r="R517" s="86"/>
      <c r="S517" s="87"/>
      <c r="T517" s="87"/>
      <c r="U517" s="87"/>
      <c r="V517" s="87"/>
      <c r="W517" s="88"/>
      <c r="X517" s="89"/>
      <c r="Y517" s="90"/>
      <c r="Z517" s="90"/>
      <c r="AA517" s="90"/>
      <c r="AB517" s="90"/>
      <c r="AC517" s="90"/>
    </row>
    <row r="518">
      <c r="A518" s="104"/>
      <c r="B518" s="101"/>
      <c r="C518" s="105"/>
      <c r="D518" s="93"/>
      <c r="E518" s="106"/>
      <c r="F518" s="107"/>
      <c r="G518" s="108"/>
      <c r="H518" s="97">
        <f>G518*ENTRY!$O512</f>
        <v>0</v>
      </c>
      <c r="I518" s="97">
        <f>G518*ENTRY!$P512</f>
        <v>0</v>
      </c>
      <c r="J518" s="97">
        <f>G518*ENTRY!$Q512</f>
        <v>0</v>
      </c>
      <c r="K518" s="95"/>
      <c r="L518" s="109"/>
      <c r="M518" s="106"/>
      <c r="N518" s="98"/>
      <c r="O518" s="99"/>
      <c r="P518" s="99"/>
      <c r="Q518" s="99"/>
      <c r="R518" s="99"/>
      <c r="S518" s="100"/>
      <c r="T518" s="100"/>
      <c r="U518" s="100"/>
      <c r="V518" s="100"/>
      <c r="W518" s="88"/>
      <c r="X518" s="89"/>
      <c r="Y518" s="90"/>
      <c r="Z518" s="90"/>
      <c r="AA518" s="90"/>
      <c r="AB518" s="90"/>
      <c r="AC518" s="90"/>
    </row>
    <row r="519">
      <c r="A519" s="104"/>
      <c r="B519" s="101"/>
      <c r="C519" s="105"/>
      <c r="D519" s="80"/>
      <c r="E519" s="81"/>
      <c r="F519" s="82"/>
      <c r="G519" s="83"/>
      <c r="H519" s="84">
        <f>G519*ENTRY!$O513</f>
        <v>0</v>
      </c>
      <c r="I519" s="84">
        <f>G519*ENTRY!$P513</f>
        <v>0</v>
      </c>
      <c r="J519" s="84">
        <f>G519*ENTRY!$Q513</f>
        <v>0</v>
      </c>
      <c r="K519" s="82"/>
      <c r="L519" s="82"/>
      <c r="M519" s="81"/>
      <c r="N519" s="85"/>
      <c r="O519" s="86"/>
      <c r="P519" s="86"/>
      <c r="Q519" s="86"/>
      <c r="R519" s="86"/>
      <c r="S519" s="87"/>
      <c r="T519" s="87"/>
      <c r="U519" s="87"/>
      <c r="V519" s="87"/>
      <c r="W519" s="88"/>
      <c r="X519" s="89"/>
      <c r="Y519" s="90"/>
      <c r="Z519" s="90"/>
      <c r="AA519" s="90"/>
      <c r="AB519" s="90"/>
      <c r="AC519" s="90"/>
    </row>
    <row r="520">
      <c r="A520" s="104"/>
      <c r="B520" s="101"/>
      <c r="C520" s="105"/>
      <c r="D520" s="93"/>
      <c r="E520" s="106"/>
      <c r="F520" s="107"/>
      <c r="G520" s="108"/>
      <c r="H520" s="97">
        <f>G520*ENTRY!$O514</f>
        <v>0</v>
      </c>
      <c r="I520" s="97">
        <f>G520*ENTRY!$P514</f>
        <v>0</v>
      </c>
      <c r="J520" s="97">
        <f>G520*ENTRY!$Q514</f>
        <v>0</v>
      </c>
      <c r="K520" s="95"/>
      <c r="L520" s="109"/>
      <c r="M520" s="106"/>
      <c r="N520" s="98"/>
      <c r="O520" s="99"/>
      <c r="P520" s="99"/>
      <c r="Q520" s="99"/>
      <c r="R520" s="99"/>
      <c r="S520" s="100"/>
      <c r="T520" s="100"/>
      <c r="U520" s="100"/>
      <c r="V520" s="100"/>
      <c r="W520" s="88"/>
      <c r="X520" s="89"/>
      <c r="Y520" s="90"/>
      <c r="Z520" s="90"/>
      <c r="AA520" s="90"/>
      <c r="AB520" s="90"/>
      <c r="AC520" s="90"/>
    </row>
    <row r="521">
      <c r="A521" s="104"/>
      <c r="B521" s="101"/>
      <c r="C521" s="105"/>
      <c r="D521" s="80"/>
      <c r="E521" s="81"/>
      <c r="F521" s="82"/>
      <c r="G521" s="83"/>
      <c r="H521" s="84">
        <f>G521*ENTRY!$O515</f>
        <v>0</v>
      </c>
      <c r="I521" s="84">
        <f>G521*ENTRY!$P515</f>
        <v>0</v>
      </c>
      <c r="J521" s="84">
        <f>G521*ENTRY!$Q515</f>
        <v>0</v>
      </c>
      <c r="K521" s="82"/>
      <c r="L521" s="82"/>
      <c r="M521" s="81"/>
      <c r="N521" s="85"/>
      <c r="O521" s="86"/>
      <c r="P521" s="86"/>
      <c r="Q521" s="86"/>
      <c r="R521" s="86"/>
      <c r="S521" s="87"/>
      <c r="T521" s="87"/>
      <c r="U521" s="87"/>
      <c r="V521" s="87"/>
      <c r="W521" s="88"/>
      <c r="X521" s="89"/>
      <c r="Y521" s="90"/>
      <c r="Z521" s="90"/>
      <c r="AA521" s="90"/>
      <c r="AB521" s="90"/>
      <c r="AC521" s="90"/>
    </row>
    <row r="522">
      <c r="A522" s="104"/>
      <c r="B522" s="101"/>
      <c r="C522" s="105"/>
      <c r="D522" s="93"/>
      <c r="E522" s="106"/>
      <c r="F522" s="107"/>
      <c r="G522" s="108"/>
      <c r="H522" s="97">
        <f>G522*ENTRY!$O516</f>
        <v>0</v>
      </c>
      <c r="I522" s="97">
        <f>G522*ENTRY!$P516</f>
        <v>0</v>
      </c>
      <c r="J522" s="97">
        <f>G522*ENTRY!$Q516</f>
        <v>0</v>
      </c>
      <c r="K522" s="95"/>
      <c r="L522" s="109"/>
      <c r="M522" s="106"/>
      <c r="N522" s="98"/>
      <c r="O522" s="99"/>
      <c r="P522" s="99"/>
      <c r="Q522" s="99"/>
      <c r="R522" s="99"/>
      <c r="S522" s="100"/>
      <c r="T522" s="100"/>
      <c r="U522" s="100"/>
      <c r="V522" s="100"/>
      <c r="W522" s="88"/>
      <c r="X522" s="89"/>
      <c r="Y522" s="90"/>
      <c r="Z522" s="90"/>
      <c r="AA522" s="90"/>
      <c r="AB522" s="90"/>
      <c r="AC522" s="90"/>
    </row>
    <row r="523">
      <c r="A523" s="104"/>
      <c r="B523" s="101"/>
      <c r="C523" s="105"/>
      <c r="D523" s="80"/>
      <c r="E523" s="81"/>
      <c r="F523" s="82"/>
      <c r="G523" s="83"/>
      <c r="H523" s="84">
        <f>G523*ENTRY!$O517</f>
        <v>0</v>
      </c>
      <c r="I523" s="84">
        <f>G523*ENTRY!$P517</f>
        <v>0</v>
      </c>
      <c r="J523" s="84">
        <f>G523*ENTRY!$Q517</f>
        <v>0</v>
      </c>
      <c r="K523" s="82"/>
      <c r="L523" s="82"/>
      <c r="M523" s="81"/>
      <c r="N523" s="85"/>
      <c r="O523" s="86"/>
      <c r="P523" s="86"/>
      <c r="Q523" s="86"/>
      <c r="R523" s="86"/>
      <c r="S523" s="87"/>
      <c r="T523" s="87"/>
      <c r="U523" s="87"/>
      <c r="V523" s="87"/>
      <c r="W523" s="88"/>
      <c r="X523" s="89"/>
      <c r="Y523" s="90"/>
      <c r="Z523" s="90"/>
      <c r="AA523" s="90"/>
      <c r="AB523" s="90"/>
      <c r="AC523" s="90"/>
    </row>
    <row r="524">
      <c r="A524" s="104"/>
      <c r="B524" s="101"/>
      <c r="C524" s="105"/>
      <c r="D524" s="93"/>
      <c r="E524" s="106"/>
      <c r="F524" s="107"/>
      <c r="G524" s="108"/>
      <c r="H524" s="97">
        <f>G524*ENTRY!$O518</f>
        <v>0</v>
      </c>
      <c r="I524" s="97">
        <f>G524*ENTRY!$P518</f>
        <v>0</v>
      </c>
      <c r="J524" s="97">
        <f>G524*ENTRY!$Q518</f>
        <v>0</v>
      </c>
      <c r="K524" s="95"/>
      <c r="L524" s="109"/>
      <c r="M524" s="106"/>
      <c r="N524" s="98"/>
      <c r="O524" s="99"/>
      <c r="P524" s="99"/>
      <c r="Q524" s="99"/>
      <c r="R524" s="99"/>
      <c r="S524" s="100"/>
      <c r="T524" s="100"/>
      <c r="U524" s="100"/>
      <c r="V524" s="100"/>
      <c r="W524" s="88"/>
      <c r="X524" s="89"/>
      <c r="Y524" s="90"/>
      <c r="Z524" s="90"/>
      <c r="AA524" s="90"/>
      <c r="AB524" s="90"/>
      <c r="AC524" s="90"/>
    </row>
    <row r="525">
      <c r="A525" s="104"/>
      <c r="B525" s="101"/>
      <c r="C525" s="105"/>
      <c r="D525" s="80"/>
      <c r="E525" s="81"/>
      <c r="F525" s="82"/>
      <c r="G525" s="83"/>
      <c r="H525" s="84">
        <f>G525*ENTRY!$O519</f>
        <v>0</v>
      </c>
      <c r="I525" s="84">
        <f>G525*ENTRY!$P519</f>
        <v>0</v>
      </c>
      <c r="J525" s="84">
        <f>G525*ENTRY!$Q519</f>
        <v>0</v>
      </c>
      <c r="K525" s="82"/>
      <c r="L525" s="82"/>
      <c r="M525" s="81"/>
      <c r="N525" s="85"/>
      <c r="O525" s="86"/>
      <c r="P525" s="86"/>
      <c r="Q525" s="86"/>
      <c r="R525" s="86"/>
      <c r="S525" s="87"/>
      <c r="T525" s="87"/>
      <c r="U525" s="87"/>
      <c r="V525" s="87"/>
      <c r="W525" s="88"/>
      <c r="X525" s="89"/>
      <c r="Y525" s="90"/>
      <c r="Z525" s="90"/>
      <c r="AA525" s="90"/>
      <c r="AB525" s="90"/>
      <c r="AC525" s="90"/>
    </row>
    <row r="526">
      <c r="A526" s="104"/>
      <c r="B526" s="101"/>
      <c r="C526" s="105"/>
      <c r="D526" s="93"/>
      <c r="E526" s="106"/>
      <c r="F526" s="107"/>
      <c r="G526" s="108"/>
      <c r="H526" s="97">
        <f>G526*ENTRY!$O520</f>
        <v>0</v>
      </c>
      <c r="I526" s="97">
        <f>G526*ENTRY!$P520</f>
        <v>0</v>
      </c>
      <c r="J526" s="97">
        <f>G526*ENTRY!$Q520</f>
        <v>0</v>
      </c>
      <c r="K526" s="95"/>
      <c r="L526" s="109"/>
      <c r="M526" s="106"/>
      <c r="N526" s="98"/>
      <c r="O526" s="99"/>
      <c r="P526" s="99"/>
      <c r="Q526" s="99"/>
      <c r="R526" s="99"/>
      <c r="S526" s="100"/>
      <c r="T526" s="100"/>
      <c r="U526" s="100"/>
      <c r="V526" s="100"/>
      <c r="W526" s="88"/>
      <c r="X526" s="89"/>
      <c r="Y526" s="90"/>
      <c r="Z526" s="90"/>
      <c r="AA526" s="90"/>
      <c r="AB526" s="90"/>
      <c r="AC526" s="90"/>
    </row>
    <row r="527">
      <c r="A527" s="104"/>
      <c r="B527" s="101"/>
      <c r="C527" s="105"/>
      <c r="D527" s="80"/>
      <c r="E527" s="81"/>
      <c r="F527" s="82"/>
      <c r="G527" s="83"/>
      <c r="H527" s="84">
        <f>G527*ENTRY!$O521</f>
        <v>0</v>
      </c>
      <c r="I527" s="84">
        <f>G527*ENTRY!$P521</f>
        <v>0</v>
      </c>
      <c r="J527" s="84">
        <f>G527*ENTRY!$Q521</f>
        <v>0</v>
      </c>
      <c r="K527" s="82"/>
      <c r="L527" s="82"/>
      <c r="M527" s="81"/>
      <c r="N527" s="85"/>
      <c r="O527" s="86"/>
      <c r="P527" s="86"/>
      <c r="Q527" s="86"/>
      <c r="R527" s="86"/>
      <c r="S527" s="87"/>
      <c r="T527" s="87"/>
      <c r="U527" s="87"/>
      <c r="V527" s="87"/>
      <c r="W527" s="88"/>
      <c r="X527" s="89"/>
      <c r="Y527" s="90"/>
      <c r="Z527" s="90"/>
      <c r="AA527" s="90"/>
      <c r="AB527" s="90"/>
      <c r="AC527" s="90"/>
    </row>
    <row r="528">
      <c r="A528" s="104"/>
      <c r="B528" s="101"/>
      <c r="C528" s="105"/>
      <c r="D528" s="93"/>
      <c r="E528" s="106"/>
      <c r="F528" s="107"/>
      <c r="G528" s="108"/>
      <c r="H528" s="97">
        <f>G528*ENTRY!$O522</f>
        <v>0</v>
      </c>
      <c r="I528" s="97">
        <f>G528*ENTRY!$P522</f>
        <v>0</v>
      </c>
      <c r="J528" s="97">
        <f>G528*ENTRY!$Q522</f>
        <v>0</v>
      </c>
      <c r="K528" s="95"/>
      <c r="L528" s="109"/>
      <c r="M528" s="106"/>
      <c r="N528" s="98"/>
      <c r="O528" s="99"/>
      <c r="P528" s="99"/>
      <c r="Q528" s="99"/>
      <c r="R528" s="99"/>
      <c r="S528" s="100"/>
      <c r="T528" s="100"/>
      <c r="U528" s="100"/>
      <c r="V528" s="100"/>
      <c r="W528" s="88"/>
      <c r="X528" s="89"/>
      <c r="Y528" s="90"/>
      <c r="Z528" s="90"/>
      <c r="AA528" s="90"/>
      <c r="AB528" s="90"/>
      <c r="AC528" s="90"/>
    </row>
    <row r="529">
      <c r="A529" s="104"/>
      <c r="B529" s="101"/>
      <c r="C529" s="105"/>
      <c r="D529" s="80"/>
      <c r="E529" s="81"/>
      <c r="F529" s="82"/>
      <c r="G529" s="83"/>
      <c r="H529" s="84">
        <f>G529*ENTRY!$O523</f>
        <v>0</v>
      </c>
      <c r="I529" s="84">
        <f>G529*ENTRY!$P523</f>
        <v>0</v>
      </c>
      <c r="J529" s="84">
        <f>G529*ENTRY!$Q523</f>
        <v>0</v>
      </c>
      <c r="K529" s="82"/>
      <c r="L529" s="82"/>
      <c r="M529" s="81"/>
      <c r="N529" s="85"/>
      <c r="O529" s="86"/>
      <c r="P529" s="86"/>
      <c r="Q529" s="86"/>
      <c r="R529" s="86"/>
      <c r="S529" s="87"/>
      <c r="T529" s="87"/>
      <c r="U529" s="87"/>
      <c r="V529" s="87"/>
      <c r="W529" s="88"/>
      <c r="X529" s="89"/>
      <c r="Y529" s="90"/>
      <c r="Z529" s="90"/>
      <c r="AA529" s="90"/>
      <c r="AB529" s="90"/>
      <c r="AC529" s="90"/>
    </row>
    <row r="530">
      <c r="A530" s="104"/>
      <c r="B530" s="101"/>
      <c r="C530" s="105"/>
      <c r="D530" s="93"/>
      <c r="E530" s="106"/>
      <c r="F530" s="107"/>
      <c r="G530" s="108"/>
      <c r="H530" s="97">
        <f>G530*ENTRY!$O524</f>
        <v>0</v>
      </c>
      <c r="I530" s="97">
        <f>G530*ENTRY!$P524</f>
        <v>0</v>
      </c>
      <c r="J530" s="97">
        <f>G530*ENTRY!$Q524</f>
        <v>0</v>
      </c>
      <c r="K530" s="95"/>
      <c r="L530" s="109"/>
      <c r="M530" s="106"/>
      <c r="N530" s="98"/>
      <c r="O530" s="99"/>
      <c r="P530" s="99"/>
      <c r="Q530" s="99"/>
      <c r="R530" s="99"/>
      <c r="S530" s="100"/>
      <c r="T530" s="100"/>
      <c r="U530" s="100"/>
      <c r="V530" s="100"/>
      <c r="W530" s="88"/>
      <c r="X530" s="89"/>
      <c r="Y530" s="90"/>
      <c r="Z530" s="90"/>
      <c r="AA530" s="90"/>
      <c r="AB530" s="90"/>
      <c r="AC530" s="90"/>
    </row>
    <row r="531">
      <c r="A531" s="104"/>
      <c r="B531" s="101"/>
      <c r="C531" s="105"/>
      <c r="D531" s="80"/>
      <c r="E531" s="81"/>
      <c r="F531" s="82"/>
      <c r="G531" s="83"/>
      <c r="H531" s="84">
        <f>G531*ENTRY!$O525</f>
        <v>0</v>
      </c>
      <c r="I531" s="84">
        <f>G531*ENTRY!$P525</f>
        <v>0</v>
      </c>
      <c r="J531" s="84">
        <f>G531*ENTRY!$Q525</f>
        <v>0</v>
      </c>
      <c r="K531" s="82"/>
      <c r="L531" s="82"/>
      <c r="M531" s="81"/>
      <c r="N531" s="85"/>
      <c r="O531" s="86"/>
      <c r="P531" s="86"/>
      <c r="Q531" s="86"/>
      <c r="R531" s="86"/>
      <c r="S531" s="87"/>
      <c r="T531" s="87"/>
      <c r="U531" s="87"/>
      <c r="V531" s="87"/>
      <c r="W531" s="88"/>
      <c r="X531" s="89"/>
      <c r="Y531" s="90"/>
      <c r="Z531" s="90"/>
      <c r="AA531" s="90"/>
      <c r="AB531" s="90"/>
      <c r="AC531" s="90"/>
    </row>
    <row r="532">
      <c r="A532" s="104"/>
      <c r="B532" s="101"/>
      <c r="C532" s="105"/>
      <c r="D532" s="93"/>
      <c r="E532" s="106"/>
      <c r="F532" s="107"/>
      <c r="G532" s="108"/>
      <c r="H532" s="97">
        <f>G532*ENTRY!$O526</f>
        <v>0</v>
      </c>
      <c r="I532" s="97">
        <f>G532*ENTRY!$P526</f>
        <v>0</v>
      </c>
      <c r="J532" s="97">
        <f>G532*ENTRY!$Q526</f>
        <v>0</v>
      </c>
      <c r="K532" s="95"/>
      <c r="L532" s="109"/>
      <c r="M532" s="106"/>
      <c r="N532" s="98"/>
      <c r="O532" s="99"/>
      <c r="P532" s="99"/>
      <c r="Q532" s="99"/>
      <c r="R532" s="99"/>
      <c r="S532" s="100"/>
      <c r="T532" s="100"/>
      <c r="U532" s="100"/>
      <c r="V532" s="100"/>
      <c r="W532" s="88"/>
      <c r="X532" s="89"/>
      <c r="Y532" s="90"/>
      <c r="Z532" s="90"/>
      <c r="AA532" s="90"/>
      <c r="AB532" s="90"/>
      <c r="AC532" s="90"/>
    </row>
    <row r="533">
      <c r="A533" s="104"/>
      <c r="B533" s="101"/>
      <c r="C533" s="105"/>
      <c r="D533" s="80"/>
      <c r="E533" s="81"/>
      <c r="F533" s="82"/>
      <c r="G533" s="83"/>
      <c r="H533" s="84">
        <f>G533*ENTRY!$O527</f>
        <v>0</v>
      </c>
      <c r="I533" s="84">
        <f>G533*ENTRY!$P527</f>
        <v>0</v>
      </c>
      <c r="J533" s="84">
        <f>G533*ENTRY!$Q527</f>
        <v>0</v>
      </c>
      <c r="K533" s="82"/>
      <c r="L533" s="82"/>
      <c r="M533" s="81"/>
      <c r="N533" s="85"/>
      <c r="O533" s="86"/>
      <c r="P533" s="86"/>
      <c r="Q533" s="86"/>
      <c r="R533" s="86"/>
      <c r="S533" s="87"/>
      <c r="T533" s="87"/>
      <c r="U533" s="87"/>
      <c r="V533" s="87"/>
      <c r="W533" s="88"/>
      <c r="X533" s="89"/>
      <c r="Y533" s="90"/>
      <c r="Z533" s="90"/>
      <c r="AA533" s="90"/>
      <c r="AB533" s="90"/>
      <c r="AC533" s="90"/>
    </row>
    <row r="534">
      <c r="A534" s="104"/>
      <c r="B534" s="101"/>
      <c r="C534" s="105"/>
      <c r="D534" s="93"/>
      <c r="E534" s="106"/>
      <c r="F534" s="107"/>
      <c r="G534" s="108"/>
      <c r="H534" s="97">
        <f>G534*ENTRY!$O528</f>
        <v>0</v>
      </c>
      <c r="I534" s="97">
        <f>G534*ENTRY!$P528</f>
        <v>0</v>
      </c>
      <c r="J534" s="97">
        <f>G534*ENTRY!$Q528</f>
        <v>0</v>
      </c>
      <c r="K534" s="95"/>
      <c r="L534" s="109"/>
      <c r="M534" s="106"/>
      <c r="N534" s="98"/>
      <c r="O534" s="99"/>
      <c r="P534" s="99"/>
      <c r="Q534" s="99"/>
      <c r="R534" s="99"/>
      <c r="S534" s="100"/>
      <c r="T534" s="100"/>
      <c r="U534" s="100"/>
      <c r="V534" s="100"/>
      <c r="W534" s="88"/>
      <c r="X534" s="89"/>
      <c r="Y534" s="90"/>
      <c r="Z534" s="90"/>
      <c r="AA534" s="90"/>
      <c r="AB534" s="90"/>
      <c r="AC534" s="90"/>
    </row>
    <row r="535">
      <c r="A535" s="104"/>
      <c r="B535" s="101"/>
      <c r="C535" s="105"/>
      <c r="D535" s="80"/>
      <c r="E535" s="81"/>
      <c r="F535" s="82"/>
      <c r="G535" s="83"/>
      <c r="H535" s="84">
        <f>G535*ENTRY!$O529</f>
        <v>0</v>
      </c>
      <c r="I535" s="84">
        <f>G535*ENTRY!$P529</f>
        <v>0</v>
      </c>
      <c r="J535" s="84">
        <f>G535*ENTRY!$Q529</f>
        <v>0</v>
      </c>
      <c r="K535" s="82"/>
      <c r="L535" s="82"/>
      <c r="M535" s="81"/>
      <c r="N535" s="85"/>
      <c r="O535" s="86"/>
      <c r="P535" s="86"/>
      <c r="Q535" s="86"/>
      <c r="R535" s="86"/>
      <c r="S535" s="87"/>
      <c r="T535" s="87"/>
      <c r="U535" s="87"/>
      <c r="V535" s="87"/>
      <c r="W535" s="88"/>
      <c r="X535" s="89"/>
      <c r="Y535" s="90"/>
      <c r="Z535" s="90"/>
      <c r="AA535" s="90"/>
      <c r="AB535" s="90"/>
      <c r="AC535" s="90"/>
    </row>
    <row r="536">
      <c r="A536" s="104"/>
      <c r="B536" s="101"/>
      <c r="C536" s="105"/>
      <c r="D536" s="93"/>
      <c r="E536" s="106"/>
      <c r="F536" s="107"/>
      <c r="G536" s="108"/>
      <c r="H536" s="97">
        <f>G536*ENTRY!$O530</f>
        <v>0</v>
      </c>
      <c r="I536" s="97">
        <f>G536*ENTRY!$P530</f>
        <v>0</v>
      </c>
      <c r="J536" s="97">
        <f>G536*ENTRY!$Q530</f>
        <v>0</v>
      </c>
      <c r="K536" s="95"/>
      <c r="L536" s="109"/>
      <c r="M536" s="106"/>
      <c r="N536" s="98"/>
      <c r="O536" s="99"/>
      <c r="P536" s="99"/>
      <c r="Q536" s="99"/>
      <c r="R536" s="99"/>
      <c r="S536" s="100"/>
      <c r="T536" s="100"/>
      <c r="U536" s="100"/>
      <c r="V536" s="100"/>
      <c r="W536" s="88"/>
      <c r="X536" s="89"/>
      <c r="Y536" s="90"/>
      <c r="Z536" s="90"/>
      <c r="AA536" s="90"/>
      <c r="AB536" s="90"/>
      <c r="AC536" s="90"/>
    </row>
    <row r="537">
      <c r="A537" s="104"/>
      <c r="B537" s="101"/>
      <c r="C537" s="105"/>
      <c r="D537" s="80"/>
      <c r="E537" s="81"/>
      <c r="F537" s="82"/>
      <c r="G537" s="83"/>
      <c r="H537" s="84">
        <f>G537*ENTRY!$O531</f>
        <v>0</v>
      </c>
      <c r="I537" s="84">
        <f>G537*ENTRY!$P531</f>
        <v>0</v>
      </c>
      <c r="J537" s="84">
        <f>G537*ENTRY!$Q531</f>
        <v>0</v>
      </c>
      <c r="K537" s="82"/>
      <c r="L537" s="82"/>
      <c r="M537" s="81"/>
      <c r="N537" s="85"/>
      <c r="O537" s="86"/>
      <c r="P537" s="86"/>
      <c r="Q537" s="86"/>
      <c r="R537" s="86"/>
      <c r="S537" s="87"/>
      <c r="T537" s="87"/>
      <c r="U537" s="87"/>
      <c r="V537" s="87"/>
      <c r="W537" s="88"/>
      <c r="X537" s="89"/>
      <c r="Y537" s="90"/>
      <c r="Z537" s="90"/>
      <c r="AA537" s="90"/>
      <c r="AB537" s="90"/>
      <c r="AC537" s="90"/>
    </row>
    <row r="538">
      <c r="A538" s="104"/>
      <c r="B538" s="101"/>
      <c r="C538" s="105"/>
      <c r="D538" s="93"/>
      <c r="E538" s="106"/>
      <c r="F538" s="107"/>
      <c r="G538" s="108"/>
      <c r="H538" s="97">
        <f>G538*ENTRY!$O532</f>
        <v>0</v>
      </c>
      <c r="I538" s="97">
        <f>G538*ENTRY!$P532</f>
        <v>0</v>
      </c>
      <c r="J538" s="97">
        <f>G538*ENTRY!$Q532</f>
        <v>0</v>
      </c>
      <c r="K538" s="95"/>
      <c r="L538" s="109"/>
      <c r="M538" s="106"/>
      <c r="N538" s="98"/>
      <c r="O538" s="99"/>
      <c r="P538" s="99"/>
      <c r="Q538" s="99"/>
      <c r="R538" s="99"/>
      <c r="S538" s="100"/>
      <c r="T538" s="100"/>
      <c r="U538" s="100"/>
      <c r="V538" s="100"/>
      <c r="W538" s="88"/>
      <c r="X538" s="89"/>
      <c r="Y538" s="90"/>
      <c r="Z538" s="90"/>
      <c r="AA538" s="90"/>
      <c r="AB538" s="90"/>
      <c r="AC538" s="90"/>
    </row>
    <row r="539">
      <c r="A539" s="104"/>
      <c r="B539" s="101"/>
      <c r="C539" s="105"/>
      <c r="D539" s="80"/>
      <c r="E539" s="81"/>
      <c r="F539" s="82"/>
      <c r="G539" s="83"/>
      <c r="H539" s="84">
        <f>G539*ENTRY!$O533</f>
        <v>0</v>
      </c>
      <c r="I539" s="84">
        <f>G539*ENTRY!$P533</f>
        <v>0</v>
      </c>
      <c r="J539" s="84">
        <f>G539*ENTRY!$Q533</f>
        <v>0</v>
      </c>
      <c r="K539" s="82"/>
      <c r="L539" s="82"/>
      <c r="M539" s="81"/>
      <c r="N539" s="85"/>
      <c r="O539" s="86"/>
      <c r="P539" s="86"/>
      <c r="Q539" s="86"/>
      <c r="R539" s="86"/>
      <c r="S539" s="87"/>
      <c r="T539" s="87"/>
      <c r="U539" s="87"/>
      <c r="V539" s="87"/>
      <c r="W539" s="88"/>
      <c r="X539" s="89"/>
      <c r="Y539" s="90"/>
      <c r="Z539" s="90"/>
      <c r="AA539" s="90"/>
      <c r="AB539" s="90"/>
      <c r="AC539" s="90"/>
    </row>
    <row r="540">
      <c r="A540" s="104"/>
      <c r="B540" s="101"/>
      <c r="C540" s="105"/>
      <c r="D540" s="93"/>
      <c r="E540" s="106"/>
      <c r="F540" s="107"/>
      <c r="G540" s="108"/>
      <c r="H540" s="97">
        <f>G540*ENTRY!$O534</f>
        <v>0</v>
      </c>
      <c r="I540" s="97">
        <f>G540*ENTRY!$P534</f>
        <v>0</v>
      </c>
      <c r="J540" s="97">
        <f>G540*ENTRY!$Q534</f>
        <v>0</v>
      </c>
      <c r="K540" s="95"/>
      <c r="L540" s="109"/>
      <c r="M540" s="106"/>
      <c r="N540" s="98"/>
      <c r="O540" s="99"/>
      <c r="P540" s="99"/>
      <c r="Q540" s="99"/>
      <c r="R540" s="99"/>
      <c r="S540" s="100"/>
      <c r="T540" s="100"/>
      <c r="U540" s="100"/>
      <c r="V540" s="100"/>
      <c r="W540" s="88"/>
      <c r="X540" s="89"/>
      <c r="Y540" s="90"/>
      <c r="Z540" s="90"/>
      <c r="AA540" s="90"/>
      <c r="AB540" s="90"/>
      <c r="AC540" s="90"/>
    </row>
    <row r="541">
      <c r="A541" s="104"/>
      <c r="B541" s="101"/>
      <c r="C541" s="105"/>
      <c r="D541" s="80"/>
      <c r="E541" s="81"/>
      <c r="F541" s="82"/>
      <c r="G541" s="83"/>
      <c r="H541" s="84">
        <f>G541*ENTRY!$O535</f>
        <v>0</v>
      </c>
      <c r="I541" s="84">
        <f>G541*ENTRY!$P535</f>
        <v>0</v>
      </c>
      <c r="J541" s="84">
        <f>G541*ENTRY!$Q535</f>
        <v>0</v>
      </c>
      <c r="K541" s="82"/>
      <c r="L541" s="82"/>
      <c r="M541" s="81"/>
      <c r="N541" s="85"/>
      <c r="O541" s="86"/>
      <c r="P541" s="86"/>
      <c r="Q541" s="86"/>
      <c r="R541" s="86"/>
      <c r="S541" s="87"/>
      <c r="T541" s="87"/>
      <c r="U541" s="87"/>
      <c r="V541" s="87"/>
      <c r="W541" s="88"/>
      <c r="X541" s="89"/>
      <c r="Y541" s="90"/>
      <c r="Z541" s="90"/>
      <c r="AA541" s="90"/>
      <c r="AB541" s="90"/>
      <c r="AC541" s="90"/>
    </row>
    <row r="542">
      <c r="A542" s="104"/>
      <c r="B542" s="101"/>
      <c r="C542" s="105"/>
      <c r="D542" s="93"/>
      <c r="E542" s="106"/>
      <c r="F542" s="107"/>
      <c r="G542" s="108"/>
      <c r="H542" s="97">
        <f>G542*ENTRY!$O536</f>
        <v>0</v>
      </c>
      <c r="I542" s="97">
        <f>G542*ENTRY!$P536</f>
        <v>0</v>
      </c>
      <c r="J542" s="97">
        <f>G542*ENTRY!$Q536</f>
        <v>0</v>
      </c>
      <c r="K542" s="95"/>
      <c r="L542" s="109"/>
      <c r="M542" s="106"/>
      <c r="N542" s="98"/>
      <c r="O542" s="99"/>
      <c r="P542" s="99"/>
      <c r="Q542" s="99"/>
      <c r="R542" s="99"/>
      <c r="S542" s="100"/>
      <c r="T542" s="100"/>
      <c r="U542" s="100"/>
      <c r="V542" s="100"/>
      <c r="W542" s="88"/>
      <c r="X542" s="89"/>
      <c r="Y542" s="90"/>
      <c r="Z542" s="90"/>
      <c r="AA542" s="90"/>
      <c r="AB542" s="90"/>
      <c r="AC542" s="90"/>
    </row>
    <row r="543">
      <c r="A543" s="104"/>
      <c r="B543" s="101"/>
      <c r="C543" s="105"/>
      <c r="D543" s="80"/>
      <c r="E543" s="81"/>
      <c r="F543" s="82"/>
      <c r="G543" s="83"/>
      <c r="H543" s="84">
        <f>G543*ENTRY!$O537</f>
        <v>0</v>
      </c>
      <c r="I543" s="84">
        <f>G543*ENTRY!$P537</f>
        <v>0</v>
      </c>
      <c r="J543" s="84">
        <f>G543*ENTRY!$Q537</f>
        <v>0</v>
      </c>
      <c r="K543" s="82"/>
      <c r="L543" s="82"/>
      <c r="M543" s="81"/>
      <c r="N543" s="85"/>
      <c r="O543" s="86"/>
      <c r="P543" s="86"/>
      <c r="Q543" s="86"/>
      <c r="R543" s="86"/>
      <c r="S543" s="87"/>
      <c r="T543" s="87"/>
      <c r="U543" s="87"/>
      <c r="V543" s="87"/>
      <c r="W543" s="88"/>
      <c r="X543" s="89"/>
      <c r="Y543" s="90"/>
      <c r="Z543" s="90"/>
      <c r="AA543" s="90"/>
      <c r="AB543" s="90"/>
      <c r="AC543" s="90"/>
    </row>
    <row r="544">
      <c r="A544" s="104"/>
      <c r="B544" s="101"/>
      <c r="C544" s="105"/>
      <c r="D544" s="93"/>
      <c r="E544" s="106"/>
      <c r="F544" s="107"/>
      <c r="G544" s="108"/>
      <c r="H544" s="97">
        <f>G544*ENTRY!$O538</f>
        <v>0</v>
      </c>
      <c r="I544" s="97">
        <f>G544*ENTRY!$P538</f>
        <v>0</v>
      </c>
      <c r="J544" s="97">
        <f>G544*ENTRY!$Q538</f>
        <v>0</v>
      </c>
      <c r="K544" s="95"/>
      <c r="L544" s="109"/>
      <c r="M544" s="106"/>
      <c r="N544" s="98"/>
      <c r="O544" s="99"/>
      <c r="P544" s="99"/>
      <c r="Q544" s="99"/>
      <c r="R544" s="99"/>
      <c r="S544" s="100"/>
      <c r="T544" s="100"/>
      <c r="U544" s="100"/>
      <c r="V544" s="100"/>
      <c r="W544" s="88"/>
      <c r="X544" s="89"/>
      <c r="Y544" s="90"/>
      <c r="Z544" s="90"/>
      <c r="AA544" s="90"/>
      <c r="AB544" s="90"/>
      <c r="AC544" s="90"/>
    </row>
    <row r="545">
      <c r="A545" s="104"/>
      <c r="B545" s="101"/>
      <c r="C545" s="105"/>
      <c r="D545" s="80"/>
      <c r="E545" s="81"/>
      <c r="F545" s="82"/>
      <c r="G545" s="83"/>
      <c r="H545" s="84">
        <f>G545*ENTRY!$O539</f>
        <v>0</v>
      </c>
      <c r="I545" s="84">
        <f>G545*ENTRY!$P539</f>
        <v>0</v>
      </c>
      <c r="J545" s="84">
        <f>G545*ENTRY!$Q539</f>
        <v>0</v>
      </c>
      <c r="K545" s="82"/>
      <c r="L545" s="82"/>
      <c r="M545" s="81"/>
      <c r="N545" s="85"/>
      <c r="O545" s="86"/>
      <c r="P545" s="86"/>
      <c r="Q545" s="86"/>
      <c r="R545" s="86"/>
      <c r="S545" s="87"/>
      <c r="T545" s="87"/>
      <c r="U545" s="87"/>
      <c r="V545" s="87"/>
      <c r="W545" s="88"/>
      <c r="X545" s="89"/>
      <c r="Y545" s="90"/>
      <c r="Z545" s="90"/>
      <c r="AA545" s="90"/>
      <c r="AB545" s="90"/>
      <c r="AC545" s="90"/>
    </row>
    <row r="546">
      <c r="A546" s="104"/>
      <c r="B546" s="101"/>
      <c r="C546" s="105"/>
      <c r="D546" s="93"/>
      <c r="E546" s="106"/>
      <c r="F546" s="107"/>
      <c r="G546" s="108"/>
      <c r="H546" s="97">
        <f>G546*ENTRY!$O540</f>
        <v>0</v>
      </c>
      <c r="I546" s="97">
        <f>G546*ENTRY!$P540</f>
        <v>0</v>
      </c>
      <c r="J546" s="97">
        <f>G546*ENTRY!$Q540</f>
        <v>0</v>
      </c>
      <c r="K546" s="95"/>
      <c r="L546" s="109"/>
      <c r="M546" s="106"/>
      <c r="N546" s="98"/>
      <c r="O546" s="99"/>
      <c r="P546" s="99"/>
      <c r="Q546" s="99"/>
      <c r="R546" s="99"/>
      <c r="S546" s="100"/>
      <c r="T546" s="100"/>
      <c r="U546" s="100"/>
      <c r="V546" s="100"/>
      <c r="W546" s="88"/>
      <c r="X546" s="89"/>
      <c r="Y546" s="90"/>
      <c r="Z546" s="90"/>
      <c r="AA546" s="90"/>
      <c r="AB546" s="90"/>
      <c r="AC546" s="90"/>
    </row>
    <row r="547">
      <c r="A547" s="104"/>
      <c r="B547" s="101"/>
      <c r="C547" s="105"/>
      <c r="D547" s="80"/>
      <c r="E547" s="81"/>
      <c r="F547" s="82"/>
      <c r="G547" s="83"/>
      <c r="H547" s="84">
        <f>G547*ENTRY!$O541</f>
        <v>0</v>
      </c>
      <c r="I547" s="84">
        <f>G547*ENTRY!$P541</f>
        <v>0</v>
      </c>
      <c r="J547" s="84">
        <f>G547*ENTRY!$Q541</f>
        <v>0</v>
      </c>
      <c r="K547" s="82"/>
      <c r="L547" s="82"/>
      <c r="M547" s="81"/>
      <c r="N547" s="85"/>
      <c r="O547" s="86"/>
      <c r="P547" s="86"/>
      <c r="Q547" s="86"/>
      <c r="R547" s="86"/>
      <c r="S547" s="87"/>
      <c r="T547" s="87"/>
      <c r="U547" s="87"/>
      <c r="V547" s="87"/>
      <c r="W547" s="88"/>
      <c r="X547" s="89"/>
      <c r="Y547" s="90"/>
      <c r="Z547" s="90"/>
      <c r="AA547" s="90"/>
      <c r="AB547" s="90"/>
      <c r="AC547" s="90"/>
    </row>
    <row r="548">
      <c r="A548" s="104"/>
      <c r="B548" s="101"/>
      <c r="C548" s="105"/>
      <c r="D548" s="93"/>
      <c r="E548" s="106"/>
      <c r="F548" s="107"/>
      <c r="G548" s="108"/>
      <c r="H548" s="97">
        <f>G548*ENTRY!$O542</f>
        <v>0</v>
      </c>
      <c r="I548" s="97">
        <f>G548*ENTRY!$P542</f>
        <v>0</v>
      </c>
      <c r="J548" s="97">
        <f>G548*ENTRY!$Q542</f>
        <v>0</v>
      </c>
      <c r="K548" s="95"/>
      <c r="L548" s="109"/>
      <c r="M548" s="106"/>
      <c r="N548" s="98"/>
      <c r="O548" s="99"/>
      <c r="P548" s="99"/>
      <c r="Q548" s="99"/>
      <c r="R548" s="99"/>
      <c r="S548" s="100"/>
      <c r="T548" s="100"/>
      <c r="U548" s="100"/>
      <c r="V548" s="100"/>
      <c r="W548" s="88"/>
      <c r="X548" s="89"/>
      <c r="Y548" s="90"/>
      <c r="Z548" s="90"/>
      <c r="AA548" s="90"/>
      <c r="AB548" s="90"/>
      <c r="AC548" s="90"/>
    </row>
    <row r="549">
      <c r="A549" s="104"/>
      <c r="B549" s="101"/>
      <c r="C549" s="105"/>
      <c r="D549" s="80"/>
      <c r="E549" s="81"/>
      <c r="F549" s="82"/>
      <c r="G549" s="83"/>
      <c r="H549" s="84">
        <f>G549*ENTRY!$O543</f>
        <v>0</v>
      </c>
      <c r="I549" s="84">
        <f>G549*ENTRY!$P543</f>
        <v>0</v>
      </c>
      <c r="J549" s="84">
        <f>G549*ENTRY!$Q543</f>
        <v>0</v>
      </c>
      <c r="K549" s="82"/>
      <c r="L549" s="82"/>
      <c r="M549" s="81"/>
      <c r="N549" s="85"/>
      <c r="O549" s="86"/>
      <c r="P549" s="86"/>
      <c r="Q549" s="86"/>
      <c r="R549" s="86"/>
      <c r="S549" s="87"/>
      <c r="T549" s="87"/>
      <c r="U549" s="87"/>
      <c r="V549" s="87"/>
      <c r="W549" s="88"/>
      <c r="X549" s="89"/>
      <c r="Y549" s="90"/>
      <c r="Z549" s="90"/>
      <c r="AA549" s="90"/>
      <c r="AB549" s="90"/>
      <c r="AC549" s="90"/>
    </row>
    <row r="550">
      <c r="A550" s="104"/>
      <c r="B550" s="101"/>
      <c r="C550" s="105"/>
      <c r="D550" s="93"/>
      <c r="E550" s="106"/>
      <c r="F550" s="107"/>
      <c r="G550" s="108"/>
      <c r="H550" s="97">
        <f>G550*ENTRY!$O544</f>
        <v>0</v>
      </c>
      <c r="I550" s="97">
        <f>G550*ENTRY!$P544</f>
        <v>0</v>
      </c>
      <c r="J550" s="97">
        <f>G550*ENTRY!$Q544</f>
        <v>0</v>
      </c>
      <c r="K550" s="95"/>
      <c r="L550" s="109"/>
      <c r="M550" s="106"/>
      <c r="N550" s="98"/>
      <c r="O550" s="99"/>
      <c r="P550" s="99"/>
      <c r="Q550" s="99"/>
      <c r="R550" s="99"/>
      <c r="S550" s="100"/>
      <c r="T550" s="100"/>
      <c r="U550" s="100"/>
      <c r="V550" s="100"/>
      <c r="W550" s="88"/>
      <c r="X550" s="89"/>
      <c r="Y550" s="90"/>
      <c r="Z550" s="90"/>
      <c r="AA550" s="90"/>
      <c r="AB550" s="90"/>
      <c r="AC550" s="90"/>
    </row>
    <row r="551">
      <c r="A551" s="104"/>
      <c r="B551" s="101"/>
      <c r="C551" s="105"/>
      <c r="D551" s="80"/>
      <c r="E551" s="81"/>
      <c r="F551" s="82"/>
      <c r="G551" s="83"/>
      <c r="H551" s="84">
        <f>G551*ENTRY!$O545</f>
        <v>0</v>
      </c>
      <c r="I551" s="84">
        <f>G551*ENTRY!$P545</f>
        <v>0</v>
      </c>
      <c r="J551" s="84">
        <f>G551*ENTRY!$Q545</f>
        <v>0</v>
      </c>
      <c r="K551" s="82"/>
      <c r="L551" s="82"/>
      <c r="M551" s="81"/>
      <c r="N551" s="85"/>
      <c r="O551" s="86"/>
      <c r="P551" s="86"/>
      <c r="Q551" s="86"/>
      <c r="R551" s="86"/>
      <c r="S551" s="87"/>
      <c r="T551" s="87"/>
      <c r="U551" s="87"/>
      <c r="V551" s="87"/>
      <c r="W551" s="88"/>
      <c r="X551" s="89"/>
      <c r="Y551" s="90"/>
      <c r="Z551" s="90"/>
      <c r="AA551" s="90"/>
      <c r="AB551" s="90"/>
      <c r="AC551" s="90"/>
    </row>
    <row r="552">
      <c r="A552" s="104"/>
      <c r="B552" s="101"/>
      <c r="C552" s="105"/>
      <c r="D552" s="93"/>
      <c r="E552" s="106"/>
      <c r="F552" s="107"/>
      <c r="G552" s="108"/>
      <c r="H552" s="97">
        <f>G552*ENTRY!$O546</f>
        <v>0</v>
      </c>
      <c r="I552" s="97">
        <f>G552*ENTRY!$P546</f>
        <v>0</v>
      </c>
      <c r="J552" s="97">
        <f>G552*ENTRY!$Q546</f>
        <v>0</v>
      </c>
      <c r="K552" s="95"/>
      <c r="L552" s="109"/>
      <c r="M552" s="106"/>
      <c r="N552" s="98"/>
      <c r="O552" s="99"/>
      <c r="P552" s="99"/>
      <c r="Q552" s="99"/>
      <c r="R552" s="99"/>
      <c r="S552" s="100"/>
      <c r="T552" s="100"/>
      <c r="U552" s="100"/>
      <c r="V552" s="100"/>
      <c r="W552" s="88"/>
      <c r="X552" s="89"/>
      <c r="Y552" s="90"/>
      <c r="Z552" s="90"/>
      <c r="AA552" s="90"/>
      <c r="AB552" s="90"/>
      <c r="AC552" s="90"/>
    </row>
    <row r="553">
      <c r="A553" s="104"/>
      <c r="B553" s="101"/>
      <c r="C553" s="105"/>
      <c r="D553" s="80"/>
      <c r="E553" s="81"/>
      <c r="F553" s="82"/>
      <c r="G553" s="83"/>
      <c r="H553" s="84">
        <f>G553*ENTRY!$O547</f>
        <v>0</v>
      </c>
      <c r="I553" s="84">
        <f>G553*ENTRY!$P547</f>
        <v>0</v>
      </c>
      <c r="J553" s="84">
        <f>G553*ENTRY!$Q547</f>
        <v>0</v>
      </c>
      <c r="K553" s="82"/>
      <c r="L553" s="82"/>
      <c r="M553" s="81"/>
      <c r="N553" s="85"/>
      <c r="O553" s="86"/>
      <c r="P553" s="86"/>
      <c r="Q553" s="86"/>
      <c r="R553" s="86"/>
      <c r="S553" s="87"/>
      <c r="T553" s="87"/>
      <c r="U553" s="87"/>
      <c r="V553" s="87"/>
      <c r="W553" s="88"/>
      <c r="X553" s="89"/>
      <c r="Y553" s="90"/>
      <c r="Z553" s="90"/>
      <c r="AA553" s="90"/>
      <c r="AB553" s="90"/>
      <c r="AC553" s="90"/>
    </row>
    <row r="554">
      <c r="A554" s="104"/>
      <c r="B554" s="101"/>
      <c r="C554" s="105"/>
      <c r="D554" s="93"/>
      <c r="E554" s="106"/>
      <c r="F554" s="107"/>
      <c r="G554" s="108"/>
      <c r="H554" s="97">
        <f>G554*ENTRY!$O548</f>
        <v>0</v>
      </c>
      <c r="I554" s="97">
        <f>G554*ENTRY!$P548</f>
        <v>0</v>
      </c>
      <c r="J554" s="97">
        <f>G554*ENTRY!$Q548</f>
        <v>0</v>
      </c>
      <c r="K554" s="95"/>
      <c r="L554" s="109"/>
      <c r="M554" s="106"/>
      <c r="N554" s="98"/>
      <c r="O554" s="99"/>
      <c r="P554" s="99"/>
      <c r="Q554" s="99"/>
      <c r="R554" s="99"/>
      <c r="S554" s="100"/>
      <c r="T554" s="100"/>
      <c r="U554" s="100"/>
      <c r="V554" s="100"/>
      <c r="W554" s="88"/>
      <c r="X554" s="89"/>
      <c r="Y554" s="90"/>
      <c r="Z554" s="90"/>
      <c r="AA554" s="90"/>
      <c r="AB554" s="90"/>
      <c r="AC554" s="90"/>
    </row>
    <row r="555">
      <c r="A555" s="104"/>
      <c r="B555" s="101"/>
      <c r="C555" s="105"/>
      <c r="D555" s="80"/>
      <c r="E555" s="81"/>
      <c r="F555" s="82"/>
      <c r="G555" s="83"/>
      <c r="H555" s="84">
        <f>G555*ENTRY!$O549</f>
        <v>0</v>
      </c>
      <c r="I555" s="84">
        <f>G555*ENTRY!$P549</f>
        <v>0</v>
      </c>
      <c r="J555" s="84">
        <f>G555*ENTRY!$Q549</f>
        <v>0</v>
      </c>
      <c r="K555" s="82"/>
      <c r="L555" s="82"/>
      <c r="M555" s="81"/>
      <c r="N555" s="85"/>
      <c r="O555" s="86"/>
      <c r="P555" s="86"/>
      <c r="Q555" s="86"/>
      <c r="R555" s="86"/>
      <c r="S555" s="87"/>
      <c r="T555" s="87"/>
      <c r="U555" s="87"/>
      <c r="V555" s="87"/>
      <c r="W555" s="88"/>
      <c r="X555" s="89"/>
      <c r="Y555" s="90"/>
      <c r="Z555" s="90"/>
      <c r="AA555" s="90"/>
      <c r="AB555" s="90"/>
      <c r="AC555" s="90"/>
    </row>
    <row r="556">
      <c r="A556" s="104"/>
      <c r="B556" s="101"/>
      <c r="C556" s="105"/>
      <c r="D556" s="93"/>
      <c r="E556" s="106"/>
      <c r="F556" s="107"/>
      <c r="G556" s="108"/>
      <c r="H556" s="97">
        <f>G556*ENTRY!$O550</f>
        <v>0</v>
      </c>
      <c r="I556" s="97">
        <f>G556*ENTRY!$P550</f>
        <v>0</v>
      </c>
      <c r="J556" s="97">
        <f>G556*ENTRY!$Q550</f>
        <v>0</v>
      </c>
      <c r="K556" s="95"/>
      <c r="L556" s="109"/>
      <c r="M556" s="106"/>
      <c r="N556" s="98"/>
      <c r="O556" s="99"/>
      <c r="P556" s="99"/>
      <c r="Q556" s="99"/>
      <c r="R556" s="99"/>
      <c r="S556" s="100"/>
      <c r="T556" s="100"/>
      <c r="U556" s="100"/>
      <c r="V556" s="100"/>
      <c r="W556" s="88"/>
      <c r="X556" s="89"/>
      <c r="Y556" s="90"/>
      <c r="Z556" s="90"/>
      <c r="AA556" s="90"/>
      <c r="AB556" s="90"/>
      <c r="AC556" s="90"/>
    </row>
    <row r="557">
      <c r="A557" s="104"/>
      <c r="B557" s="101"/>
      <c r="C557" s="105"/>
      <c r="D557" s="80"/>
      <c r="E557" s="81"/>
      <c r="F557" s="82"/>
      <c r="G557" s="83"/>
      <c r="H557" s="84">
        <f>G557*ENTRY!$O551</f>
        <v>0</v>
      </c>
      <c r="I557" s="84">
        <f>G557*ENTRY!$P551</f>
        <v>0</v>
      </c>
      <c r="J557" s="84">
        <f>G557*ENTRY!$Q551</f>
        <v>0</v>
      </c>
      <c r="K557" s="82"/>
      <c r="L557" s="82"/>
      <c r="M557" s="81"/>
      <c r="N557" s="85"/>
      <c r="O557" s="86"/>
      <c r="P557" s="86"/>
      <c r="Q557" s="86"/>
      <c r="R557" s="86"/>
      <c r="S557" s="87"/>
      <c r="T557" s="87"/>
      <c r="U557" s="87"/>
      <c r="V557" s="87"/>
      <c r="W557" s="88"/>
      <c r="X557" s="89"/>
      <c r="Y557" s="90"/>
      <c r="Z557" s="90"/>
      <c r="AA557" s="90"/>
      <c r="AB557" s="90"/>
      <c r="AC557" s="90"/>
    </row>
    <row r="558">
      <c r="A558" s="104"/>
      <c r="B558" s="101"/>
      <c r="C558" s="105"/>
      <c r="D558" s="93"/>
      <c r="E558" s="106"/>
      <c r="F558" s="107"/>
      <c r="G558" s="108"/>
      <c r="H558" s="97">
        <f>G558*ENTRY!$O552</f>
        <v>0</v>
      </c>
      <c r="I558" s="97">
        <f>G558*ENTRY!$P552</f>
        <v>0</v>
      </c>
      <c r="J558" s="97">
        <f>G558*ENTRY!$Q552</f>
        <v>0</v>
      </c>
      <c r="K558" s="95"/>
      <c r="L558" s="109"/>
      <c r="M558" s="106"/>
      <c r="N558" s="98"/>
      <c r="O558" s="99"/>
      <c r="P558" s="99"/>
      <c r="Q558" s="99"/>
      <c r="R558" s="99"/>
      <c r="S558" s="100"/>
      <c r="T558" s="100"/>
      <c r="U558" s="100"/>
      <c r="V558" s="100"/>
      <c r="W558" s="88"/>
      <c r="X558" s="89"/>
      <c r="Y558" s="90"/>
      <c r="Z558" s="90"/>
      <c r="AA558" s="90"/>
      <c r="AB558" s="90"/>
      <c r="AC558" s="90"/>
    </row>
    <row r="559">
      <c r="A559" s="104"/>
      <c r="B559" s="101"/>
      <c r="C559" s="105"/>
      <c r="D559" s="80"/>
      <c r="E559" s="81"/>
      <c r="F559" s="82"/>
      <c r="G559" s="83"/>
      <c r="H559" s="84">
        <f>G559*ENTRY!$O553</f>
        <v>0</v>
      </c>
      <c r="I559" s="84">
        <f>G559*ENTRY!$P553</f>
        <v>0</v>
      </c>
      <c r="J559" s="84">
        <f>G559*ENTRY!$Q553</f>
        <v>0</v>
      </c>
      <c r="K559" s="82"/>
      <c r="L559" s="82"/>
      <c r="M559" s="81"/>
      <c r="N559" s="85"/>
      <c r="O559" s="86"/>
      <c r="P559" s="86"/>
      <c r="Q559" s="86"/>
      <c r="R559" s="86"/>
      <c r="S559" s="87"/>
      <c r="T559" s="87"/>
      <c r="U559" s="87"/>
      <c r="V559" s="87"/>
      <c r="W559" s="88"/>
      <c r="X559" s="89"/>
      <c r="Y559" s="90"/>
      <c r="Z559" s="90"/>
      <c r="AA559" s="90"/>
      <c r="AB559" s="90"/>
      <c r="AC559" s="90"/>
    </row>
    <row r="560">
      <c r="A560" s="104"/>
      <c r="B560" s="101"/>
      <c r="C560" s="105"/>
      <c r="D560" s="93"/>
      <c r="E560" s="106"/>
      <c r="F560" s="107"/>
      <c r="G560" s="108"/>
      <c r="H560" s="97">
        <f>G560*ENTRY!$O554</f>
        <v>0</v>
      </c>
      <c r="I560" s="97">
        <f>G560*ENTRY!$P554</f>
        <v>0</v>
      </c>
      <c r="J560" s="97">
        <f>G560*ENTRY!$Q554</f>
        <v>0</v>
      </c>
      <c r="K560" s="95"/>
      <c r="L560" s="109"/>
      <c r="M560" s="106"/>
      <c r="N560" s="98"/>
      <c r="O560" s="99"/>
      <c r="P560" s="99"/>
      <c r="Q560" s="99"/>
      <c r="R560" s="99"/>
      <c r="S560" s="100"/>
      <c r="T560" s="100"/>
      <c r="U560" s="100"/>
      <c r="V560" s="100"/>
      <c r="W560" s="88"/>
      <c r="X560" s="89"/>
      <c r="Y560" s="90"/>
      <c r="Z560" s="90"/>
      <c r="AA560" s="90"/>
      <c r="AB560" s="90"/>
      <c r="AC560" s="90"/>
    </row>
    <row r="561">
      <c r="A561" s="104"/>
      <c r="B561" s="101"/>
      <c r="C561" s="105"/>
      <c r="D561" s="80"/>
      <c r="E561" s="81"/>
      <c r="F561" s="82"/>
      <c r="G561" s="83"/>
      <c r="H561" s="84">
        <f>G561*ENTRY!$O555</f>
        <v>0</v>
      </c>
      <c r="I561" s="84">
        <f>G561*ENTRY!$P555</f>
        <v>0</v>
      </c>
      <c r="J561" s="84">
        <f>G561*ENTRY!$Q555</f>
        <v>0</v>
      </c>
      <c r="K561" s="82"/>
      <c r="L561" s="82"/>
      <c r="M561" s="81"/>
      <c r="N561" s="85"/>
      <c r="O561" s="86"/>
      <c r="P561" s="86"/>
      <c r="Q561" s="86"/>
      <c r="R561" s="86"/>
      <c r="S561" s="87"/>
      <c r="T561" s="87"/>
      <c r="U561" s="87"/>
      <c r="V561" s="87"/>
      <c r="W561" s="88"/>
      <c r="X561" s="89"/>
      <c r="Y561" s="90"/>
      <c r="Z561" s="90"/>
      <c r="AA561" s="90"/>
      <c r="AB561" s="90"/>
      <c r="AC561" s="90"/>
    </row>
    <row r="562">
      <c r="A562" s="104"/>
      <c r="B562" s="101"/>
      <c r="C562" s="105"/>
      <c r="D562" s="93"/>
      <c r="E562" s="106"/>
      <c r="F562" s="107"/>
      <c r="G562" s="108"/>
      <c r="H562" s="97">
        <f>G562*ENTRY!$O556</f>
        <v>0</v>
      </c>
      <c r="I562" s="97">
        <f>G562*ENTRY!$P556</f>
        <v>0</v>
      </c>
      <c r="J562" s="97">
        <f>G562*ENTRY!$Q556</f>
        <v>0</v>
      </c>
      <c r="K562" s="95"/>
      <c r="L562" s="109"/>
      <c r="M562" s="106"/>
      <c r="N562" s="98"/>
      <c r="O562" s="99"/>
      <c r="P562" s="99"/>
      <c r="Q562" s="99"/>
      <c r="R562" s="99"/>
      <c r="S562" s="100"/>
      <c r="T562" s="100"/>
      <c r="U562" s="100"/>
      <c r="V562" s="100"/>
      <c r="W562" s="88"/>
      <c r="X562" s="89"/>
      <c r="Y562" s="90"/>
      <c r="Z562" s="90"/>
      <c r="AA562" s="90"/>
      <c r="AB562" s="90"/>
      <c r="AC562" s="90"/>
    </row>
    <row r="563">
      <c r="A563" s="104"/>
      <c r="B563" s="101"/>
      <c r="C563" s="105"/>
      <c r="D563" s="80"/>
      <c r="E563" s="81"/>
      <c r="F563" s="82"/>
      <c r="G563" s="83"/>
      <c r="H563" s="84">
        <f>G563*ENTRY!$O557</f>
        <v>0</v>
      </c>
      <c r="I563" s="84">
        <f>G563*ENTRY!$P557</f>
        <v>0</v>
      </c>
      <c r="J563" s="84">
        <f>G563*ENTRY!$Q557</f>
        <v>0</v>
      </c>
      <c r="K563" s="82"/>
      <c r="L563" s="82"/>
      <c r="M563" s="81"/>
      <c r="N563" s="85"/>
      <c r="O563" s="86"/>
      <c r="P563" s="86"/>
      <c r="Q563" s="86"/>
      <c r="R563" s="86"/>
      <c r="S563" s="87"/>
      <c r="T563" s="87"/>
      <c r="U563" s="87"/>
      <c r="V563" s="87"/>
      <c r="W563" s="88"/>
      <c r="X563" s="89"/>
      <c r="Y563" s="90"/>
      <c r="Z563" s="90"/>
      <c r="AA563" s="90"/>
      <c r="AB563" s="90"/>
      <c r="AC563" s="90"/>
    </row>
    <row r="564">
      <c r="A564" s="104"/>
      <c r="B564" s="101"/>
      <c r="C564" s="105"/>
      <c r="D564" s="93"/>
      <c r="E564" s="106"/>
      <c r="F564" s="107"/>
      <c r="G564" s="108"/>
      <c r="H564" s="97">
        <f>G564*ENTRY!$O558</f>
        <v>0</v>
      </c>
      <c r="I564" s="97">
        <f>G564*ENTRY!$P558</f>
        <v>0</v>
      </c>
      <c r="J564" s="97">
        <f>G564*ENTRY!$Q558</f>
        <v>0</v>
      </c>
      <c r="K564" s="95"/>
      <c r="L564" s="109"/>
      <c r="M564" s="106"/>
      <c r="N564" s="98"/>
      <c r="O564" s="99"/>
      <c r="P564" s="99"/>
      <c r="Q564" s="99"/>
      <c r="R564" s="99"/>
      <c r="S564" s="100"/>
      <c r="T564" s="100"/>
      <c r="U564" s="100"/>
      <c r="V564" s="100"/>
      <c r="W564" s="88"/>
      <c r="X564" s="89"/>
      <c r="Y564" s="90"/>
      <c r="Z564" s="90"/>
      <c r="AA564" s="90"/>
      <c r="AB564" s="90"/>
      <c r="AC564" s="90"/>
    </row>
    <row r="565">
      <c r="A565" s="104"/>
      <c r="B565" s="101"/>
      <c r="C565" s="105"/>
      <c r="D565" s="80"/>
      <c r="E565" s="81"/>
      <c r="F565" s="82"/>
      <c r="G565" s="83"/>
      <c r="H565" s="84">
        <f>G565*ENTRY!$O559</f>
        <v>0</v>
      </c>
      <c r="I565" s="84">
        <f>G565*ENTRY!$P559</f>
        <v>0</v>
      </c>
      <c r="J565" s="84">
        <f>G565*ENTRY!$Q559</f>
        <v>0</v>
      </c>
      <c r="K565" s="82"/>
      <c r="L565" s="82"/>
      <c r="M565" s="81"/>
      <c r="N565" s="85"/>
      <c r="O565" s="86"/>
      <c r="P565" s="86"/>
      <c r="Q565" s="86"/>
      <c r="R565" s="86"/>
      <c r="S565" s="87"/>
      <c r="T565" s="87"/>
      <c r="U565" s="87"/>
      <c r="V565" s="87"/>
      <c r="W565" s="88"/>
      <c r="X565" s="89"/>
      <c r="Y565" s="90"/>
      <c r="Z565" s="90"/>
      <c r="AA565" s="90"/>
      <c r="AB565" s="90"/>
      <c r="AC565" s="90"/>
    </row>
    <row r="566">
      <c r="A566" s="104"/>
      <c r="B566" s="101"/>
      <c r="C566" s="105"/>
      <c r="D566" s="93"/>
      <c r="E566" s="106"/>
      <c r="F566" s="107"/>
      <c r="G566" s="108"/>
      <c r="H566" s="97">
        <f>G566*ENTRY!$O560</f>
        <v>0</v>
      </c>
      <c r="I566" s="97">
        <f>G566*ENTRY!$P560</f>
        <v>0</v>
      </c>
      <c r="J566" s="97">
        <f>G566*ENTRY!$Q560</f>
        <v>0</v>
      </c>
      <c r="K566" s="95"/>
      <c r="L566" s="109"/>
      <c r="M566" s="106"/>
      <c r="N566" s="98"/>
      <c r="O566" s="99"/>
      <c r="P566" s="99"/>
      <c r="Q566" s="99"/>
      <c r="R566" s="99"/>
      <c r="S566" s="100"/>
      <c r="T566" s="100"/>
      <c r="U566" s="100"/>
      <c r="V566" s="100"/>
      <c r="W566" s="88"/>
      <c r="X566" s="89"/>
      <c r="Y566" s="90"/>
      <c r="Z566" s="90"/>
      <c r="AA566" s="90"/>
      <c r="AB566" s="90"/>
      <c r="AC566" s="90"/>
    </row>
    <row r="567">
      <c r="A567" s="104"/>
      <c r="B567" s="101"/>
      <c r="C567" s="105"/>
      <c r="D567" s="80"/>
      <c r="E567" s="81"/>
      <c r="F567" s="82"/>
      <c r="G567" s="83"/>
      <c r="H567" s="84">
        <f>G567*ENTRY!$O561</f>
        <v>0</v>
      </c>
      <c r="I567" s="84">
        <f>G567*ENTRY!$P561</f>
        <v>0</v>
      </c>
      <c r="J567" s="84">
        <f>G567*ENTRY!$Q561</f>
        <v>0</v>
      </c>
      <c r="K567" s="82"/>
      <c r="L567" s="82"/>
      <c r="M567" s="81"/>
      <c r="N567" s="85"/>
      <c r="O567" s="86"/>
      <c r="P567" s="86"/>
      <c r="Q567" s="86"/>
      <c r="R567" s="86"/>
      <c r="S567" s="87"/>
      <c r="T567" s="87"/>
      <c r="U567" s="87"/>
      <c r="V567" s="87"/>
      <c r="W567" s="88"/>
      <c r="X567" s="89"/>
      <c r="Y567" s="90"/>
      <c r="Z567" s="90"/>
      <c r="AA567" s="90"/>
      <c r="AB567" s="90"/>
      <c r="AC567" s="90"/>
    </row>
    <row r="568">
      <c r="A568" s="104"/>
      <c r="B568" s="101"/>
      <c r="C568" s="105"/>
      <c r="D568" s="93"/>
      <c r="E568" s="106"/>
      <c r="F568" s="107"/>
      <c r="G568" s="108"/>
      <c r="H568" s="97">
        <f>G568*ENTRY!$O562</f>
        <v>0</v>
      </c>
      <c r="I568" s="97">
        <f>G568*ENTRY!$P562</f>
        <v>0</v>
      </c>
      <c r="J568" s="97">
        <f>G568*ENTRY!$Q562</f>
        <v>0</v>
      </c>
      <c r="K568" s="95"/>
      <c r="L568" s="109"/>
      <c r="M568" s="106"/>
      <c r="N568" s="98"/>
      <c r="O568" s="99"/>
      <c r="P568" s="99"/>
      <c r="Q568" s="99"/>
      <c r="R568" s="99"/>
      <c r="S568" s="100"/>
      <c r="T568" s="100"/>
      <c r="U568" s="100"/>
      <c r="V568" s="100"/>
      <c r="W568" s="88"/>
      <c r="X568" s="89"/>
      <c r="Y568" s="90"/>
      <c r="Z568" s="90"/>
      <c r="AA568" s="90"/>
      <c r="AB568" s="90"/>
      <c r="AC568" s="90"/>
    </row>
    <row r="569">
      <c r="A569" s="104"/>
      <c r="B569" s="101"/>
      <c r="C569" s="105"/>
      <c r="D569" s="80"/>
      <c r="E569" s="81"/>
      <c r="F569" s="82"/>
      <c r="G569" s="83"/>
      <c r="H569" s="84">
        <f>G569*ENTRY!$O563</f>
        <v>0</v>
      </c>
      <c r="I569" s="84">
        <f>G569*ENTRY!$P563</f>
        <v>0</v>
      </c>
      <c r="J569" s="84">
        <f>G569*ENTRY!$Q563</f>
        <v>0</v>
      </c>
      <c r="K569" s="82"/>
      <c r="L569" s="82"/>
      <c r="M569" s="81"/>
      <c r="N569" s="85"/>
      <c r="O569" s="86"/>
      <c r="P569" s="86"/>
      <c r="Q569" s="86"/>
      <c r="R569" s="86"/>
      <c r="S569" s="87"/>
      <c r="T569" s="87"/>
      <c r="U569" s="87"/>
      <c r="V569" s="87"/>
      <c r="W569" s="88"/>
      <c r="X569" s="89"/>
      <c r="Y569" s="90"/>
      <c r="Z569" s="90"/>
      <c r="AA569" s="90"/>
      <c r="AB569" s="90"/>
      <c r="AC569" s="90"/>
    </row>
    <row r="570">
      <c r="A570" s="104"/>
      <c r="B570" s="101"/>
      <c r="C570" s="105"/>
      <c r="D570" s="93"/>
      <c r="E570" s="106"/>
      <c r="F570" s="107"/>
      <c r="G570" s="108"/>
      <c r="H570" s="97">
        <f>G570*ENTRY!$O564</f>
        <v>0</v>
      </c>
      <c r="I570" s="97">
        <f>G570*ENTRY!$P564</f>
        <v>0</v>
      </c>
      <c r="J570" s="97">
        <f>G570*ENTRY!$Q564</f>
        <v>0</v>
      </c>
      <c r="K570" s="95"/>
      <c r="L570" s="109"/>
      <c r="M570" s="106"/>
      <c r="N570" s="98"/>
      <c r="O570" s="99"/>
      <c r="P570" s="99"/>
      <c r="Q570" s="99"/>
      <c r="R570" s="99"/>
      <c r="S570" s="100"/>
      <c r="T570" s="100"/>
      <c r="U570" s="100"/>
      <c r="V570" s="100"/>
      <c r="W570" s="88"/>
      <c r="X570" s="89"/>
      <c r="Y570" s="90"/>
      <c r="Z570" s="90"/>
      <c r="AA570" s="90"/>
      <c r="AB570" s="90"/>
      <c r="AC570" s="90"/>
    </row>
    <row r="571">
      <c r="A571" s="104"/>
      <c r="B571" s="101"/>
      <c r="C571" s="105"/>
      <c r="D571" s="80"/>
      <c r="E571" s="81"/>
      <c r="F571" s="82"/>
      <c r="G571" s="83"/>
      <c r="H571" s="84">
        <f>G571*ENTRY!$O565</f>
        <v>0</v>
      </c>
      <c r="I571" s="84">
        <f>G571*ENTRY!$P565</f>
        <v>0</v>
      </c>
      <c r="J571" s="84">
        <f>G571*ENTRY!$Q565</f>
        <v>0</v>
      </c>
      <c r="K571" s="82"/>
      <c r="L571" s="82"/>
      <c r="M571" s="81"/>
      <c r="N571" s="85"/>
      <c r="O571" s="86"/>
      <c r="P571" s="86"/>
      <c r="Q571" s="86"/>
      <c r="R571" s="86"/>
      <c r="S571" s="87"/>
      <c r="T571" s="87"/>
      <c r="U571" s="87"/>
      <c r="V571" s="87"/>
      <c r="W571" s="88"/>
      <c r="X571" s="89"/>
      <c r="Y571" s="90"/>
      <c r="Z571" s="90"/>
      <c r="AA571" s="90"/>
      <c r="AB571" s="90"/>
      <c r="AC571" s="90"/>
    </row>
    <row r="572">
      <c r="A572" s="104"/>
      <c r="B572" s="101"/>
      <c r="C572" s="105"/>
      <c r="D572" s="93"/>
      <c r="E572" s="106"/>
      <c r="F572" s="107"/>
      <c r="G572" s="108"/>
      <c r="H572" s="97">
        <f>G572*ENTRY!$O566</f>
        <v>0</v>
      </c>
      <c r="I572" s="97">
        <f>G572*ENTRY!$P566</f>
        <v>0</v>
      </c>
      <c r="J572" s="97">
        <f>G572*ENTRY!$Q566</f>
        <v>0</v>
      </c>
      <c r="K572" s="95"/>
      <c r="L572" s="109"/>
      <c r="M572" s="106"/>
      <c r="N572" s="98"/>
      <c r="O572" s="99"/>
      <c r="P572" s="99"/>
      <c r="Q572" s="99"/>
      <c r="R572" s="99"/>
      <c r="S572" s="100"/>
      <c r="T572" s="100"/>
      <c r="U572" s="100"/>
      <c r="V572" s="100"/>
      <c r="W572" s="88"/>
      <c r="X572" s="89"/>
      <c r="Y572" s="90"/>
      <c r="Z572" s="90"/>
      <c r="AA572" s="90"/>
      <c r="AB572" s="90"/>
      <c r="AC572" s="90"/>
    </row>
    <row r="573">
      <c r="A573" s="104"/>
      <c r="B573" s="101"/>
      <c r="C573" s="105"/>
      <c r="D573" s="80"/>
      <c r="E573" s="81"/>
      <c r="F573" s="82"/>
      <c r="G573" s="83"/>
      <c r="H573" s="84">
        <f>G573*ENTRY!$O567</f>
        <v>0</v>
      </c>
      <c r="I573" s="84">
        <f>G573*ENTRY!$P567</f>
        <v>0</v>
      </c>
      <c r="J573" s="84">
        <f>G573*ENTRY!$Q567</f>
        <v>0</v>
      </c>
      <c r="K573" s="82"/>
      <c r="L573" s="82"/>
      <c r="M573" s="81"/>
      <c r="N573" s="85"/>
      <c r="O573" s="86"/>
      <c r="P573" s="86"/>
      <c r="Q573" s="86"/>
      <c r="R573" s="86"/>
      <c r="S573" s="87"/>
      <c r="T573" s="87"/>
      <c r="U573" s="87"/>
      <c r="V573" s="87"/>
      <c r="W573" s="88"/>
      <c r="X573" s="89"/>
      <c r="Y573" s="90"/>
      <c r="Z573" s="90"/>
      <c r="AA573" s="90"/>
      <c r="AB573" s="90"/>
      <c r="AC573" s="90"/>
    </row>
    <row r="574">
      <c r="A574" s="104"/>
      <c r="B574" s="101"/>
      <c r="C574" s="105"/>
      <c r="D574" s="93"/>
      <c r="E574" s="106"/>
      <c r="F574" s="107"/>
      <c r="G574" s="108"/>
      <c r="H574" s="97">
        <f>G574*ENTRY!$O568</f>
        <v>0</v>
      </c>
      <c r="I574" s="97">
        <f>G574*ENTRY!$P568</f>
        <v>0</v>
      </c>
      <c r="J574" s="97">
        <f>G574*ENTRY!$Q568</f>
        <v>0</v>
      </c>
      <c r="K574" s="95"/>
      <c r="L574" s="109"/>
      <c r="M574" s="106"/>
      <c r="N574" s="98"/>
      <c r="O574" s="99"/>
      <c r="P574" s="99"/>
      <c r="Q574" s="99"/>
      <c r="R574" s="99"/>
      <c r="S574" s="100"/>
      <c r="T574" s="100"/>
      <c r="U574" s="100"/>
      <c r="V574" s="100"/>
      <c r="W574" s="88"/>
      <c r="X574" s="89"/>
      <c r="Y574" s="90"/>
      <c r="Z574" s="90"/>
      <c r="AA574" s="90"/>
      <c r="AB574" s="90"/>
      <c r="AC574" s="90"/>
    </row>
    <row r="575">
      <c r="A575" s="104"/>
      <c r="B575" s="101"/>
      <c r="C575" s="105"/>
      <c r="D575" s="80"/>
      <c r="E575" s="81"/>
      <c r="F575" s="82"/>
      <c r="G575" s="83"/>
      <c r="H575" s="84">
        <f>G575*ENTRY!$O569</f>
        <v>0</v>
      </c>
      <c r="I575" s="84">
        <f>G575*ENTRY!$P569</f>
        <v>0</v>
      </c>
      <c r="J575" s="84">
        <f>G575*ENTRY!$Q569</f>
        <v>0</v>
      </c>
      <c r="K575" s="82"/>
      <c r="L575" s="82"/>
      <c r="M575" s="81"/>
      <c r="N575" s="85"/>
      <c r="O575" s="86"/>
      <c r="P575" s="86"/>
      <c r="Q575" s="86"/>
      <c r="R575" s="86"/>
      <c r="S575" s="87"/>
      <c r="T575" s="87"/>
      <c r="U575" s="87"/>
      <c r="V575" s="87"/>
      <c r="W575" s="88"/>
      <c r="X575" s="89"/>
      <c r="Y575" s="90"/>
      <c r="Z575" s="90"/>
      <c r="AA575" s="90"/>
      <c r="AB575" s="90"/>
      <c r="AC575" s="90"/>
    </row>
    <row r="576">
      <c r="A576" s="104"/>
      <c r="B576" s="101"/>
      <c r="C576" s="105"/>
      <c r="D576" s="93"/>
      <c r="E576" s="106"/>
      <c r="F576" s="107"/>
      <c r="G576" s="108"/>
      <c r="H576" s="97">
        <f>G576*ENTRY!$O570</f>
        <v>0</v>
      </c>
      <c r="I576" s="97">
        <f>G576*ENTRY!$P570</f>
        <v>0</v>
      </c>
      <c r="J576" s="97">
        <f>G576*ENTRY!$Q570</f>
        <v>0</v>
      </c>
      <c r="K576" s="95"/>
      <c r="L576" s="109"/>
      <c r="M576" s="106"/>
      <c r="N576" s="98"/>
      <c r="O576" s="99"/>
      <c r="P576" s="99"/>
      <c r="Q576" s="99"/>
      <c r="R576" s="99"/>
      <c r="S576" s="100"/>
      <c r="T576" s="100"/>
      <c r="U576" s="100"/>
      <c r="V576" s="100"/>
      <c r="W576" s="88"/>
      <c r="X576" s="89"/>
      <c r="Y576" s="90"/>
      <c r="Z576" s="90"/>
      <c r="AA576" s="90"/>
      <c r="AB576" s="90"/>
      <c r="AC576" s="90"/>
    </row>
    <row r="577">
      <c r="A577" s="104"/>
      <c r="B577" s="101"/>
      <c r="C577" s="105"/>
      <c r="D577" s="80"/>
      <c r="E577" s="81"/>
      <c r="F577" s="82"/>
      <c r="G577" s="83"/>
      <c r="H577" s="84">
        <f>G577*ENTRY!$O571</f>
        <v>0</v>
      </c>
      <c r="I577" s="84">
        <f>G577*ENTRY!$P571</f>
        <v>0</v>
      </c>
      <c r="J577" s="84">
        <f>G577*ENTRY!$Q571</f>
        <v>0</v>
      </c>
      <c r="K577" s="82"/>
      <c r="L577" s="82"/>
      <c r="M577" s="81"/>
      <c r="N577" s="85"/>
      <c r="O577" s="86"/>
      <c r="P577" s="86"/>
      <c r="Q577" s="86"/>
      <c r="R577" s="86"/>
      <c r="S577" s="87"/>
      <c r="T577" s="87"/>
      <c r="U577" s="87"/>
      <c r="V577" s="87"/>
      <c r="W577" s="88"/>
      <c r="X577" s="89"/>
      <c r="Y577" s="90"/>
      <c r="Z577" s="90"/>
      <c r="AA577" s="90"/>
      <c r="AB577" s="90"/>
      <c r="AC577" s="90"/>
    </row>
    <row r="578">
      <c r="A578" s="104"/>
      <c r="B578" s="101"/>
      <c r="C578" s="105"/>
      <c r="D578" s="93"/>
      <c r="E578" s="106"/>
      <c r="F578" s="107"/>
      <c r="G578" s="108"/>
      <c r="H578" s="97">
        <f>G578*ENTRY!$O572</f>
        <v>0</v>
      </c>
      <c r="I578" s="97">
        <f>G578*ENTRY!$P572</f>
        <v>0</v>
      </c>
      <c r="J578" s="97">
        <f>G578*ENTRY!$Q572</f>
        <v>0</v>
      </c>
      <c r="K578" s="95"/>
      <c r="L578" s="109"/>
      <c r="M578" s="106"/>
      <c r="N578" s="98"/>
      <c r="O578" s="99"/>
      <c r="P578" s="99"/>
      <c r="Q578" s="99"/>
      <c r="R578" s="99"/>
      <c r="S578" s="100"/>
      <c r="T578" s="100"/>
      <c r="U578" s="100"/>
      <c r="V578" s="100"/>
      <c r="W578" s="88"/>
      <c r="X578" s="89"/>
      <c r="Y578" s="90"/>
      <c r="Z578" s="90"/>
      <c r="AA578" s="90"/>
      <c r="AB578" s="90"/>
      <c r="AC578" s="90"/>
    </row>
    <row r="579">
      <c r="A579" s="104"/>
      <c r="B579" s="101"/>
      <c r="C579" s="105"/>
      <c r="D579" s="80"/>
      <c r="E579" s="81"/>
      <c r="F579" s="82"/>
      <c r="G579" s="83"/>
      <c r="H579" s="84">
        <f>G579*ENTRY!$O573</f>
        <v>0</v>
      </c>
      <c r="I579" s="84">
        <f>G579*ENTRY!$P573</f>
        <v>0</v>
      </c>
      <c r="J579" s="84">
        <f>G579*ENTRY!$Q573</f>
        <v>0</v>
      </c>
      <c r="K579" s="82"/>
      <c r="L579" s="82"/>
      <c r="M579" s="81"/>
      <c r="N579" s="85"/>
      <c r="O579" s="86"/>
      <c r="P579" s="86"/>
      <c r="Q579" s="86"/>
      <c r="R579" s="86"/>
      <c r="S579" s="87"/>
      <c r="T579" s="87"/>
      <c r="U579" s="87"/>
      <c r="V579" s="87"/>
      <c r="W579" s="88"/>
      <c r="X579" s="89"/>
      <c r="Y579" s="90"/>
      <c r="Z579" s="90"/>
      <c r="AA579" s="90"/>
      <c r="AB579" s="90"/>
      <c r="AC579" s="90"/>
    </row>
    <row r="580">
      <c r="A580" s="104"/>
      <c r="B580" s="101"/>
      <c r="C580" s="105"/>
      <c r="D580" s="93"/>
      <c r="E580" s="106"/>
      <c r="F580" s="107"/>
      <c r="G580" s="108"/>
      <c r="H580" s="97">
        <f>G580*ENTRY!$O574</f>
        <v>0</v>
      </c>
      <c r="I580" s="97">
        <f>G580*ENTRY!$P574</f>
        <v>0</v>
      </c>
      <c r="J580" s="97">
        <f>G580*ENTRY!$Q574</f>
        <v>0</v>
      </c>
      <c r="K580" s="95"/>
      <c r="L580" s="109"/>
      <c r="M580" s="106"/>
      <c r="N580" s="98"/>
      <c r="O580" s="99"/>
      <c r="P580" s="99"/>
      <c r="Q580" s="99"/>
      <c r="R580" s="99"/>
      <c r="S580" s="100"/>
      <c r="T580" s="100"/>
      <c r="U580" s="100"/>
      <c r="V580" s="100"/>
      <c r="W580" s="88"/>
      <c r="X580" s="89"/>
      <c r="Y580" s="90"/>
      <c r="Z580" s="90"/>
      <c r="AA580" s="90"/>
      <c r="AB580" s="90"/>
      <c r="AC580" s="90"/>
    </row>
    <row r="581">
      <c r="A581" s="104"/>
      <c r="B581" s="101"/>
      <c r="C581" s="105"/>
      <c r="D581" s="80"/>
      <c r="E581" s="81"/>
      <c r="F581" s="82"/>
      <c r="G581" s="83"/>
      <c r="H581" s="84">
        <f>G581*ENTRY!$O575</f>
        <v>0</v>
      </c>
      <c r="I581" s="84">
        <f>G581*ENTRY!$P575</f>
        <v>0</v>
      </c>
      <c r="J581" s="84">
        <f>G581*ENTRY!$Q575</f>
        <v>0</v>
      </c>
      <c r="K581" s="82"/>
      <c r="L581" s="82"/>
      <c r="M581" s="81"/>
      <c r="N581" s="85"/>
      <c r="O581" s="86"/>
      <c r="P581" s="86"/>
      <c r="Q581" s="86"/>
      <c r="R581" s="86"/>
      <c r="S581" s="87"/>
      <c r="T581" s="87"/>
      <c r="U581" s="87"/>
      <c r="V581" s="87"/>
      <c r="W581" s="88"/>
      <c r="X581" s="89"/>
      <c r="Y581" s="90"/>
      <c r="Z581" s="90"/>
      <c r="AA581" s="90"/>
      <c r="AB581" s="90"/>
      <c r="AC581" s="90"/>
    </row>
    <row r="582">
      <c r="A582" s="104"/>
      <c r="B582" s="101"/>
      <c r="C582" s="105"/>
      <c r="D582" s="93"/>
      <c r="E582" s="106"/>
      <c r="F582" s="107"/>
      <c r="G582" s="108"/>
      <c r="H582" s="97">
        <f>G582*ENTRY!$O576</f>
        <v>0</v>
      </c>
      <c r="I582" s="97">
        <f>G582*ENTRY!$P576</f>
        <v>0</v>
      </c>
      <c r="J582" s="97">
        <f>G582*ENTRY!$Q576</f>
        <v>0</v>
      </c>
      <c r="K582" s="95"/>
      <c r="L582" s="109"/>
      <c r="M582" s="106"/>
      <c r="N582" s="98"/>
      <c r="O582" s="99"/>
      <c r="P582" s="99"/>
      <c r="Q582" s="99"/>
      <c r="R582" s="99"/>
      <c r="S582" s="100"/>
      <c r="T582" s="100"/>
      <c r="U582" s="100"/>
      <c r="V582" s="100"/>
      <c r="W582" s="88"/>
      <c r="X582" s="89"/>
      <c r="Y582" s="90"/>
      <c r="Z582" s="90"/>
      <c r="AA582" s="90"/>
      <c r="AB582" s="90"/>
      <c r="AC582" s="90"/>
    </row>
    <row r="583">
      <c r="A583" s="104"/>
      <c r="B583" s="101"/>
      <c r="C583" s="105"/>
      <c r="D583" s="80"/>
      <c r="E583" s="81"/>
      <c r="F583" s="82"/>
      <c r="G583" s="83"/>
      <c r="H583" s="84">
        <f>G583*ENTRY!$O577</f>
        <v>0</v>
      </c>
      <c r="I583" s="84">
        <f>G583*ENTRY!$P577</f>
        <v>0</v>
      </c>
      <c r="J583" s="84">
        <f>G583*ENTRY!$Q577</f>
        <v>0</v>
      </c>
      <c r="K583" s="82"/>
      <c r="L583" s="82"/>
      <c r="M583" s="81"/>
      <c r="N583" s="85"/>
      <c r="O583" s="86"/>
      <c r="P583" s="86"/>
      <c r="Q583" s="86"/>
      <c r="R583" s="86"/>
      <c r="S583" s="87"/>
      <c r="T583" s="87"/>
      <c r="U583" s="87"/>
      <c r="V583" s="87"/>
      <c r="W583" s="88"/>
      <c r="X583" s="89"/>
      <c r="Y583" s="90"/>
      <c r="Z583" s="90"/>
      <c r="AA583" s="90"/>
      <c r="AB583" s="90"/>
      <c r="AC583" s="90"/>
    </row>
    <row r="584">
      <c r="A584" s="104"/>
      <c r="B584" s="101"/>
      <c r="C584" s="105"/>
      <c r="D584" s="93"/>
      <c r="E584" s="106"/>
      <c r="F584" s="107"/>
      <c r="G584" s="108"/>
      <c r="H584" s="97">
        <f>G584*ENTRY!$O578</f>
        <v>0</v>
      </c>
      <c r="I584" s="97">
        <f>G584*ENTRY!$P578</f>
        <v>0</v>
      </c>
      <c r="J584" s="97">
        <f>G584*ENTRY!$Q578</f>
        <v>0</v>
      </c>
      <c r="K584" s="95"/>
      <c r="L584" s="109"/>
      <c r="M584" s="106"/>
      <c r="N584" s="98"/>
      <c r="O584" s="99"/>
      <c r="P584" s="99"/>
      <c r="Q584" s="99"/>
      <c r="R584" s="99"/>
      <c r="S584" s="100"/>
      <c r="T584" s="100"/>
      <c r="U584" s="100"/>
      <c r="V584" s="100"/>
      <c r="W584" s="88"/>
      <c r="X584" s="89"/>
      <c r="Y584" s="90"/>
      <c r="Z584" s="90"/>
      <c r="AA584" s="90"/>
      <c r="AB584" s="90"/>
      <c r="AC584" s="90"/>
    </row>
    <row r="585">
      <c r="A585" s="104"/>
      <c r="B585" s="101"/>
      <c r="C585" s="105"/>
      <c r="D585" s="80"/>
      <c r="E585" s="81"/>
      <c r="F585" s="82"/>
      <c r="G585" s="83"/>
      <c r="H585" s="84">
        <f>G585*ENTRY!$O579</f>
        <v>0</v>
      </c>
      <c r="I585" s="84">
        <f>G585*ENTRY!$P579</f>
        <v>0</v>
      </c>
      <c r="J585" s="84">
        <f>G585*ENTRY!$Q579</f>
        <v>0</v>
      </c>
      <c r="K585" s="82"/>
      <c r="L585" s="82"/>
      <c r="M585" s="81"/>
      <c r="N585" s="85"/>
      <c r="O585" s="86"/>
      <c r="P585" s="86"/>
      <c r="Q585" s="86"/>
      <c r="R585" s="86"/>
      <c r="S585" s="87"/>
      <c r="T585" s="87"/>
      <c r="U585" s="87"/>
      <c r="V585" s="87"/>
      <c r="W585" s="88"/>
      <c r="X585" s="89"/>
      <c r="Y585" s="90"/>
      <c r="Z585" s="90"/>
      <c r="AA585" s="90"/>
      <c r="AB585" s="90"/>
      <c r="AC585" s="90"/>
    </row>
    <row r="586">
      <c r="A586" s="104"/>
      <c r="B586" s="101"/>
      <c r="C586" s="105"/>
      <c r="D586" s="93"/>
      <c r="E586" s="106"/>
      <c r="F586" s="107"/>
      <c r="G586" s="108"/>
      <c r="H586" s="97">
        <f>G586*ENTRY!$O580</f>
        <v>0</v>
      </c>
      <c r="I586" s="97">
        <f>G586*ENTRY!$P580</f>
        <v>0</v>
      </c>
      <c r="J586" s="97">
        <f>G586*ENTRY!$Q580</f>
        <v>0</v>
      </c>
      <c r="K586" s="95"/>
      <c r="L586" s="109"/>
      <c r="M586" s="106"/>
      <c r="N586" s="98"/>
      <c r="O586" s="99"/>
      <c r="P586" s="99"/>
      <c r="Q586" s="99"/>
      <c r="R586" s="99"/>
      <c r="S586" s="100"/>
      <c r="T586" s="100"/>
      <c r="U586" s="100"/>
      <c r="V586" s="100"/>
      <c r="W586" s="88"/>
      <c r="X586" s="89"/>
      <c r="Y586" s="90"/>
      <c r="Z586" s="90"/>
      <c r="AA586" s="90"/>
      <c r="AB586" s="90"/>
      <c r="AC586" s="90"/>
    </row>
    <row r="587">
      <c r="A587" s="104"/>
      <c r="B587" s="101"/>
      <c r="C587" s="105"/>
      <c r="D587" s="80"/>
      <c r="E587" s="81"/>
      <c r="F587" s="82"/>
      <c r="G587" s="83"/>
      <c r="H587" s="84">
        <f>G587*ENTRY!$O581</f>
        <v>0</v>
      </c>
      <c r="I587" s="84">
        <f>G587*ENTRY!$P581</f>
        <v>0</v>
      </c>
      <c r="J587" s="84">
        <f>G587*ENTRY!$Q581</f>
        <v>0</v>
      </c>
      <c r="K587" s="82"/>
      <c r="L587" s="82"/>
      <c r="M587" s="81"/>
      <c r="N587" s="85"/>
      <c r="O587" s="86"/>
      <c r="P587" s="86"/>
      <c r="Q587" s="86"/>
      <c r="R587" s="86"/>
      <c r="S587" s="87"/>
      <c r="T587" s="87"/>
      <c r="U587" s="87"/>
      <c r="V587" s="87"/>
      <c r="W587" s="88"/>
      <c r="X587" s="89"/>
      <c r="Y587" s="90"/>
      <c r="Z587" s="90"/>
      <c r="AA587" s="90"/>
      <c r="AB587" s="90"/>
      <c r="AC587" s="90"/>
    </row>
    <row r="588">
      <c r="A588" s="104"/>
      <c r="B588" s="101"/>
      <c r="C588" s="105"/>
      <c r="D588" s="93"/>
      <c r="E588" s="106"/>
      <c r="F588" s="107"/>
      <c r="G588" s="108"/>
      <c r="H588" s="97">
        <f>G588*ENTRY!$O582</f>
        <v>0</v>
      </c>
      <c r="I588" s="97">
        <f>G588*ENTRY!$P582</f>
        <v>0</v>
      </c>
      <c r="J588" s="97">
        <f>G588*ENTRY!$Q582</f>
        <v>0</v>
      </c>
      <c r="K588" s="95"/>
      <c r="L588" s="109"/>
      <c r="M588" s="106"/>
      <c r="N588" s="98"/>
      <c r="O588" s="99"/>
      <c r="P588" s="99"/>
      <c r="Q588" s="99"/>
      <c r="R588" s="99"/>
      <c r="S588" s="100"/>
      <c r="T588" s="100"/>
      <c r="U588" s="100"/>
      <c r="V588" s="100"/>
      <c r="W588" s="88"/>
      <c r="X588" s="89"/>
      <c r="Y588" s="90"/>
      <c r="Z588" s="90"/>
      <c r="AA588" s="90"/>
      <c r="AB588" s="90"/>
      <c r="AC588" s="90"/>
    </row>
    <row r="589">
      <c r="A589" s="104"/>
      <c r="B589" s="101"/>
      <c r="C589" s="105"/>
      <c r="D589" s="80"/>
      <c r="E589" s="81"/>
      <c r="F589" s="82"/>
      <c r="G589" s="83"/>
      <c r="H589" s="84">
        <f>G589*ENTRY!$O583</f>
        <v>0</v>
      </c>
      <c r="I589" s="84">
        <f>G589*ENTRY!$P583</f>
        <v>0</v>
      </c>
      <c r="J589" s="84">
        <f>G589*ENTRY!$Q583</f>
        <v>0</v>
      </c>
      <c r="K589" s="82"/>
      <c r="L589" s="82"/>
      <c r="M589" s="81"/>
      <c r="N589" s="85"/>
      <c r="O589" s="86"/>
      <c r="P589" s="86"/>
      <c r="Q589" s="86"/>
      <c r="R589" s="86"/>
      <c r="S589" s="87"/>
      <c r="T589" s="87"/>
      <c r="U589" s="87"/>
      <c r="V589" s="87"/>
      <c r="W589" s="88"/>
      <c r="X589" s="89"/>
      <c r="Y589" s="90"/>
      <c r="Z589" s="90"/>
      <c r="AA589" s="90"/>
      <c r="AB589" s="90"/>
      <c r="AC589" s="90"/>
    </row>
    <row r="590">
      <c r="A590" s="104"/>
      <c r="B590" s="101"/>
      <c r="C590" s="105"/>
      <c r="D590" s="93"/>
      <c r="E590" s="106"/>
      <c r="F590" s="107"/>
      <c r="G590" s="108"/>
      <c r="H590" s="97">
        <f>G590*ENTRY!$O584</f>
        <v>0</v>
      </c>
      <c r="I590" s="97">
        <f>G590*ENTRY!$P584</f>
        <v>0</v>
      </c>
      <c r="J590" s="97">
        <f>G590*ENTRY!$Q584</f>
        <v>0</v>
      </c>
      <c r="K590" s="95"/>
      <c r="L590" s="109"/>
      <c r="M590" s="106"/>
      <c r="N590" s="98"/>
      <c r="O590" s="99"/>
      <c r="P590" s="99"/>
      <c r="Q590" s="99"/>
      <c r="R590" s="99"/>
      <c r="S590" s="100"/>
      <c r="T590" s="100"/>
      <c r="U590" s="100"/>
      <c r="V590" s="100"/>
      <c r="W590" s="88"/>
      <c r="X590" s="89"/>
      <c r="Y590" s="90"/>
      <c r="Z590" s="90"/>
      <c r="AA590" s="90"/>
      <c r="AB590" s="90"/>
      <c r="AC590" s="90"/>
    </row>
    <row r="591">
      <c r="A591" s="104"/>
      <c r="B591" s="101"/>
      <c r="C591" s="105"/>
      <c r="D591" s="80"/>
      <c r="E591" s="81"/>
      <c r="F591" s="82"/>
      <c r="G591" s="83"/>
      <c r="H591" s="84">
        <f>G591*ENTRY!$O585</f>
        <v>0</v>
      </c>
      <c r="I591" s="84">
        <f>G591*ENTRY!$P585</f>
        <v>0</v>
      </c>
      <c r="J591" s="84">
        <f>G591*ENTRY!$Q585</f>
        <v>0</v>
      </c>
      <c r="K591" s="82"/>
      <c r="L591" s="82"/>
      <c r="M591" s="81"/>
      <c r="N591" s="85"/>
      <c r="O591" s="86"/>
      <c r="P591" s="86"/>
      <c r="Q591" s="86"/>
      <c r="R591" s="86"/>
      <c r="S591" s="87"/>
      <c r="T591" s="87"/>
      <c r="U591" s="87"/>
      <c r="V591" s="87"/>
      <c r="W591" s="88"/>
      <c r="X591" s="89"/>
      <c r="Y591" s="90"/>
      <c r="Z591" s="90"/>
      <c r="AA591" s="90"/>
      <c r="AB591" s="90"/>
      <c r="AC591" s="90"/>
    </row>
    <row r="592">
      <c r="A592" s="104"/>
      <c r="B592" s="101"/>
      <c r="C592" s="105"/>
      <c r="D592" s="93"/>
      <c r="E592" s="106"/>
      <c r="F592" s="107"/>
      <c r="G592" s="108"/>
      <c r="H592" s="97">
        <f>G592*ENTRY!$O586</f>
        <v>0</v>
      </c>
      <c r="I592" s="97">
        <f>G592*ENTRY!$P586</f>
        <v>0</v>
      </c>
      <c r="J592" s="97">
        <f>G592*ENTRY!$Q586</f>
        <v>0</v>
      </c>
      <c r="K592" s="95"/>
      <c r="L592" s="109"/>
      <c r="M592" s="106"/>
      <c r="N592" s="98"/>
      <c r="O592" s="99"/>
      <c r="P592" s="99"/>
      <c r="Q592" s="99"/>
      <c r="R592" s="99"/>
      <c r="S592" s="100"/>
      <c r="T592" s="100"/>
      <c r="U592" s="100"/>
      <c r="V592" s="100"/>
      <c r="W592" s="88"/>
      <c r="X592" s="89"/>
      <c r="Y592" s="90"/>
      <c r="Z592" s="90"/>
      <c r="AA592" s="90"/>
      <c r="AB592" s="90"/>
      <c r="AC592" s="90"/>
    </row>
    <row r="593">
      <c r="A593" s="104"/>
      <c r="B593" s="101"/>
      <c r="C593" s="105"/>
      <c r="D593" s="80"/>
      <c r="E593" s="81"/>
      <c r="F593" s="82"/>
      <c r="G593" s="83"/>
      <c r="H593" s="84">
        <f>G593*ENTRY!$O587</f>
        <v>0</v>
      </c>
      <c r="I593" s="84">
        <f>G593*ENTRY!$P587</f>
        <v>0</v>
      </c>
      <c r="J593" s="84">
        <f>G593*ENTRY!$Q587</f>
        <v>0</v>
      </c>
      <c r="K593" s="82"/>
      <c r="L593" s="82"/>
      <c r="M593" s="81"/>
      <c r="N593" s="85"/>
      <c r="O593" s="86"/>
      <c r="P593" s="86"/>
      <c r="Q593" s="86"/>
      <c r="R593" s="86"/>
      <c r="S593" s="87"/>
      <c r="T593" s="87"/>
      <c r="U593" s="87"/>
      <c r="V593" s="87"/>
      <c r="W593" s="88"/>
      <c r="X593" s="89"/>
      <c r="Y593" s="90"/>
      <c r="Z593" s="90"/>
      <c r="AA593" s="90"/>
      <c r="AB593" s="90"/>
      <c r="AC593" s="90"/>
    </row>
    <row r="594">
      <c r="A594" s="104"/>
      <c r="B594" s="101"/>
      <c r="C594" s="105"/>
      <c r="D594" s="93"/>
      <c r="E594" s="106"/>
      <c r="F594" s="107"/>
      <c r="G594" s="108"/>
      <c r="H594" s="97">
        <f>G594*ENTRY!$O588</f>
        <v>0</v>
      </c>
      <c r="I594" s="97">
        <f>G594*ENTRY!$P588</f>
        <v>0</v>
      </c>
      <c r="J594" s="97">
        <f>G594*ENTRY!$Q588</f>
        <v>0</v>
      </c>
      <c r="K594" s="95"/>
      <c r="L594" s="109"/>
      <c r="M594" s="106"/>
      <c r="N594" s="98"/>
      <c r="O594" s="99"/>
      <c r="P594" s="99"/>
      <c r="Q594" s="99"/>
      <c r="R594" s="99"/>
      <c r="S594" s="100"/>
      <c r="T594" s="100"/>
      <c r="U594" s="100"/>
      <c r="V594" s="100"/>
      <c r="W594" s="88"/>
      <c r="X594" s="89"/>
      <c r="Y594" s="90"/>
      <c r="Z594" s="90"/>
      <c r="AA594" s="90"/>
      <c r="AB594" s="90"/>
      <c r="AC594" s="90"/>
    </row>
    <row r="595">
      <c r="A595" s="104"/>
      <c r="B595" s="101"/>
      <c r="C595" s="105"/>
      <c r="D595" s="80"/>
      <c r="E595" s="81"/>
      <c r="F595" s="82"/>
      <c r="G595" s="83"/>
      <c r="H595" s="84">
        <f>G595*ENTRY!$O589</f>
        <v>0</v>
      </c>
      <c r="I595" s="84">
        <f>G595*ENTRY!$P589</f>
        <v>0</v>
      </c>
      <c r="J595" s="84">
        <f>G595*ENTRY!$Q589</f>
        <v>0</v>
      </c>
      <c r="K595" s="82"/>
      <c r="L595" s="82"/>
      <c r="M595" s="81"/>
      <c r="N595" s="85"/>
      <c r="O595" s="86"/>
      <c r="P595" s="86"/>
      <c r="Q595" s="86"/>
      <c r="R595" s="86"/>
      <c r="S595" s="87"/>
      <c r="T595" s="87"/>
      <c r="U595" s="87"/>
      <c r="V595" s="87"/>
      <c r="W595" s="88"/>
      <c r="X595" s="89"/>
      <c r="Y595" s="90"/>
      <c r="Z595" s="90"/>
      <c r="AA595" s="90"/>
      <c r="AB595" s="90"/>
      <c r="AC595" s="90"/>
    </row>
    <row r="596">
      <c r="A596" s="104"/>
      <c r="B596" s="101"/>
      <c r="C596" s="105"/>
      <c r="D596" s="93"/>
      <c r="E596" s="106"/>
      <c r="F596" s="107"/>
      <c r="G596" s="108"/>
      <c r="H596" s="97">
        <f>G596*ENTRY!$O590</f>
        <v>0</v>
      </c>
      <c r="I596" s="97">
        <f>G596*ENTRY!$P590</f>
        <v>0</v>
      </c>
      <c r="J596" s="97">
        <f>G596*ENTRY!$Q590</f>
        <v>0</v>
      </c>
      <c r="K596" s="95"/>
      <c r="L596" s="109"/>
      <c r="M596" s="106"/>
      <c r="N596" s="98"/>
      <c r="O596" s="99"/>
      <c r="P596" s="99"/>
      <c r="Q596" s="99"/>
      <c r="R596" s="99"/>
      <c r="S596" s="100"/>
      <c r="T596" s="100"/>
      <c r="U596" s="100"/>
      <c r="V596" s="100"/>
      <c r="W596" s="88"/>
      <c r="X596" s="89"/>
      <c r="Y596" s="90"/>
      <c r="Z596" s="90"/>
      <c r="AA596" s="90"/>
      <c r="AB596" s="90"/>
      <c r="AC596" s="90"/>
    </row>
    <row r="597">
      <c r="A597" s="104"/>
      <c r="B597" s="101"/>
      <c r="C597" s="105"/>
      <c r="D597" s="80"/>
      <c r="E597" s="81"/>
      <c r="F597" s="82"/>
      <c r="G597" s="83"/>
      <c r="H597" s="84">
        <f>G597*ENTRY!$O591</f>
        <v>0</v>
      </c>
      <c r="I597" s="84">
        <f>G597*ENTRY!$P591</f>
        <v>0</v>
      </c>
      <c r="J597" s="84">
        <f>G597*ENTRY!$Q591</f>
        <v>0</v>
      </c>
      <c r="K597" s="82"/>
      <c r="L597" s="82"/>
      <c r="M597" s="81"/>
      <c r="N597" s="85"/>
      <c r="O597" s="86"/>
      <c r="P597" s="86"/>
      <c r="Q597" s="86"/>
      <c r="R597" s="86"/>
      <c r="S597" s="87"/>
      <c r="T597" s="87"/>
      <c r="U597" s="87"/>
      <c r="V597" s="87"/>
      <c r="W597" s="88"/>
      <c r="X597" s="89"/>
      <c r="Y597" s="90"/>
      <c r="Z597" s="90"/>
      <c r="AA597" s="90"/>
      <c r="AB597" s="90"/>
      <c r="AC597" s="90"/>
    </row>
    <row r="598">
      <c r="A598" s="104"/>
      <c r="B598" s="101"/>
      <c r="C598" s="105"/>
      <c r="D598" s="93"/>
      <c r="E598" s="106"/>
      <c r="F598" s="107"/>
      <c r="G598" s="108"/>
      <c r="H598" s="97">
        <f>G598*ENTRY!$O592</f>
        <v>0</v>
      </c>
      <c r="I598" s="97">
        <f>G598*ENTRY!$P592</f>
        <v>0</v>
      </c>
      <c r="J598" s="97">
        <f>G598*ENTRY!$Q592</f>
        <v>0</v>
      </c>
      <c r="K598" s="95"/>
      <c r="L598" s="109"/>
      <c r="M598" s="106"/>
      <c r="N598" s="98"/>
      <c r="O598" s="99"/>
      <c r="P598" s="99"/>
      <c r="Q598" s="99"/>
      <c r="R598" s="99"/>
      <c r="S598" s="100"/>
      <c r="T598" s="100"/>
      <c r="U598" s="100"/>
      <c r="V598" s="100"/>
      <c r="W598" s="88"/>
      <c r="X598" s="89"/>
      <c r="Y598" s="90"/>
      <c r="Z598" s="90"/>
      <c r="AA598" s="90"/>
      <c r="AB598" s="90"/>
      <c r="AC598" s="90"/>
    </row>
    <row r="599">
      <c r="A599" s="104"/>
      <c r="B599" s="101"/>
      <c r="C599" s="105"/>
      <c r="D599" s="80"/>
      <c r="E599" s="81"/>
      <c r="F599" s="82"/>
      <c r="G599" s="83"/>
      <c r="H599" s="84">
        <f>G599*ENTRY!$O593</f>
        <v>0</v>
      </c>
      <c r="I599" s="84">
        <f>G599*ENTRY!$P593</f>
        <v>0</v>
      </c>
      <c r="J599" s="84">
        <f>G599*ENTRY!$Q593</f>
        <v>0</v>
      </c>
      <c r="K599" s="82"/>
      <c r="L599" s="82"/>
      <c r="M599" s="81"/>
      <c r="N599" s="85"/>
      <c r="O599" s="86"/>
      <c r="P599" s="86"/>
      <c r="Q599" s="86"/>
      <c r="R599" s="86"/>
      <c r="S599" s="87"/>
      <c r="T599" s="87"/>
      <c r="U599" s="87"/>
      <c r="V599" s="87"/>
      <c r="W599" s="88"/>
      <c r="X599" s="89"/>
      <c r="Y599" s="90"/>
      <c r="Z599" s="90"/>
      <c r="AA599" s="90"/>
      <c r="AB599" s="90"/>
      <c r="AC599" s="90"/>
    </row>
    <row r="600">
      <c r="A600" s="104"/>
      <c r="B600" s="101"/>
      <c r="C600" s="105"/>
      <c r="D600" s="93"/>
      <c r="E600" s="106"/>
      <c r="F600" s="107"/>
      <c r="G600" s="108"/>
      <c r="H600" s="97">
        <f>G600*ENTRY!$O594</f>
        <v>0</v>
      </c>
      <c r="I600" s="97">
        <f>G600*ENTRY!$P594</f>
        <v>0</v>
      </c>
      <c r="J600" s="97">
        <f>G600*ENTRY!$Q594</f>
        <v>0</v>
      </c>
      <c r="K600" s="95"/>
      <c r="L600" s="109"/>
      <c r="M600" s="106"/>
      <c r="N600" s="98"/>
      <c r="O600" s="99"/>
      <c r="P600" s="99"/>
      <c r="Q600" s="99"/>
      <c r="R600" s="99"/>
      <c r="S600" s="100"/>
      <c r="T600" s="100"/>
      <c r="U600" s="100"/>
      <c r="V600" s="100"/>
      <c r="W600" s="88"/>
      <c r="X600" s="89"/>
      <c r="Y600" s="90"/>
      <c r="Z600" s="90"/>
      <c r="AA600" s="90"/>
      <c r="AB600" s="90"/>
      <c r="AC600" s="90"/>
    </row>
    <row r="601">
      <c r="A601" s="104"/>
      <c r="B601" s="101"/>
      <c r="C601" s="105"/>
      <c r="D601" s="80"/>
      <c r="E601" s="81"/>
      <c r="F601" s="82"/>
      <c r="G601" s="83"/>
      <c r="H601" s="84">
        <f>G601*ENTRY!$O595</f>
        <v>0</v>
      </c>
      <c r="I601" s="84">
        <f>G601*ENTRY!$P595</f>
        <v>0</v>
      </c>
      <c r="J601" s="84">
        <f>G601*ENTRY!$Q595</f>
        <v>0</v>
      </c>
      <c r="K601" s="82"/>
      <c r="L601" s="82"/>
      <c r="M601" s="81"/>
      <c r="N601" s="85"/>
      <c r="O601" s="86"/>
      <c r="P601" s="86"/>
      <c r="Q601" s="86"/>
      <c r="R601" s="86"/>
      <c r="S601" s="87"/>
      <c r="T601" s="87"/>
      <c r="U601" s="87"/>
      <c r="V601" s="87"/>
      <c r="W601" s="88"/>
      <c r="X601" s="89"/>
      <c r="Y601" s="90"/>
      <c r="Z601" s="90"/>
      <c r="AA601" s="90"/>
      <c r="AB601" s="90"/>
      <c r="AC601" s="90"/>
    </row>
    <row r="602">
      <c r="A602" s="104"/>
      <c r="B602" s="101"/>
      <c r="C602" s="105"/>
      <c r="D602" s="93"/>
      <c r="E602" s="106"/>
      <c r="F602" s="107"/>
      <c r="G602" s="108"/>
      <c r="H602" s="97">
        <f>G602*ENTRY!$O596</f>
        <v>0</v>
      </c>
      <c r="I602" s="97">
        <f>G602*ENTRY!$P596</f>
        <v>0</v>
      </c>
      <c r="J602" s="97">
        <f>G602*ENTRY!$Q596</f>
        <v>0</v>
      </c>
      <c r="K602" s="95"/>
      <c r="L602" s="109"/>
      <c r="M602" s="106"/>
      <c r="N602" s="98"/>
      <c r="O602" s="99"/>
      <c r="P602" s="99"/>
      <c r="Q602" s="99"/>
      <c r="R602" s="99"/>
      <c r="S602" s="100"/>
      <c r="T602" s="100"/>
      <c r="U602" s="100"/>
      <c r="V602" s="100"/>
      <c r="W602" s="88"/>
      <c r="X602" s="89"/>
      <c r="Y602" s="90"/>
      <c r="Z602" s="90"/>
      <c r="AA602" s="90"/>
      <c r="AB602" s="90"/>
      <c r="AC602" s="90"/>
    </row>
    <row r="603">
      <c r="A603" s="104"/>
      <c r="B603" s="101"/>
      <c r="C603" s="105"/>
      <c r="D603" s="80"/>
      <c r="E603" s="81"/>
      <c r="F603" s="82"/>
      <c r="G603" s="83"/>
      <c r="H603" s="84">
        <f>G603*ENTRY!$O597</f>
        <v>0</v>
      </c>
      <c r="I603" s="84">
        <f>G603*ENTRY!$P597</f>
        <v>0</v>
      </c>
      <c r="J603" s="84">
        <f>G603*ENTRY!$Q597</f>
        <v>0</v>
      </c>
      <c r="K603" s="82"/>
      <c r="L603" s="82"/>
      <c r="M603" s="81"/>
      <c r="N603" s="85"/>
      <c r="O603" s="86"/>
      <c r="P603" s="86"/>
      <c r="Q603" s="86"/>
      <c r="R603" s="86"/>
      <c r="S603" s="87"/>
      <c r="T603" s="87"/>
      <c r="U603" s="87"/>
      <c r="V603" s="87"/>
      <c r="W603" s="88"/>
      <c r="X603" s="89"/>
      <c r="Y603" s="90"/>
      <c r="Z603" s="90"/>
      <c r="AA603" s="90"/>
      <c r="AB603" s="90"/>
      <c r="AC603" s="90"/>
    </row>
    <row r="604">
      <c r="A604" s="104"/>
      <c r="B604" s="101"/>
      <c r="C604" s="105"/>
      <c r="D604" s="93"/>
      <c r="E604" s="106"/>
      <c r="F604" s="107"/>
      <c r="G604" s="108"/>
      <c r="H604" s="97">
        <f>G604*ENTRY!$O598</f>
        <v>0</v>
      </c>
      <c r="I604" s="97">
        <f>G604*ENTRY!$P598</f>
        <v>0</v>
      </c>
      <c r="J604" s="97">
        <f>G604*ENTRY!$Q598</f>
        <v>0</v>
      </c>
      <c r="K604" s="95"/>
      <c r="L604" s="109"/>
      <c r="M604" s="106"/>
      <c r="N604" s="98"/>
      <c r="O604" s="99"/>
      <c r="P604" s="99"/>
      <c r="Q604" s="99"/>
      <c r="R604" s="99"/>
      <c r="S604" s="100"/>
      <c r="T604" s="100"/>
      <c r="U604" s="100"/>
      <c r="V604" s="100"/>
      <c r="W604" s="88"/>
      <c r="X604" s="89"/>
      <c r="Y604" s="90"/>
      <c r="Z604" s="90"/>
      <c r="AA604" s="90"/>
      <c r="AB604" s="90"/>
      <c r="AC604" s="90"/>
    </row>
    <row r="605">
      <c r="A605" s="104"/>
      <c r="B605" s="101"/>
      <c r="C605" s="105"/>
      <c r="D605" s="80"/>
      <c r="E605" s="81"/>
      <c r="F605" s="82"/>
      <c r="G605" s="83"/>
      <c r="H605" s="84">
        <f>G605*ENTRY!$O599</f>
        <v>0</v>
      </c>
      <c r="I605" s="84">
        <f>G605*ENTRY!$P599</f>
        <v>0</v>
      </c>
      <c r="J605" s="84">
        <f>G605*ENTRY!$Q599</f>
        <v>0</v>
      </c>
      <c r="K605" s="82"/>
      <c r="L605" s="82"/>
      <c r="M605" s="81"/>
      <c r="N605" s="85"/>
      <c r="O605" s="86"/>
      <c r="P605" s="86"/>
      <c r="Q605" s="86"/>
      <c r="R605" s="86"/>
      <c r="S605" s="87"/>
      <c r="T605" s="87"/>
      <c r="U605" s="87"/>
      <c r="V605" s="87"/>
      <c r="W605" s="88"/>
      <c r="X605" s="89"/>
      <c r="Y605" s="90"/>
      <c r="Z605" s="90"/>
      <c r="AA605" s="90"/>
      <c r="AB605" s="90"/>
      <c r="AC605" s="90"/>
    </row>
    <row r="606">
      <c r="A606" s="104"/>
      <c r="B606" s="101"/>
      <c r="C606" s="105"/>
      <c r="D606" s="93"/>
      <c r="E606" s="106"/>
      <c r="F606" s="107"/>
      <c r="G606" s="108"/>
      <c r="H606" s="97">
        <f>G606*ENTRY!$O600</f>
        <v>0</v>
      </c>
      <c r="I606" s="97">
        <f>G606*ENTRY!$P600</f>
        <v>0</v>
      </c>
      <c r="J606" s="97">
        <f>G606*ENTRY!$Q600</f>
        <v>0</v>
      </c>
      <c r="K606" s="95"/>
      <c r="L606" s="109"/>
      <c r="M606" s="106"/>
      <c r="N606" s="98"/>
      <c r="O606" s="99"/>
      <c r="P606" s="99"/>
      <c r="Q606" s="99"/>
      <c r="R606" s="99"/>
      <c r="S606" s="100"/>
      <c r="T606" s="100"/>
      <c r="U606" s="100"/>
      <c r="V606" s="100"/>
      <c r="W606" s="88"/>
      <c r="X606" s="89"/>
      <c r="Y606" s="90"/>
      <c r="Z606" s="90"/>
      <c r="AA606" s="90"/>
      <c r="AB606" s="90"/>
      <c r="AC606" s="90"/>
    </row>
    <row r="607">
      <c r="A607" s="104"/>
      <c r="B607" s="101"/>
      <c r="C607" s="105"/>
      <c r="D607" s="80"/>
      <c r="E607" s="81"/>
      <c r="F607" s="82"/>
      <c r="G607" s="83"/>
      <c r="H607" s="84">
        <f>G607*ENTRY!$O601</f>
        <v>0</v>
      </c>
      <c r="I607" s="84">
        <f>G607*ENTRY!$P601</f>
        <v>0</v>
      </c>
      <c r="J607" s="84">
        <f>G607*ENTRY!$Q601</f>
        <v>0</v>
      </c>
      <c r="K607" s="82"/>
      <c r="L607" s="82"/>
      <c r="M607" s="81"/>
      <c r="N607" s="85"/>
      <c r="O607" s="86"/>
      <c r="P607" s="86"/>
      <c r="Q607" s="86"/>
      <c r="R607" s="86"/>
      <c r="S607" s="87"/>
      <c r="T607" s="87"/>
      <c r="U607" s="87"/>
      <c r="V607" s="87"/>
      <c r="W607" s="88"/>
      <c r="X607" s="89"/>
      <c r="Y607" s="90"/>
      <c r="Z607" s="90"/>
      <c r="AA607" s="90"/>
      <c r="AB607" s="90"/>
      <c r="AC607" s="90"/>
    </row>
    <row r="608">
      <c r="A608" s="104"/>
      <c r="B608" s="101"/>
      <c r="C608" s="105"/>
      <c r="D608" s="93"/>
      <c r="E608" s="106"/>
      <c r="F608" s="107"/>
      <c r="G608" s="108"/>
      <c r="H608" s="97">
        <f>G608*ENTRY!$O602</f>
        <v>0</v>
      </c>
      <c r="I608" s="97">
        <f>G608*ENTRY!$P602</f>
        <v>0</v>
      </c>
      <c r="J608" s="97">
        <f>G608*ENTRY!$Q602</f>
        <v>0</v>
      </c>
      <c r="K608" s="95"/>
      <c r="L608" s="109"/>
      <c r="M608" s="106"/>
      <c r="N608" s="98"/>
      <c r="O608" s="99"/>
      <c r="P608" s="99"/>
      <c r="Q608" s="99"/>
      <c r="R608" s="99"/>
      <c r="S608" s="100"/>
      <c r="T608" s="100"/>
      <c r="U608" s="100"/>
      <c r="V608" s="100"/>
      <c r="W608" s="88"/>
      <c r="X608" s="89"/>
      <c r="Y608" s="90"/>
      <c r="Z608" s="90"/>
      <c r="AA608" s="90"/>
      <c r="AB608" s="90"/>
      <c r="AC608" s="90"/>
    </row>
    <row r="609">
      <c r="A609" s="104"/>
      <c r="B609" s="101"/>
      <c r="C609" s="105"/>
      <c r="D609" s="80"/>
      <c r="E609" s="81"/>
      <c r="F609" s="82"/>
      <c r="G609" s="83"/>
      <c r="H609" s="84">
        <f>G609*ENTRY!$O603</f>
        <v>0</v>
      </c>
      <c r="I609" s="84">
        <f>G609*ENTRY!$P603</f>
        <v>0</v>
      </c>
      <c r="J609" s="84">
        <f>G609*ENTRY!$Q603</f>
        <v>0</v>
      </c>
      <c r="K609" s="82"/>
      <c r="L609" s="82"/>
      <c r="M609" s="81"/>
      <c r="N609" s="85"/>
      <c r="O609" s="86"/>
      <c r="P609" s="86"/>
      <c r="Q609" s="86"/>
      <c r="R609" s="86"/>
      <c r="S609" s="87"/>
      <c r="T609" s="87"/>
      <c r="U609" s="87"/>
      <c r="V609" s="87"/>
      <c r="W609" s="88"/>
      <c r="X609" s="89"/>
      <c r="Y609" s="90"/>
      <c r="Z609" s="90"/>
      <c r="AA609" s="90"/>
      <c r="AB609" s="90"/>
      <c r="AC609" s="90"/>
    </row>
    <row r="610">
      <c r="A610" s="104"/>
      <c r="B610" s="101"/>
      <c r="C610" s="105"/>
      <c r="D610" s="93"/>
      <c r="E610" s="106"/>
      <c r="F610" s="107"/>
      <c r="G610" s="108"/>
      <c r="H610" s="97">
        <f>G610*ENTRY!$O604</f>
        <v>0</v>
      </c>
      <c r="I610" s="97">
        <f>G610*ENTRY!$P604</f>
        <v>0</v>
      </c>
      <c r="J610" s="97">
        <f>G610*ENTRY!$Q604</f>
        <v>0</v>
      </c>
      <c r="K610" s="95"/>
      <c r="L610" s="109"/>
      <c r="M610" s="106"/>
      <c r="N610" s="98"/>
      <c r="O610" s="99"/>
      <c r="P610" s="99"/>
      <c r="Q610" s="99"/>
      <c r="R610" s="99"/>
      <c r="S610" s="100"/>
      <c r="T610" s="100"/>
      <c r="U610" s="100"/>
      <c r="V610" s="100"/>
      <c r="W610" s="88"/>
      <c r="X610" s="89"/>
      <c r="Y610" s="90"/>
      <c r="Z610" s="90"/>
      <c r="AA610" s="90"/>
      <c r="AB610" s="90"/>
      <c r="AC610" s="90"/>
    </row>
    <row r="611">
      <c r="A611" s="104"/>
      <c r="B611" s="101"/>
      <c r="C611" s="105"/>
      <c r="D611" s="80"/>
      <c r="E611" s="81"/>
      <c r="F611" s="82"/>
      <c r="G611" s="83"/>
      <c r="H611" s="84">
        <f>G611*ENTRY!$O605</f>
        <v>0</v>
      </c>
      <c r="I611" s="84">
        <f>G611*ENTRY!$P605</f>
        <v>0</v>
      </c>
      <c r="J611" s="84">
        <f>G611*ENTRY!$Q605</f>
        <v>0</v>
      </c>
      <c r="K611" s="82"/>
      <c r="L611" s="82"/>
      <c r="M611" s="81"/>
      <c r="N611" s="85"/>
      <c r="O611" s="86"/>
      <c r="P611" s="86"/>
      <c r="Q611" s="86"/>
      <c r="R611" s="86"/>
      <c r="S611" s="87"/>
      <c r="T611" s="87"/>
      <c r="U611" s="87"/>
      <c r="V611" s="87"/>
      <c r="W611" s="88"/>
      <c r="X611" s="89"/>
      <c r="Y611" s="90"/>
      <c r="Z611" s="90"/>
      <c r="AA611" s="90"/>
      <c r="AB611" s="90"/>
      <c r="AC611" s="90"/>
    </row>
    <row r="612">
      <c r="A612" s="104"/>
      <c r="B612" s="101"/>
      <c r="C612" s="105"/>
      <c r="D612" s="93"/>
      <c r="E612" s="106"/>
      <c r="F612" s="107"/>
      <c r="G612" s="108"/>
      <c r="H612" s="97">
        <f>G612*ENTRY!$O606</f>
        <v>0</v>
      </c>
      <c r="I612" s="97">
        <f>G612*ENTRY!$P606</f>
        <v>0</v>
      </c>
      <c r="J612" s="97">
        <f>G612*ENTRY!$Q606</f>
        <v>0</v>
      </c>
      <c r="K612" s="95"/>
      <c r="L612" s="109"/>
      <c r="M612" s="106"/>
      <c r="N612" s="98"/>
      <c r="O612" s="99"/>
      <c r="P612" s="99"/>
      <c r="Q612" s="99"/>
      <c r="R612" s="99"/>
      <c r="S612" s="100"/>
      <c r="T612" s="100"/>
      <c r="U612" s="100"/>
      <c r="V612" s="100"/>
      <c r="W612" s="88"/>
      <c r="X612" s="89"/>
      <c r="Y612" s="90"/>
      <c r="Z612" s="90"/>
      <c r="AA612" s="90"/>
      <c r="AB612" s="90"/>
      <c r="AC612" s="90"/>
    </row>
    <row r="613">
      <c r="A613" s="104"/>
      <c r="B613" s="101"/>
      <c r="C613" s="105"/>
      <c r="D613" s="80"/>
      <c r="E613" s="81"/>
      <c r="F613" s="82"/>
      <c r="G613" s="83"/>
      <c r="H613" s="84">
        <f>G613*ENTRY!$O607</f>
        <v>0</v>
      </c>
      <c r="I613" s="84">
        <f>G613*ENTRY!$P607</f>
        <v>0</v>
      </c>
      <c r="J613" s="84">
        <f>G613*ENTRY!$Q607</f>
        <v>0</v>
      </c>
      <c r="K613" s="82"/>
      <c r="L613" s="82"/>
      <c r="M613" s="81"/>
      <c r="N613" s="85"/>
      <c r="O613" s="86"/>
      <c r="P613" s="86"/>
      <c r="Q613" s="86"/>
      <c r="R613" s="86"/>
      <c r="S613" s="87"/>
      <c r="T613" s="87"/>
      <c r="U613" s="87"/>
      <c r="V613" s="87"/>
      <c r="W613" s="88"/>
      <c r="X613" s="89"/>
      <c r="Y613" s="90"/>
      <c r="Z613" s="90"/>
      <c r="AA613" s="90"/>
      <c r="AB613" s="90"/>
      <c r="AC613" s="90"/>
    </row>
    <row r="614">
      <c r="A614" s="104"/>
      <c r="B614" s="101"/>
      <c r="C614" s="105"/>
      <c r="D614" s="93"/>
      <c r="E614" s="106"/>
      <c r="F614" s="107"/>
      <c r="G614" s="108"/>
      <c r="H614" s="97">
        <f>G614*ENTRY!$O608</f>
        <v>0</v>
      </c>
      <c r="I614" s="97">
        <f>G614*ENTRY!$P608</f>
        <v>0</v>
      </c>
      <c r="J614" s="97">
        <f>G614*ENTRY!$Q608</f>
        <v>0</v>
      </c>
      <c r="K614" s="95"/>
      <c r="L614" s="109"/>
      <c r="M614" s="106"/>
      <c r="N614" s="98"/>
      <c r="O614" s="99"/>
      <c r="P614" s="99"/>
      <c r="Q614" s="99"/>
      <c r="R614" s="99"/>
      <c r="S614" s="100"/>
      <c r="T614" s="100"/>
      <c r="U614" s="100"/>
      <c r="V614" s="100"/>
      <c r="W614" s="88"/>
      <c r="X614" s="89"/>
      <c r="Y614" s="90"/>
      <c r="Z614" s="90"/>
      <c r="AA614" s="90"/>
      <c r="AB614" s="90"/>
      <c r="AC614" s="90"/>
    </row>
    <row r="615">
      <c r="A615" s="104"/>
      <c r="B615" s="101"/>
      <c r="C615" s="105"/>
      <c r="D615" s="80"/>
      <c r="E615" s="81"/>
      <c r="F615" s="82"/>
      <c r="G615" s="83"/>
      <c r="H615" s="84">
        <f>G615*ENTRY!$O609</f>
        <v>0</v>
      </c>
      <c r="I615" s="84">
        <f>G615*ENTRY!$P609</f>
        <v>0</v>
      </c>
      <c r="J615" s="84">
        <f>G615*ENTRY!$Q609</f>
        <v>0</v>
      </c>
      <c r="K615" s="82"/>
      <c r="L615" s="82"/>
      <c r="M615" s="81"/>
      <c r="N615" s="85"/>
      <c r="O615" s="86"/>
      <c r="P615" s="86"/>
      <c r="Q615" s="86"/>
      <c r="R615" s="86"/>
      <c r="S615" s="87"/>
      <c r="T615" s="87"/>
      <c r="U615" s="87"/>
      <c r="V615" s="87"/>
      <c r="W615" s="88"/>
      <c r="X615" s="89"/>
      <c r="Y615" s="90"/>
      <c r="Z615" s="90"/>
      <c r="AA615" s="90"/>
      <c r="AB615" s="90"/>
      <c r="AC615" s="90"/>
    </row>
    <row r="616">
      <c r="A616" s="104"/>
      <c r="B616" s="101"/>
      <c r="C616" s="105"/>
      <c r="D616" s="93"/>
      <c r="E616" s="106"/>
      <c r="F616" s="107"/>
      <c r="G616" s="108"/>
      <c r="H616" s="97">
        <f>G616*ENTRY!$O610</f>
        <v>0</v>
      </c>
      <c r="I616" s="97">
        <f>G616*ENTRY!$P610</f>
        <v>0</v>
      </c>
      <c r="J616" s="97">
        <f>G616*ENTRY!$Q610</f>
        <v>0</v>
      </c>
      <c r="K616" s="95"/>
      <c r="L616" s="109"/>
      <c r="M616" s="106"/>
      <c r="N616" s="98"/>
      <c r="O616" s="99"/>
      <c r="P616" s="99"/>
      <c r="Q616" s="99"/>
      <c r="R616" s="99"/>
      <c r="S616" s="100"/>
      <c r="T616" s="100"/>
      <c r="U616" s="100"/>
      <c r="V616" s="100"/>
      <c r="W616" s="88"/>
      <c r="X616" s="89"/>
      <c r="Y616" s="90"/>
      <c r="Z616" s="90"/>
      <c r="AA616" s="90"/>
      <c r="AB616" s="90"/>
      <c r="AC616" s="90"/>
    </row>
    <row r="617">
      <c r="A617" s="104"/>
      <c r="B617" s="101"/>
      <c r="C617" s="105"/>
      <c r="D617" s="80"/>
      <c r="E617" s="81"/>
      <c r="F617" s="82"/>
      <c r="G617" s="83"/>
      <c r="H617" s="84">
        <f>G617*ENTRY!$O611</f>
        <v>0</v>
      </c>
      <c r="I617" s="84">
        <f>G617*ENTRY!$P611</f>
        <v>0</v>
      </c>
      <c r="J617" s="84">
        <f>G617*ENTRY!$Q611</f>
        <v>0</v>
      </c>
      <c r="K617" s="82"/>
      <c r="L617" s="82"/>
      <c r="M617" s="81"/>
      <c r="N617" s="85"/>
      <c r="O617" s="86"/>
      <c r="P617" s="86"/>
      <c r="Q617" s="86"/>
      <c r="R617" s="86"/>
      <c r="S617" s="87"/>
      <c r="T617" s="87"/>
      <c r="U617" s="87"/>
      <c r="V617" s="87"/>
      <c r="W617" s="88"/>
      <c r="X617" s="89"/>
      <c r="Y617" s="90"/>
      <c r="Z617" s="90"/>
      <c r="AA617" s="90"/>
      <c r="AB617" s="90"/>
      <c r="AC617" s="90"/>
    </row>
    <row r="618">
      <c r="A618" s="104"/>
      <c r="B618" s="101"/>
      <c r="C618" s="105"/>
      <c r="D618" s="93"/>
      <c r="E618" s="106"/>
      <c r="F618" s="107"/>
      <c r="G618" s="108"/>
      <c r="H618" s="97">
        <f>G618*ENTRY!$O612</f>
        <v>0</v>
      </c>
      <c r="I618" s="97">
        <f>G618*ENTRY!$P612</f>
        <v>0</v>
      </c>
      <c r="J618" s="97">
        <f>G618*ENTRY!$Q612</f>
        <v>0</v>
      </c>
      <c r="K618" s="95"/>
      <c r="L618" s="109"/>
      <c r="M618" s="106"/>
      <c r="N618" s="98"/>
      <c r="O618" s="99"/>
      <c r="P618" s="99"/>
      <c r="Q618" s="99"/>
      <c r="R618" s="99"/>
      <c r="S618" s="100"/>
      <c r="T618" s="100"/>
      <c r="U618" s="100"/>
      <c r="V618" s="100"/>
      <c r="W618" s="88"/>
      <c r="X618" s="89"/>
      <c r="Y618" s="90"/>
      <c r="Z618" s="90"/>
      <c r="AA618" s="90"/>
      <c r="AB618" s="90"/>
      <c r="AC618" s="90"/>
    </row>
    <row r="619">
      <c r="A619" s="104"/>
      <c r="B619" s="101"/>
      <c r="C619" s="105"/>
      <c r="D619" s="80"/>
      <c r="E619" s="81"/>
      <c r="F619" s="82"/>
      <c r="G619" s="83"/>
      <c r="H619" s="84">
        <f>G619*ENTRY!$O613</f>
        <v>0</v>
      </c>
      <c r="I619" s="84">
        <f>G619*ENTRY!$P613</f>
        <v>0</v>
      </c>
      <c r="J619" s="84">
        <f>G619*ENTRY!$Q613</f>
        <v>0</v>
      </c>
      <c r="K619" s="82"/>
      <c r="L619" s="82"/>
      <c r="M619" s="81"/>
      <c r="N619" s="85"/>
      <c r="O619" s="86"/>
      <c r="P619" s="86"/>
      <c r="Q619" s="86"/>
      <c r="R619" s="86"/>
      <c r="S619" s="87"/>
      <c r="T619" s="87"/>
      <c r="U619" s="87"/>
      <c r="V619" s="87"/>
      <c r="W619" s="88"/>
      <c r="X619" s="89"/>
      <c r="Y619" s="90"/>
      <c r="Z619" s="90"/>
      <c r="AA619" s="90"/>
      <c r="AB619" s="90"/>
      <c r="AC619" s="90"/>
    </row>
    <row r="620">
      <c r="A620" s="104"/>
      <c r="B620" s="101"/>
      <c r="C620" s="105"/>
      <c r="D620" s="93"/>
      <c r="E620" s="106"/>
      <c r="F620" s="107"/>
      <c r="G620" s="108"/>
      <c r="H620" s="97">
        <f>G620*ENTRY!$O614</f>
        <v>0</v>
      </c>
      <c r="I620" s="97">
        <f>G620*ENTRY!$P614</f>
        <v>0</v>
      </c>
      <c r="J620" s="97">
        <f>G620*ENTRY!$Q614</f>
        <v>0</v>
      </c>
      <c r="K620" s="95"/>
      <c r="L620" s="109"/>
      <c r="M620" s="106"/>
      <c r="N620" s="98"/>
      <c r="O620" s="99"/>
      <c r="P620" s="99"/>
      <c r="Q620" s="99"/>
      <c r="R620" s="99"/>
      <c r="S620" s="100"/>
      <c r="T620" s="100"/>
      <c r="U620" s="100"/>
      <c r="V620" s="100"/>
      <c r="W620" s="88"/>
      <c r="X620" s="89"/>
      <c r="Y620" s="90"/>
      <c r="Z620" s="90"/>
      <c r="AA620" s="90"/>
      <c r="AB620" s="90"/>
      <c r="AC620" s="90"/>
    </row>
    <row r="621">
      <c r="A621" s="104"/>
      <c r="B621" s="101"/>
      <c r="C621" s="105"/>
      <c r="D621" s="80"/>
      <c r="E621" s="81"/>
      <c r="F621" s="82"/>
      <c r="G621" s="83"/>
      <c r="H621" s="84">
        <f>G621*ENTRY!$O615</f>
        <v>0</v>
      </c>
      <c r="I621" s="84">
        <f>G621*ENTRY!$P615</f>
        <v>0</v>
      </c>
      <c r="J621" s="84">
        <f>G621*ENTRY!$Q615</f>
        <v>0</v>
      </c>
      <c r="K621" s="82"/>
      <c r="L621" s="82"/>
      <c r="M621" s="81"/>
      <c r="N621" s="85"/>
      <c r="O621" s="86"/>
      <c r="P621" s="86"/>
      <c r="Q621" s="86"/>
      <c r="R621" s="86"/>
      <c r="S621" s="87"/>
      <c r="T621" s="87"/>
      <c r="U621" s="87"/>
      <c r="V621" s="87"/>
      <c r="W621" s="88"/>
      <c r="X621" s="89"/>
      <c r="Y621" s="90"/>
      <c r="Z621" s="90"/>
      <c r="AA621" s="90"/>
      <c r="AB621" s="90"/>
      <c r="AC621" s="90"/>
    </row>
    <row r="622">
      <c r="A622" s="104"/>
      <c r="B622" s="101"/>
      <c r="C622" s="105"/>
      <c r="D622" s="93"/>
      <c r="E622" s="106"/>
      <c r="F622" s="107"/>
      <c r="G622" s="108"/>
      <c r="H622" s="97">
        <f>G622*ENTRY!$O616</f>
        <v>0</v>
      </c>
      <c r="I622" s="97">
        <f>G622*ENTRY!$P616</f>
        <v>0</v>
      </c>
      <c r="J622" s="97">
        <f>G622*ENTRY!$Q616</f>
        <v>0</v>
      </c>
      <c r="K622" s="95"/>
      <c r="L622" s="109"/>
      <c r="M622" s="106"/>
      <c r="N622" s="98"/>
      <c r="O622" s="99"/>
      <c r="P622" s="99"/>
      <c r="Q622" s="99"/>
      <c r="R622" s="99"/>
      <c r="S622" s="100"/>
      <c r="T622" s="100"/>
      <c r="U622" s="100"/>
      <c r="V622" s="100"/>
      <c r="W622" s="88"/>
      <c r="X622" s="89"/>
      <c r="Y622" s="90"/>
      <c r="Z622" s="90"/>
      <c r="AA622" s="90"/>
      <c r="AB622" s="90"/>
      <c r="AC622" s="90"/>
    </row>
    <row r="623">
      <c r="A623" s="104"/>
      <c r="B623" s="101"/>
      <c r="C623" s="105"/>
      <c r="D623" s="80"/>
      <c r="E623" s="81"/>
      <c r="F623" s="82"/>
      <c r="G623" s="83"/>
      <c r="H623" s="84">
        <f>G623*ENTRY!$O617</f>
        <v>0</v>
      </c>
      <c r="I623" s="84">
        <f>G623*ENTRY!$P617</f>
        <v>0</v>
      </c>
      <c r="J623" s="84">
        <f>G623*ENTRY!$Q617</f>
        <v>0</v>
      </c>
      <c r="K623" s="82"/>
      <c r="L623" s="82"/>
      <c r="M623" s="81"/>
      <c r="N623" s="85"/>
      <c r="O623" s="86"/>
      <c r="P623" s="86"/>
      <c r="Q623" s="86"/>
      <c r="R623" s="86"/>
      <c r="S623" s="87"/>
      <c r="T623" s="87"/>
      <c r="U623" s="87"/>
      <c r="V623" s="87"/>
      <c r="W623" s="88"/>
      <c r="X623" s="89"/>
      <c r="Y623" s="90"/>
      <c r="Z623" s="90"/>
      <c r="AA623" s="90"/>
      <c r="AB623" s="90"/>
      <c r="AC623" s="90"/>
    </row>
    <row r="624">
      <c r="A624" s="104"/>
      <c r="B624" s="101"/>
      <c r="C624" s="105"/>
      <c r="D624" s="93"/>
      <c r="E624" s="106"/>
      <c r="F624" s="107"/>
      <c r="G624" s="108"/>
      <c r="H624" s="97">
        <f>G624*ENTRY!$O618</f>
        <v>0</v>
      </c>
      <c r="I624" s="97">
        <f>G624*ENTRY!$P618</f>
        <v>0</v>
      </c>
      <c r="J624" s="97">
        <f>G624*ENTRY!$Q618</f>
        <v>0</v>
      </c>
      <c r="K624" s="95"/>
      <c r="L624" s="109"/>
      <c r="M624" s="106"/>
      <c r="N624" s="98"/>
      <c r="O624" s="99"/>
      <c r="P624" s="99"/>
      <c r="Q624" s="99"/>
      <c r="R624" s="99"/>
      <c r="S624" s="100"/>
      <c r="T624" s="100"/>
      <c r="U624" s="100"/>
      <c r="V624" s="100"/>
      <c r="W624" s="88"/>
      <c r="X624" s="89"/>
      <c r="Y624" s="90"/>
      <c r="Z624" s="90"/>
      <c r="AA624" s="90"/>
      <c r="AB624" s="90"/>
      <c r="AC624" s="90"/>
    </row>
    <row r="625">
      <c r="A625" s="104"/>
      <c r="B625" s="101"/>
      <c r="C625" s="105"/>
      <c r="D625" s="80"/>
      <c r="E625" s="81"/>
      <c r="F625" s="82"/>
      <c r="G625" s="83"/>
      <c r="H625" s="84">
        <f>G625*ENTRY!$O619</f>
        <v>0</v>
      </c>
      <c r="I625" s="84">
        <f>G625*ENTRY!$P619</f>
        <v>0</v>
      </c>
      <c r="J625" s="84">
        <f>G625*ENTRY!$Q619</f>
        <v>0</v>
      </c>
      <c r="K625" s="82"/>
      <c r="L625" s="82"/>
      <c r="M625" s="81"/>
      <c r="N625" s="85"/>
      <c r="O625" s="86"/>
      <c r="P625" s="86"/>
      <c r="Q625" s="86"/>
      <c r="R625" s="86"/>
      <c r="S625" s="87"/>
      <c r="T625" s="87"/>
      <c r="U625" s="87"/>
      <c r="V625" s="87"/>
      <c r="W625" s="88"/>
      <c r="X625" s="89"/>
      <c r="Y625" s="90"/>
      <c r="Z625" s="90"/>
      <c r="AA625" s="90"/>
      <c r="AB625" s="90"/>
      <c r="AC625" s="90"/>
    </row>
    <row r="626">
      <c r="A626" s="104"/>
      <c r="B626" s="101"/>
      <c r="C626" s="105"/>
      <c r="D626" s="93"/>
      <c r="E626" s="106"/>
      <c r="F626" s="107"/>
      <c r="G626" s="108"/>
      <c r="H626" s="97">
        <f>G626*ENTRY!$O620</f>
        <v>0</v>
      </c>
      <c r="I626" s="97">
        <f>G626*ENTRY!$P620</f>
        <v>0</v>
      </c>
      <c r="J626" s="97">
        <f>G626*ENTRY!$Q620</f>
        <v>0</v>
      </c>
      <c r="K626" s="95"/>
      <c r="L626" s="109"/>
      <c r="M626" s="106"/>
      <c r="N626" s="98"/>
      <c r="O626" s="99"/>
      <c r="P626" s="99"/>
      <c r="Q626" s="99"/>
      <c r="R626" s="99"/>
      <c r="S626" s="100"/>
      <c r="T626" s="100"/>
      <c r="U626" s="100"/>
      <c r="V626" s="100"/>
      <c r="W626" s="88"/>
      <c r="X626" s="89"/>
      <c r="Y626" s="90"/>
      <c r="Z626" s="90"/>
      <c r="AA626" s="90"/>
      <c r="AB626" s="90"/>
      <c r="AC626" s="90"/>
    </row>
    <row r="627">
      <c r="A627" s="104"/>
      <c r="B627" s="101"/>
      <c r="C627" s="105"/>
      <c r="D627" s="80"/>
      <c r="E627" s="81"/>
      <c r="F627" s="82"/>
      <c r="G627" s="83"/>
      <c r="H627" s="84">
        <f>G627*ENTRY!$O621</f>
        <v>0</v>
      </c>
      <c r="I627" s="84">
        <f>G627*ENTRY!$P621</f>
        <v>0</v>
      </c>
      <c r="J627" s="84">
        <f>G627*ENTRY!$Q621</f>
        <v>0</v>
      </c>
      <c r="K627" s="82"/>
      <c r="L627" s="82"/>
      <c r="M627" s="81"/>
      <c r="N627" s="85"/>
      <c r="O627" s="86"/>
      <c r="P627" s="86"/>
      <c r="Q627" s="86"/>
      <c r="R627" s="86"/>
      <c r="S627" s="87"/>
      <c r="T627" s="87"/>
      <c r="U627" s="87"/>
      <c r="V627" s="87"/>
      <c r="W627" s="88"/>
      <c r="X627" s="89"/>
      <c r="Y627" s="90"/>
      <c r="Z627" s="90"/>
      <c r="AA627" s="90"/>
      <c r="AB627" s="90"/>
      <c r="AC627" s="90"/>
    </row>
    <row r="628">
      <c r="A628" s="104"/>
      <c r="B628" s="101"/>
      <c r="C628" s="105"/>
      <c r="D628" s="93"/>
      <c r="E628" s="106"/>
      <c r="F628" s="107"/>
      <c r="G628" s="108"/>
      <c r="H628" s="97">
        <f>G628*ENTRY!$O622</f>
        <v>0</v>
      </c>
      <c r="I628" s="97">
        <f>G628*ENTRY!$P622</f>
        <v>0</v>
      </c>
      <c r="J628" s="97">
        <f>G628*ENTRY!$Q622</f>
        <v>0</v>
      </c>
      <c r="K628" s="95"/>
      <c r="L628" s="109"/>
      <c r="M628" s="106"/>
      <c r="N628" s="98"/>
      <c r="O628" s="99"/>
      <c r="P628" s="99"/>
      <c r="Q628" s="99"/>
      <c r="R628" s="99"/>
      <c r="S628" s="100"/>
      <c r="T628" s="100"/>
      <c r="U628" s="100"/>
      <c r="V628" s="100"/>
      <c r="W628" s="88"/>
      <c r="X628" s="89"/>
      <c r="Y628" s="90"/>
      <c r="Z628" s="90"/>
      <c r="AA628" s="90"/>
      <c r="AB628" s="90"/>
      <c r="AC628" s="90"/>
    </row>
    <row r="629">
      <c r="A629" s="104"/>
      <c r="B629" s="101"/>
      <c r="C629" s="105"/>
      <c r="D629" s="80"/>
      <c r="E629" s="81"/>
      <c r="F629" s="82"/>
      <c r="G629" s="83"/>
      <c r="H629" s="84">
        <f>G629*ENTRY!$O623</f>
        <v>0</v>
      </c>
      <c r="I629" s="84">
        <f>G629*ENTRY!$P623</f>
        <v>0</v>
      </c>
      <c r="J629" s="84">
        <f>G629*ENTRY!$Q623</f>
        <v>0</v>
      </c>
      <c r="K629" s="82"/>
      <c r="L629" s="82"/>
      <c r="M629" s="81"/>
      <c r="N629" s="85"/>
      <c r="O629" s="86"/>
      <c r="P629" s="86"/>
      <c r="Q629" s="86"/>
      <c r="R629" s="86"/>
      <c r="S629" s="87"/>
      <c r="T629" s="87"/>
      <c r="U629" s="87"/>
      <c r="V629" s="87"/>
      <c r="W629" s="88"/>
      <c r="X629" s="89"/>
      <c r="Y629" s="90"/>
      <c r="Z629" s="90"/>
      <c r="AA629" s="90"/>
      <c r="AB629" s="90"/>
      <c r="AC629" s="90"/>
    </row>
    <row r="630">
      <c r="A630" s="104"/>
      <c r="B630" s="101"/>
      <c r="C630" s="105"/>
      <c r="D630" s="93"/>
      <c r="E630" s="106"/>
      <c r="F630" s="107"/>
      <c r="G630" s="108"/>
      <c r="H630" s="97">
        <f>G630*ENTRY!$O624</f>
        <v>0</v>
      </c>
      <c r="I630" s="97">
        <f>G630*ENTRY!$P624</f>
        <v>0</v>
      </c>
      <c r="J630" s="97">
        <f>G630*ENTRY!$Q624</f>
        <v>0</v>
      </c>
      <c r="K630" s="95"/>
      <c r="L630" s="109"/>
      <c r="M630" s="106"/>
      <c r="N630" s="98"/>
      <c r="O630" s="99"/>
      <c r="P630" s="99"/>
      <c r="Q630" s="99"/>
      <c r="R630" s="99"/>
      <c r="S630" s="100"/>
      <c r="T630" s="100"/>
      <c r="U630" s="100"/>
      <c r="V630" s="100"/>
      <c r="W630" s="88"/>
      <c r="X630" s="89"/>
      <c r="Y630" s="90"/>
      <c r="Z630" s="90"/>
      <c r="AA630" s="90"/>
      <c r="AB630" s="90"/>
      <c r="AC630" s="90"/>
    </row>
    <row r="631">
      <c r="A631" s="104"/>
      <c r="B631" s="101"/>
      <c r="C631" s="105"/>
      <c r="D631" s="80"/>
      <c r="E631" s="81"/>
      <c r="F631" s="82"/>
      <c r="G631" s="83"/>
      <c r="H631" s="84">
        <f>G631*ENTRY!$O625</f>
        <v>0</v>
      </c>
      <c r="I631" s="84">
        <f>G631*ENTRY!$P625</f>
        <v>0</v>
      </c>
      <c r="J631" s="84">
        <f>G631*ENTRY!$Q625</f>
        <v>0</v>
      </c>
      <c r="K631" s="82"/>
      <c r="L631" s="82"/>
      <c r="M631" s="81"/>
      <c r="N631" s="85"/>
      <c r="O631" s="86"/>
      <c r="P631" s="86"/>
      <c r="Q631" s="86"/>
      <c r="R631" s="86"/>
      <c r="S631" s="87"/>
      <c r="T631" s="87"/>
      <c r="U631" s="87"/>
      <c r="V631" s="87"/>
      <c r="W631" s="88"/>
      <c r="X631" s="89"/>
      <c r="Y631" s="90"/>
      <c r="Z631" s="90"/>
      <c r="AA631" s="90"/>
      <c r="AB631" s="90"/>
      <c r="AC631" s="90"/>
    </row>
    <row r="632">
      <c r="A632" s="104"/>
      <c r="B632" s="101"/>
      <c r="C632" s="105"/>
      <c r="D632" s="93"/>
      <c r="E632" s="106"/>
      <c r="F632" s="107"/>
      <c r="G632" s="108"/>
      <c r="H632" s="97">
        <f>G632*ENTRY!$O626</f>
        <v>0</v>
      </c>
      <c r="I632" s="97">
        <f>G632*ENTRY!$P626</f>
        <v>0</v>
      </c>
      <c r="J632" s="97">
        <f>G632*ENTRY!$Q626</f>
        <v>0</v>
      </c>
      <c r="K632" s="95"/>
      <c r="L632" s="109"/>
      <c r="M632" s="106"/>
      <c r="N632" s="98"/>
      <c r="O632" s="99"/>
      <c r="P632" s="99"/>
      <c r="Q632" s="99"/>
      <c r="R632" s="99"/>
      <c r="S632" s="100"/>
      <c r="T632" s="100"/>
      <c r="U632" s="100"/>
      <c r="V632" s="100"/>
      <c r="W632" s="88"/>
      <c r="X632" s="89"/>
      <c r="Y632" s="90"/>
      <c r="Z632" s="90"/>
      <c r="AA632" s="90"/>
      <c r="AB632" s="90"/>
      <c r="AC632" s="90"/>
    </row>
    <row r="633">
      <c r="A633" s="104"/>
      <c r="B633" s="101"/>
      <c r="C633" s="105"/>
      <c r="D633" s="80"/>
      <c r="E633" s="81"/>
      <c r="F633" s="82"/>
      <c r="G633" s="83"/>
      <c r="H633" s="84">
        <f>G633*ENTRY!$O627</f>
        <v>0</v>
      </c>
      <c r="I633" s="84">
        <f>G633*ENTRY!$P627</f>
        <v>0</v>
      </c>
      <c r="J633" s="84">
        <f>G633*ENTRY!$Q627</f>
        <v>0</v>
      </c>
      <c r="K633" s="82"/>
      <c r="L633" s="82"/>
      <c r="M633" s="81"/>
      <c r="N633" s="85"/>
      <c r="O633" s="86"/>
      <c r="P633" s="86"/>
      <c r="Q633" s="86"/>
      <c r="R633" s="86"/>
      <c r="S633" s="87"/>
      <c r="T633" s="87"/>
      <c r="U633" s="87"/>
      <c r="V633" s="87"/>
      <c r="W633" s="88"/>
      <c r="X633" s="89"/>
      <c r="Y633" s="90"/>
      <c r="Z633" s="90"/>
      <c r="AA633" s="90"/>
      <c r="AB633" s="90"/>
      <c r="AC633" s="90"/>
    </row>
    <row r="634">
      <c r="A634" s="104"/>
      <c r="B634" s="101"/>
      <c r="C634" s="105"/>
      <c r="D634" s="93"/>
      <c r="E634" s="106"/>
      <c r="F634" s="107"/>
      <c r="G634" s="108"/>
      <c r="H634" s="97">
        <f>G634*ENTRY!$O628</f>
        <v>0</v>
      </c>
      <c r="I634" s="97">
        <f>G634*ENTRY!$P628</f>
        <v>0</v>
      </c>
      <c r="J634" s="97">
        <f>G634*ENTRY!$Q628</f>
        <v>0</v>
      </c>
      <c r="K634" s="95"/>
      <c r="L634" s="109"/>
      <c r="M634" s="106"/>
      <c r="N634" s="98"/>
      <c r="O634" s="99"/>
      <c r="P634" s="99"/>
      <c r="Q634" s="99"/>
      <c r="R634" s="99"/>
      <c r="S634" s="100"/>
      <c r="T634" s="100"/>
      <c r="U634" s="100"/>
      <c r="V634" s="100"/>
      <c r="W634" s="88"/>
      <c r="X634" s="89"/>
      <c r="Y634" s="90"/>
      <c r="Z634" s="90"/>
      <c r="AA634" s="90"/>
      <c r="AB634" s="90"/>
      <c r="AC634" s="90"/>
    </row>
    <row r="635">
      <c r="A635" s="104"/>
      <c r="B635" s="101"/>
      <c r="C635" s="105"/>
      <c r="D635" s="80"/>
      <c r="E635" s="81"/>
      <c r="F635" s="82"/>
      <c r="G635" s="83"/>
      <c r="H635" s="84">
        <f>G635*ENTRY!$O629</f>
        <v>0</v>
      </c>
      <c r="I635" s="84">
        <f>G635*ENTRY!$P629</f>
        <v>0</v>
      </c>
      <c r="J635" s="84">
        <f>G635*ENTRY!$Q629</f>
        <v>0</v>
      </c>
      <c r="K635" s="82"/>
      <c r="L635" s="82"/>
      <c r="M635" s="81"/>
      <c r="N635" s="85"/>
      <c r="O635" s="86"/>
      <c r="P635" s="86"/>
      <c r="Q635" s="86"/>
      <c r="R635" s="86"/>
      <c r="S635" s="87"/>
      <c r="T635" s="87"/>
      <c r="U635" s="87"/>
      <c r="V635" s="87"/>
      <c r="W635" s="88"/>
      <c r="X635" s="89"/>
      <c r="Y635" s="90"/>
      <c r="Z635" s="90"/>
      <c r="AA635" s="90"/>
      <c r="AB635" s="90"/>
      <c r="AC635" s="90"/>
    </row>
    <row r="636">
      <c r="A636" s="104"/>
      <c r="B636" s="101"/>
      <c r="C636" s="105"/>
      <c r="D636" s="93"/>
      <c r="E636" s="106"/>
      <c r="F636" s="107"/>
      <c r="G636" s="108"/>
      <c r="H636" s="97">
        <f>G636*ENTRY!$O630</f>
        <v>0</v>
      </c>
      <c r="I636" s="97">
        <f>G636*ENTRY!$P630</f>
        <v>0</v>
      </c>
      <c r="J636" s="97">
        <f>G636*ENTRY!$Q630</f>
        <v>0</v>
      </c>
      <c r="K636" s="95"/>
      <c r="L636" s="109"/>
      <c r="M636" s="106"/>
      <c r="N636" s="98"/>
      <c r="O636" s="99"/>
      <c r="P636" s="99"/>
      <c r="Q636" s="99"/>
      <c r="R636" s="99"/>
      <c r="S636" s="100"/>
      <c r="T636" s="100"/>
      <c r="U636" s="100"/>
      <c r="V636" s="100"/>
      <c r="W636" s="88"/>
      <c r="X636" s="89"/>
      <c r="Y636" s="90"/>
      <c r="Z636" s="90"/>
      <c r="AA636" s="90"/>
      <c r="AB636" s="90"/>
      <c r="AC636" s="90"/>
    </row>
    <row r="637">
      <c r="A637" s="104"/>
      <c r="B637" s="101"/>
      <c r="C637" s="105"/>
      <c r="D637" s="80"/>
      <c r="E637" s="81"/>
      <c r="F637" s="82"/>
      <c r="G637" s="83"/>
      <c r="H637" s="84">
        <f>G637*ENTRY!$O631</f>
        <v>0</v>
      </c>
      <c r="I637" s="84">
        <f>G637*ENTRY!$P631</f>
        <v>0</v>
      </c>
      <c r="J637" s="84">
        <f>G637*ENTRY!$Q631</f>
        <v>0</v>
      </c>
      <c r="K637" s="82"/>
      <c r="L637" s="82"/>
      <c r="M637" s="81"/>
      <c r="N637" s="85"/>
      <c r="O637" s="86"/>
      <c r="P637" s="86"/>
      <c r="Q637" s="86"/>
      <c r="R637" s="86"/>
      <c r="S637" s="87"/>
      <c r="T637" s="87"/>
      <c r="U637" s="87"/>
      <c r="V637" s="87"/>
      <c r="W637" s="88"/>
      <c r="X637" s="89"/>
      <c r="Y637" s="90"/>
      <c r="Z637" s="90"/>
      <c r="AA637" s="90"/>
      <c r="AB637" s="90"/>
      <c r="AC637" s="90"/>
    </row>
    <row r="638">
      <c r="A638" s="104"/>
      <c r="B638" s="101"/>
      <c r="C638" s="105"/>
      <c r="D638" s="93"/>
      <c r="E638" s="106"/>
      <c r="F638" s="107"/>
      <c r="G638" s="108"/>
      <c r="H638" s="97">
        <f>G638*ENTRY!$O632</f>
        <v>0</v>
      </c>
      <c r="I638" s="97">
        <f>G638*ENTRY!$P632</f>
        <v>0</v>
      </c>
      <c r="J638" s="97">
        <f>G638*ENTRY!$Q632</f>
        <v>0</v>
      </c>
      <c r="K638" s="95"/>
      <c r="L638" s="109"/>
      <c r="M638" s="106"/>
      <c r="N638" s="98"/>
      <c r="O638" s="99"/>
      <c r="P638" s="99"/>
      <c r="Q638" s="99"/>
      <c r="R638" s="99"/>
      <c r="S638" s="100"/>
      <c r="T638" s="100"/>
      <c r="U638" s="100"/>
      <c r="V638" s="100"/>
      <c r="W638" s="88"/>
      <c r="X638" s="89"/>
      <c r="Y638" s="90"/>
      <c r="Z638" s="90"/>
      <c r="AA638" s="90"/>
      <c r="AB638" s="90"/>
      <c r="AC638" s="90"/>
    </row>
    <row r="639">
      <c r="A639" s="104"/>
      <c r="B639" s="101"/>
      <c r="C639" s="105"/>
      <c r="D639" s="80"/>
      <c r="E639" s="81"/>
      <c r="F639" s="82"/>
      <c r="G639" s="83"/>
      <c r="H639" s="84">
        <f>G639*ENTRY!$O633</f>
        <v>0</v>
      </c>
      <c r="I639" s="84">
        <f>G639*ENTRY!$P633</f>
        <v>0</v>
      </c>
      <c r="J639" s="84">
        <f>G639*ENTRY!$Q633</f>
        <v>0</v>
      </c>
      <c r="K639" s="82"/>
      <c r="L639" s="82"/>
      <c r="M639" s="81"/>
      <c r="N639" s="85"/>
      <c r="O639" s="86"/>
      <c r="P639" s="86"/>
      <c r="Q639" s="86"/>
      <c r="R639" s="86"/>
      <c r="S639" s="87"/>
      <c r="T639" s="87"/>
      <c r="U639" s="87"/>
      <c r="V639" s="87"/>
      <c r="W639" s="88"/>
      <c r="X639" s="89"/>
      <c r="Y639" s="90"/>
      <c r="Z639" s="90"/>
      <c r="AA639" s="90"/>
      <c r="AB639" s="90"/>
      <c r="AC639" s="90"/>
    </row>
    <row r="640">
      <c r="A640" s="104"/>
      <c r="B640" s="101"/>
      <c r="C640" s="105"/>
      <c r="D640" s="93"/>
      <c r="E640" s="106"/>
      <c r="F640" s="107"/>
      <c r="G640" s="108"/>
      <c r="H640" s="97">
        <f>G640*ENTRY!$O634</f>
        <v>0</v>
      </c>
      <c r="I640" s="97">
        <f>G640*ENTRY!$P634</f>
        <v>0</v>
      </c>
      <c r="J640" s="97">
        <f>G640*ENTRY!$Q634</f>
        <v>0</v>
      </c>
      <c r="K640" s="95"/>
      <c r="L640" s="109"/>
      <c r="M640" s="106"/>
      <c r="N640" s="98"/>
      <c r="O640" s="99"/>
      <c r="P640" s="99"/>
      <c r="Q640" s="99"/>
      <c r="R640" s="99"/>
      <c r="S640" s="100"/>
      <c r="T640" s="100"/>
      <c r="U640" s="100"/>
      <c r="V640" s="100"/>
      <c r="W640" s="88"/>
      <c r="X640" s="89"/>
      <c r="Y640" s="90"/>
      <c r="Z640" s="90"/>
      <c r="AA640" s="90"/>
      <c r="AB640" s="90"/>
      <c r="AC640" s="90"/>
    </row>
    <row r="641">
      <c r="A641" s="104"/>
      <c r="B641" s="101"/>
      <c r="C641" s="105"/>
      <c r="D641" s="80"/>
      <c r="E641" s="81"/>
      <c r="F641" s="82"/>
      <c r="G641" s="83"/>
      <c r="H641" s="84">
        <f>G641*ENTRY!$O635</f>
        <v>0</v>
      </c>
      <c r="I641" s="84">
        <f>G641*ENTRY!$P635</f>
        <v>0</v>
      </c>
      <c r="J641" s="84">
        <f>G641*ENTRY!$Q635</f>
        <v>0</v>
      </c>
      <c r="K641" s="82"/>
      <c r="L641" s="82"/>
      <c r="M641" s="81"/>
      <c r="N641" s="85"/>
      <c r="O641" s="86"/>
      <c r="P641" s="86"/>
      <c r="Q641" s="86"/>
      <c r="R641" s="86"/>
      <c r="S641" s="87"/>
      <c r="T641" s="87"/>
      <c r="U641" s="87"/>
      <c r="V641" s="87"/>
      <c r="W641" s="88"/>
      <c r="X641" s="89"/>
      <c r="Y641" s="90"/>
      <c r="Z641" s="90"/>
      <c r="AA641" s="90"/>
      <c r="AB641" s="90"/>
      <c r="AC641" s="90"/>
    </row>
    <row r="642">
      <c r="A642" s="104"/>
      <c r="B642" s="101"/>
      <c r="C642" s="105"/>
      <c r="D642" s="93"/>
      <c r="E642" s="106"/>
      <c r="F642" s="107"/>
      <c r="G642" s="108"/>
      <c r="H642" s="97">
        <f>G642*ENTRY!$O636</f>
        <v>0</v>
      </c>
      <c r="I642" s="97">
        <f>G642*ENTRY!$P636</f>
        <v>0</v>
      </c>
      <c r="J642" s="97">
        <f>G642*ENTRY!$Q636</f>
        <v>0</v>
      </c>
      <c r="K642" s="95"/>
      <c r="L642" s="109"/>
      <c r="M642" s="106"/>
      <c r="N642" s="98"/>
      <c r="O642" s="99"/>
      <c r="P642" s="99"/>
      <c r="Q642" s="99"/>
      <c r="R642" s="99"/>
      <c r="S642" s="100"/>
      <c r="T642" s="100"/>
      <c r="U642" s="100"/>
      <c r="V642" s="100"/>
      <c r="W642" s="88"/>
      <c r="X642" s="89"/>
      <c r="Y642" s="90"/>
      <c r="Z642" s="90"/>
      <c r="AA642" s="90"/>
      <c r="AB642" s="90"/>
      <c r="AC642" s="90"/>
    </row>
    <row r="643">
      <c r="A643" s="104"/>
      <c r="B643" s="101"/>
      <c r="C643" s="105"/>
      <c r="D643" s="80"/>
      <c r="E643" s="81"/>
      <c r="F643" s="82"/>
      <c r="G643" s="83"/>
      <c r="H643" s="84">
        <f>G643*ENTRY!$O637</f>
        <v>0</v>
      </c>
      <c r="I643" s="84">
        <f>G643*ENTRY!$P637</f>
        <v>0</v>
      </c>
      <c r="J643" s="84">
        <f>G643*ENTRY!$Q637</f>
        <v>0</v>
      </c>
      <c r="K643" s="82"/>
      <c r="L643" s="82"/>
      <c r="M643" s="81"/>
      <c r="N643" s="85"/>
      <c r="O643" s="86"/>
      <c r="P643" s="86"/>
      <c r="Q643" s="86"/>
      <c r="R643" s="86"/>
      <c r="S643" s="87"/>
      <c r="T643" s="87"/>
      <c r="U643" s="87"/>
      <c r="V643" s="87"/>
      <c r="W643" s="88"/>
      <c r="X643" s="89"/>
      <c r="Y643" s="90"/>
      <c r="Z643" s="90"/>
      <c r="AA643" s="90"/>
      <c r="AB643" s="90"/>
      <c r="AC643" s="90"/>
    </row>
    <row r="644">
      <c r="A644" s="104"/>
      <c r="B644" s="101"/>
      <c r="C644" s="105"/>
      <c r="D644" s="93"/>
      <c r="E644" s="106"/>
      <c r="F644" s="107"/>
      <c r="G644" s="108"/>
      <c r="H644" s="97">
        <f>G644*ENTRY!$O638</f>
        <v>0</v>
      </c>
      <c r="I644" s="97">
        <f>G644*ENTRY!$P638</f>
        <v>0</v>
      </c>
      <c r="J644" s="97">
        <f>G644*ENTRY!$Q638</f>
        <v>0</v>
      </c>
      <c r="K644" s="95"/>
      <c r="L644" s="109"/>
      <c r="M644" s="106"/>
      <c r="N644" s="98"/>
      <c r="O644" s="99"/>
      <c r="P644" s="99"/>
      <c r="Q644" s="99"/>
      <c r="R644" s="99"/>
      <c r="S644" s="100"/>
      <c r="T644" s="100"/>
      <c r="U644" s="100"/>
      <c r="V644" s="100"/>
      <c r="W644" s="88"/>
      <c r="X644" s="89"/>
      <c r="Y644" s="90"/>
      <c r="Z644" s="90"/>
      <c r="AA644" s="90"/>
      <c r="AB644" s="90"/>
      <c r="AC644" s="90"/>
    </row>
    <row r="645">
      <c r="A645" s="104"/>
      <c r="B645" s="101"/>
      <c r="C645" s="105"/>
      <c r="D645" s="80"/>
      <c r="E645" s="81"/>
      <c r="F645" s="82"/>
      <c r="G645" s="83"/>
      <c r="H645" s="84">
        <f>G645*ENTRY!$O639</f>
        <v>0</v>
      </c>
      <c r="I645" s="84">
        <f>G645*ENTRY!$P639</f>
        <v>0</v>
      </c>
      <c r="J645" s="84">
        <f>G645*ENTRY!$Q639</f>
        <v>0</v>
      </c>
      <c r="K645" s="82"/>
      <c r="L645" s="82"/>
      <c r="M645" s="81"/>
      <c r="N645" s="85"/>
      <c r="O645" s="86"/>
      <c r="P645" s="86"/>
      <c r="Q645" s="86"/>
      <c r="R645" s="86"/>
      <c r="S645" s="87"/>
      <c r="T645" s="87"/>
      <c r="U645" s="87"/>
      <c r="V645" s="87"/>
      <c r="W645" s="88"/>
      <c r="X645" s="89"/>
      <c r="Y645" s="90"/>
      <c r="Z645" s="90"/>
      <c r="AA645" s="90"/>
      <c r="AB645" s="90"/>
      <c r="AC645" s="90"/>
    </row>
    <row r="646">
      <c r="A646" s="104"/>
      <c r="B646" s="101"/>
      <c r="C646" s="105"/>
      <c r="D646" s="93"/>
      <c r="E646" s="106"/>
      <c r="F646" s="107"/>
      <c r="G646" s="108"/>
      <c r="H646" s="97">
        <f>G646*ENTRY!$O640</f>
        <v>0</v>
      </c>
      <c r="I646" s="97">
        <f>G646*ENTRY!$P640</f>
        <v>0</v>
      </c>
      <c r="J646" s="97">
        <f>G646*ENTRY!$Q640</f>
        <v>0</v>
      </c>
      <c r="K646" s="95"/>
      <c r="L646" s="109"/>
      <c r="M646" s="106"/>
      <c r="N646" s="98"/>
      <c r="O646" s="99"/>
      <c r="P646" s="99"/>
      <c r="Q646" s="99"/>
      <c r="R646" s="99"/>
      <c r="S646" s="100"/>
      <c r="T646" s="100"/>
      <c r="U646" s="100"/>
      <c r="V646" s="100"/>
      <c r="W646" s="88"/>
      <c r="X646" s="89"/>
      <c r="Y646" s="90"/>
      <c r="Z646" s="90"/>
      <c r="AA646" s="90"/>
      <c r="AB646" s="90"/>
      <c r="AC646" s="90"/>
    </row>
    <row r="647">
      <c r="A647" s="104"/>
      <c r="B647" s="101"/>
      <c r="C647" s="105"/>
      <c r="D647" s="80"/>
      <c r="E647" s="81"/>
      <c r="F647" s="82"/>
      <c r="G647" s="83"/>
      <c r="H647" s="84">
        <f>G647*ENTRY!$O641</f>
        <v>0</v>
      </c>
      <c r="I647" s="84">
        <f>G647*ENTRY!$P641</f>
        <v>0</v>
      </c>
      <c r="J647" s="84">
        <f>G647*ENTRY!$Q641</f>
        <v>0</v>
      </c>
      <c r="K647" s="82"/>
      <c r="L647" s="82"/>
      <c r="M647" s="81"/>
      <c r="N647" s="85"/>
      <c r="O647" s="86"/>
      <c r="P647" s="86"/>
      <c r="Q647" s="86"/>
      <c r="R647" s="86"/>
      <c r="S647" s="87"/>
      <c r="T647" s="87"/>
      <c r="U647" s="87"/>
      <c r="V647" s="87"/>
      <c r="W647" s="88"/>
      <c r="X647" s="89"/>
      <c r="Y647" s="90"/>
      <c r="Z647" s="90"/>
      <c r="AA647" s="90"/>
      <c r="AB647" s="90"/>
      <c r="AC647" s="90"/>
    </row>
    <row r="648">
      <c r="A648" s="104"/>
      <c r="B648" s="101"/>
      <c r="C648" s="105"/>
      <c r="D648" s="93"/>
      <c r="E648" s="106"/>
      <c r="F648" s="107"/>
      <c r="G648" s="108"/>
      <c r="H648" s="97">
        <f>G648*ENTRY!$O642</f>
        <v>0</v>
      </c>
      <c r="I648" s="97">
        <f>G648*ENTRY!$P642</f>
        <v>0</v>
      </c>
      <c r="J648" s="97">
        <f>G648*ENTRY!$Q642</f>
        <v>0</v>
      </c>
      <c r="K648" s="95"/>
      <c r="L648" s="109"/>
      <c r="M648" s="106"/>
      <c r="N648" s="98"/>
      <c r="O648" s="99"/>
      <c r="P648" s="99"/>
      <c r="Q648" s="99"/>
      <c r="R648" s="99"/>
      <c r="S648" s="100"/>
      <c r="T648" s="100"/>
      <c r="U648" s="100"/>
      <c r="V648" s="100"/>
      <c r="W648" s="88"/>
      <c r="X648" s="89"/>
      <c r="Y648" s="90"/>
      <c r="Z648" s="90"/>
      <c r="AA648" s="90"/>
      <c r="AB648" s="90"/>
      <c r="AC648" s="90"/>
    </row>
    <row r="649">
      <c r="A649" s="104"/>
      <c r="B649" s="101"/>
      <c r="C649" s="105"/>
      <c r="D649" s="80"/>
      <c r="E649" s="81"/>
      <c r="F649" s="82"/>
      <c r="G649" s="83"/>
      <c r="H649" s="84">
        <f>G649*ENTRY!$O643</f>
        <v>0</v>
      </c>
      <c r="I649" s="84">
        <f>G649*ENTRY!$P643</f>
        <v>0</v>
      </c>
      <c r="J649" s="84">
        <f>G649*ENTRY!$Q643</f>
        <v>0</v>
      </c>
      <c r="K649" s="82"/>
      <c r="L649" s="82"/>
      <c r="M649" s="81"/>
      <c r="N649" s="85"/>
      <c r="O649" s="86"/>
      <c r="P649" s="86"/>
      <c r="Q649" s="86"/>
      <c r="R649" s="86"/>
      <c r="S649" s="87"/>
      <c r="T649" s="87"/>
      <c r="U649" s="87"/>
      <c r="V649" s="87"/>
      <c r="W649" s="88"/>
      <c r="X649" s="89"/>
      <c r="Y649" s="90"/>
      <c r="Z649" s="90"/>
      <c r="AA649" s="90"/>
      <c r="AB649" s="90"/>
      <c r="AC649" s="90"/>
    </row>
    <row r="650">
      <c r="A650" s="104"/>
      <c r="B650" s="101"/>
      <c r="C650" s="105"/>
      <c r="D650" s="93"/>
      <c r="E650" s="106"/>
      <c r="F650" s="107"/>
      <c r="G650" s="108"/>
      <c r="H650" s="97">
        <f>G650*ENTRY!$O644</f>
        <v>0</v>
      </c>
      <c r="I650" s="97">
        <f>G650*ENTRY!$P644</f>
        <v>0</v>
      </c>
      <c r="J650" s="97">
        <f>G650*ENTRY!$Q644</f>
        <v>0</v>
      </c>
      <c r="K650" s="95"/>
      <c r="L650" s="109"/>
      <c r="M650" s="106"/>
      <c r="N650" s="98"/>
      <c r="O650" s="99"/>
      <c r="P650" s="99"/>
      <c r="Q650" s="99"/>
      <c r="R650" s="99"/>
      <c r="S650" s="100"/>
      <c r="T650" s="100"/>
      <c r="U650" s="100"/>
      <c r="V650" s="100"/>
      <c r="W650" s="88"/>
      <c r="X650" s="89"/>
      <c r="Y650" s="90"/>
      <c r="Z650" s="90"/>
      <c r="AA650" s="90"/>
      <c r="AB650" s="90"/>
      <c r="AC650" s="90"/>
    </row>
    <row r="651">
      <c r="A651" s="104"/>
      <c r="B651" s="101"/>
      <c r="C651" s="105"/>
      <c r="D651" s="80"/>
      <c r="E651" s="81"/>
      <c r="F651" s="82"/>
      <c r="G651" s="83"/>
      <c r="H651" s="84">
        <f>G651*ENTRY!$O645</f>
        <v>0</v>
      </c>
      <c r="I651" s="84">
        <f>G651*ENTRY!$P645</f>
        <v>0</v>
      </c>
      <c r="J651" s="84">
        <f>G651*ENTRY!$Q645</f>
        <v>0</v>
      </c>
      <c r="K651" s="82"/>
      <c r="L651" s="82"/>
      <c r="M651" s="81"/>
      <c r="N651" s="85"/>
      <c r="O651" s="86"/>
      <c r="P651" s="86"/>
      <c r="Q651" s="86"/>
      <c r="R651" s="86"/>
      <c r="S651" s="87"/>
      <c r="T651" s="87"/>
      <c r="U651" s="87"/>
      <c r="V651" s="87"/>
      <c r="W651" s="88"/>
      <c r="X651" s="89"/>
      <c r="Y651" s="90"/>
      <c r="Z651" s="90"/>
      <c r="AA651" s="90"/>
      <c r="AB651" s="90"/>
      <c r="AC651" s="90"/>
    </row>
    <row r="652">
      <c r="A652" s="104"/>
      <c r="B652" s="101"/>
      <c r="C652" s="105"/>
      <c r="D652" s="93"/>
      <c r="E652" s="106"/>
      <c r="F652" s="107"/>
      <c r="G652" s="108"/>
      <c r="H652" s="97">
        <f>G652*ENTRY!$O646</f>
        <v>0</v>
      </c>
      <c r="I652" s="97">
        <f>G652*ENTRY!$P646</f>
        <v>0</v>
      </c>
      <c r="J652" s="97">
        <f>G652*ENTRY!$Q646</f>
        <v>0</v>
      </c>
      <c r="K652" s="95"/>
      <c r="L652" s="109"/>
      <c r="M652" s="106"/>
      <c r="N652" s="98"/>
      <c r="O652" s="99"/>
      <c r="P652" s="99"/>
      <c r="Q652" s="99"/>
      <c r="R652" s="99"/>
      <c r="S652" s="100"/>
      <c r="T652" s="100"/>
      <c r="U652" s="100"/>
      <c r="V652" s="100"/>
      <c r="W652" s="88"/>
      <c r="X652" s="89"/>
      <c r="Y652" s="90"/>
      <c r="Z652" s="90"/>
      <c r="AA652" s="90"/>
      <c r="AB652" s="90"/>
      <c r="AC652" s="90"/>
    </row>
    <row r="653">
      <c r="A653" s="104"/>
      <c r="B653" s="101"/>
      <c r="C653" s="105"/>
      <c r="D653" s="80"/>
      <c r="E653" s="81"/>
      <c r="F653" s="82"/>
      <c r="G653" s="83"/>
      <c r="H653" s="84">
        <f>G653*ENTRY!$O647</f>
        <v>0</v>
      </c>
      <c r="I653" s="84">
        <f>G653*ENTRY!$P647</f>
        <v>0</v>
      </c>
      <c r="J653" s="84">
        <f>G653*ENTRY!$Q647</f>
        <v>0</v>
      </c>
      <c r="K653" s="82"/>
      <c r="L653" s="82"/>
      <c r="M653" s="81"/>
      <c r="N653" s="85"/>
      <c r="O653" s="86"/>
      <c r="P653" s="86"/>
      <c r="Q653" s="86"/>
      <c r="R653" s="86"/>
      <c r="S653" s="87"/>
      <c r="T653" s="87"/>
      <c r="U653" s="87"/>
      <c r="V653" s="87"/>
      <c r="W653" s="88"/>
      <c r="X653" s="89"/>
      <c r="Y653" s="90"/>
      <c r="Z653" s="90"/>
      <c r="AA653" s="90"/>
      <c r="AB653" s="90"/>
      <c r="AC653" s="90"/>
    </row>
    <row r="654">
      <c r="A654" s="104"/>
      <c r="B654" s="101"/>
      <c r="C654" s="105"/>
      <c r="D654" s="93"/>
      <c r="E654" s="106"/>
      <c r="F654" s="107"/>
      <c r="G654" s="108"/>
      <c r="H654" s="97">
        <f>G654*ENTRY!$O648</f>
        <v>0</v>
      </c>
      <c r="I654" s="97">
        <f>G654*ENTRY!$P648</f>
        <v>0</v>
      </c>
      <c r="J654" s="97">
        <f>G654*ENTRY!$Q648</f>
        <v>0</v>
      </c>
      <c r="K654" s="95"/>
      <c r="L654" s="109"/>
      <c r="M654" s="106"/>
      <c r="N654" s="98"/>
      <c r="O654" s="99"/>
      <c r="P654" s="99"/>
      <c r="Q654" s="99"/>
      <c r="R654" s="99"/>
      <c r="S654" s="100"/>
      <c r="T654" s="100"/>
      <c r="U654" s="100"/>
      <c r="V654" s="100"/>
      <c r="W654" s="88"/>
      <c r="X654" s="89"/>
      <c r="Y654" s="90"/>
      <c r="Z654" s="90"/>
      <c r="AA654" s="90"/>
      <c r="AB654" s="90"/>
      <c r="AC654" s="90"/>
    </row>
    <row r="655">
      <c r="A655" s="104"/>
      <c r="B655" s="101"/>
      <c r="C655" s="105"/>
      <c r="D655" s="80"/>
      <c r="E655" s="81"/>
      <c r="F655" s="82"/>
      <c r="G655" s="83"/>
      <c r="H655" s="84">
        <f>G655*ENTRY!$O649</f>
        <v>0</v>
      </c>
      <c r="I655" s="84">
        <f>G655*ENTRY!$P649</f>
        <v>0</v>
      </c>
      <c r="J655" s="84">
        <f>G655*ENTRY!$Q649</f>
        <v>0</v>
      </c>
      <c r="K655" s="82"/>
      <c r="L655" s="82"/>
      <c r="M655" s="81"/>
      <c r="N655" s="85"/>
      <c r="O655" s="86"/>
      <c r="P655" s="86"/>
      <c r="Q655" s="86"/>
      <c r="R655" s="86"/>
      <c r="S655" s="87"/>
      <c r="T655" s="87"/>
      <c r="U655" s="87"/>
      <c r="V655" s="87"/>
      <c r="W655" s="88"/>
      <c r="X655" s="89"/>
      <c r="Y655" s="90"/>
      <c r="Z655" s="90"/>
      <c r="AA655" s="90"/>
      <c r="AB655" s="90"/>
      <c r="AC655" s="90"/>
    </row>
    <row r="656">
      <c r="A656" s="104"/>
      <c r="B656" s="101"/>
      <c r="C656" s="105"/>
      <c r="D656" s="93"/>
      <c r="E656" s="106"/>
      <c r="F656" s="107"/>
      <c r="G656" s="108"/>
      <c r="H656" s="97">
        <f>G656*ENTRY!$O650</f>
        <v>0</v>
      </c>
      <c r="I656" s="97">
        <f>G656*ENTRY!$P650</f>
        <v>0</v>
      </c>
      <c r="J656" s="97">
        <f>G656*ENTRY!$Q650</f>
        <v>0</v>
      </c>
      <c r="K656" s="95"/>
      <c r="L656" s="109"/>
      <c r="M656" s="106"/>
      <c r="N656" s="98"/>
      <c r="O656" s="99"/>
      <c r="P656" s="99"/>
      <c r="Q656" s="99"/>
      <c r="R656" s="99"/>
      <c r="S656" s="100"/>
      <c r="T656" s="100"/>
      <c r="U656" s="100"/>
      <c r="V656" s="100"/>
      <c r="W656" s="88"/>
      <c r="X656" s="89"/>
      <c r="Y656" s="90"/>
      <c r="Z656" s="90"/>
      <c r="AA656" s="90"/>
      <c r="AB656" s="90"/>
      <c r="AC656" s="90"/>
    </row>
    <row r="657">
      <c r="A657" s="104"/>
      <c r="B657" s="101"/>
      <c r="C657" s="105"/>
      <c r="D657" s="80"/>
      <c r="E657" s="81"/>
      <c r="F657" s="82"/>
      <c r="G657" s="83"/>
      <c r="H657" s="84">
        <f>G657*ENTRY!$O651</f>
        <v>0</v>
      </c>
      <c r="I657" s="84">
        <f>G657*ENTRY!$P651</f>
        <v>0</v>
      </c>
      <c r="J657" s="84">
        <f>G657*ENTRY!$Q651</f>
        <v>0</v>
      </c>
      <c r="K657" s="82"/>
      <c r="L657" s="82"/>
      <c r="M657" s="81"/>
      <c r="N657" s="85"/>
      <c r="O657" s="86"/>
      <c r="P657" s="86"/>
      <c r="Q657" s="86"/>
      <c r="R657" s="86"/>
      <c r="S657" s="87"/>
      <c r="T657" s="87"/>
      <c r="U657" s="87"/>
      <c r="V657" s="87"/>
      <c r="W657" s="88"/>
      <c r="X657" s="89"/>
      <c r="Y657" s="90"/>
      <c r="Z657" s="90"/>
      <c r="AA657" s="90"/>
      <c r="AB657" s="90"/>
      <c r="AC657" s="90"/>
    </row>
    <row r="658">
      <c r="A658" s="104"/>
      <c r="B658" s="101"/>
      <c r="C658" s="105"/>
      <c r="D658" s="93"/>
      <c r="E658" s="106"/>
      <c r="F658" s="107"/>
      <c r="G658" s="108"/>
      <c r="H658" s="97">
        <f>G658*ENTRY!$O652</f>
        <v>0</v>
      </c>
      <c r="I658" s="97">
        <f>G658*ENTRY!$P652</f>
        <v>0</v>
      </c>
      <c r="J658" s="97">
        <f>G658*ENTRY!$Q652</f>
        <v>0</v>
      </c>
      <c r="K658" s="95"/>
      <c r="L658" s="109"/>
      <c r="M658" s="106"/>
      <c r="N658" s="98"/>
      <c r="O658" s="99"/>
      <c r="P658" s="99"/>
      <c r="Q658" s="99"/>
      <c r="R658" s="99"/>
      <c r="S658" s="100"/>
      <c r="T658" s="100"/>
      <c r="U658" s="100"/>
      <c r="V658" s="100"/>
      <c r="W658" s="88"/>
      <c r="X658" s="89"/>
      <c r="Y658" s="90"/>
      <c r="Z658" s="90"/>
      <c r="AA658" s="90"/>
      <c r="AB658" s="90"/>
      <c r="AC658" s="90"/>
    </row>
    <row r="659">
      <c r="A659" s="104"/>
      <c r="B659" s="101"/>
      <c r="C659" s="105"/>
      <c r="D659" s="80"/>
      <c r="E659" s="81"/>
      <c r="F659" s="82"/>
      <c r="G659" s="83"/>
      <c r="H659" s="84">
        <f>G659*ENTRY!$O653</f>
        <v>0</v>
      </c>
      <c r="I659" s="84">
        <f>G659*ENTRY!$P653</f>
        <v>0</v>
      </c>
      <c r="J659" s="84">
        <f>G659*ENTRY!$Q653</f>
        <v>0</v>
      </c>
      <c r="K659" s="82"/>
      <c r="L659" s="82"/>
      <c r="M659" s="81"/>
      <c r="N659" s="85"/>
      <c r="O659" s="86"/>
      <c r="P659" s="86"/>
      <c r="Q659" s="86"/>
      <c r="R659" s="86"/>
      <c r="S659" s="87"/>
      <c r="T659" s="87"/>
      <c r="U659" s="87"/>
      <c r="V659" s="87"/>
      <c r="W659" s="88"/>
      <c r="X659" s="89"/>
      <c r="Y659" s="90"/>
      <c r="Z659" s="90"/>
      <c r="AA659" s="90"/>
      <c r="AB659" s="90"/>
      <c r="AC659" s="90"/>
    </row>
    <row r="660">
      <c r="A660" s="104"/>
      <c r="B660" s="101"/>
      <c r="C660" s="105"/>
      <c r="D660" s="93"/>
      <c r="E660" s="106"/>
      <c r="F660" s="107"/>
      <c r="G660" s="108"/>
      <c r="H660" s="97">
        <f>G660*ENTRY!$O654</f>
        <v>0</v>
      </c>
      <c r="I660" s="97">
        <f>G660*ENTRY!$P654</f>
        <v>0</v>
      </c>
      <c r="J660" s="97">
        <f>G660*ENTRY!$Q654</f>
        <v>0</v>
      </c>
      <c r="K660" s="95"/>
      <c r="L660" s="109"/>
      <c r="M660" s="106"/>
      <c r="N660" s="98"/>
      <c r="O660" s="99"/>
      <c r="P660" s="99"/>
      <c r="Q660" s="99"/>
      <c r="R660" s="99"/>
      <c r="S660" s="100"/>
      <c r="T660" s="100"/>
      <c r="U660" s="100"/>
      <c r="V660" s="100"/>
      <c r="W660" s="88"/>
      <c r="X660" s="89"/>
      <c r="Y660" s="90"/>
      <c r="Z660" s="90"/>
      <c r="AA660" s="90"/>
      <c r="AB660" s="90"/>
      <c r="AC660" s="90"/>
    </row>
    <row r="661">
      <c r="A661" s="104"/>
      <c r="B661" s="101"/>
      <c r="C661" s="105"/>
      <c r="D661" s="80"/>
      <c r="E661" s="81"/>
      <c r="F661" s="82"/>
      <c r="G661" s="83"/>
      <c r="H661" s="84">
        <f>G661*ENTRY!$O655</f>
        <v>0</v>
      </c>
      <c r="I661" s="84">
        <f>G661*ENTRY!$P655</f>
        <v>0</v>
      </c>
      <c r="J661" s="84">
        <f>G661*ENTRY!$Q655</f>
        <v>0</v>
      </c>
      <c r="K661" s="82"/>
      <c r="L661" s="82"/>
      <c r="M661" s="81"/>
      <c r="N661" s="85"/>
      <c r="O661" s="86"/>
      <c r="P661" s="86"/>
      <c r="Q661" s="86"/>
      <c r="R661" s="86"/>
      <c r="S661" s="87"/>
      <c r="T661" s="87"/>
      <c r="U661" s="87"/>
      <c r="V661" s="87"/>
      <c r="W661" s="88"/>
      <c r="X661" s="89"/>
      <c r="Y661" s="90"/>
      <c r="Z661" s="90"/>
      <c r="AA661" s="90"/>
      <c r="AB661" s="90"/>
      <c r="AC661" s="90"/>
    </row>
    <row r="662">
      <c r="A662" s="104"/>
      <c r="B662" s="101"/>
      <c r="C662" s="105"/>
      <c r="D662" s="93"/>
      <c r="E662" s="106"/>
      <c r="F662" s="107"/>
      <c r="G662" s="108"/>
      <c r="H662" s="97">
        <f>G662*ENTRY!$O656</f>
        <v>0</v>
      </c>
      <c r="I662" s="97">
        <f>G662*ENTRY!$P656</f>
        <v>0</v>
      </c>
      <c r="J662" s="97">
        <f>G662*ENTRY!$Q656</f>
        <v>0</v>
      </c>
      <c r="K662" s="95"/>
      <c r="L662" s="109"/>
      <c r="M662" s="106"/>
      <c r="N662" s="98"/>
      <c r="O662" s="99"/>
      <c r="P662" s="99"/>
      <c r="Q662" s="99"/>
      <c r="R662" s="99"/>
      <c r="S662" s="100"/>
      <c r="T662" s="100"/>
      <c r="U662" s="100"/>
      <c r="V662" s="100"/>
      <c r="W662" s="88"/>
      <c r="X662" s="89"/>
      <c r="Y662" s="90"/>
      <c r="Z662" s="90"/>
      <c r="AA662" s="90"/>
      <c r="AB662" s="90"/>
      <c r="AC662" s="90"/>
    </row>
    <row r="663">
      <c r="A663" s="104"/>
      <c r="B663" s="101"/>
      <c r="C663" s="105"/>
      <c r="D663" s="80"/>
      <c r="E663" s="81"/>
      <c r="F663" s="82"/>
      <c r="G663" s="83"/>
      <c r="H663" s="84">
        <f>G663*ENTRY!$O657</f>
        <v>0</v>
      </c>
      <c r="I663" s="84">
        <f>G663*ENTRY!$P657</f>
        <v>0</v>
      </c>
      <c r="J663" s="84">
        <f>G663*ENTRY!$Q657</f>
        <v>0</v>
      </c>
      <c r="K663" s="82"/>
      <c r="L663" s="82"/>
      <c r="M663" s="81"/>
      <c r="N663" s="85"/>
      <c r="O663" s="86"/>
      <c r="P663" s="86"/>
      <c r="Q663" s="86"/>
      <c r="R663" s="86"/>
      <c r="S663" s="87"/>
      <c r="T663" s="87"/>
      <c r="U663" s="87"/>
      <c r="V663" s="87"/>
      <c r="W663" s="88"/>
      <c r="X663" s="89"/>
      <c r="Y663" s="90"/>
      <c r="Z663" s="90"/>
      <c r="AA663" s="90"/>
      <c r="AB663" s="90"/>
      <c r="AC663" s="90"/>
    </row>
    <row r="664">
      <c r="A664" s="104"/>
      <c r="B664" s="101"/>
      <c r="C664" s="105"/>
      <c r="D664" s="93"/>
      <c r="E664" s="106"/>
      <c r="F664" s="107"/>
      <c r="G664" s="108"/>
      <c r="H664" s="97">
        <f>G664*ENTRY!$O658</f>
        <v>0</v>
      </c>
      <c r="I664" s="97">
        <f>G664*ENTRY!$P658</f>
        <v>0</v>
      </c>
      <c r="J664" s="97">
        <f>G664*ENTRY!$Q658</f>
        <v>0</v>
      </c>
      <c r="K664" s="95"/>
      <c r="L664" s="109"/>
      <c r="M664" s="106"/>
      <c r="N664" s="98"/>
      <c r="O664" s="99"/>
      <c r="P664" s="99"/>
      <c r="Q664" s="99"/>
      <c r="R664" s="99"/>
      <c r="S664" s="100"/>
      <c r="T664" s="100"/>
      <c r="U664" s="100"/>
      <c r="V664" s="100"/>
      <c r="W664" s="88"/>
      <c r="X664" s="89"/>
      <c r="Y664" s="90"/>
      <c r="Z664" s="90"/>
      <c r="AA664" s="90"/>
      <c r="AB664" s="90"/>
      <c r="AC664" s="90"/>
    </row>
    <row r="665">
      <c r="A665" s="104"/>
      <c r="B665" s="101"/>
      <c r="C665" s="105"/>
      <c r="D665" s="80"/>
      <c r="E665" s="81"/>
      <c r="F665" s="82"/>
      <c r="G665" s="83"/>
      <c r="H665" s="84">
        <f>G665*ENTRY!$O659</f>
        <v>0</v>
      </c>
      <c r="I665" s="84">
        <f>G665*ENTRY!$P659</f>
        <v>0</v>
      </c>
      <c r="J665" s="84">
        <f>G665*ENTRY!$Q659</f>
        <v>0</v>
      </c>
      <c r="K665" s="82"/>
      <c r="L665" s="82"/>
      <c r="M665" s="81"/>
      <c r="N665" s="85"/>
      <c r="O665" s="86"/>
      <c r="P665" s="86"/>
      <c r="Q665" s="86"/>
      <c r="R665" s="86"/>
      <c r="S665" s="87"/>
      <c r="T665" s="87"/>
      <c r="U665" s="87"/>
      <c r="V665" s="87"/>
      <c r="W665" s="88"/>
      <c r="X665" s="89"/>
      <c r="Y665" s="90"/>
      <c r="Z665" s="90"/>
      <c r="AA665" s="90"/>
      <c r="AB665" s="90"/>
      <c r="AC665" s="90"/>
    </row>
    <row r="666">
      <c r="A666" s="104"/>
      <c r="B666" s="101"/>
      <c r="C666" s="105"/>
      <c r="D666" s="93"/>
      <c r="E666" s="106"/>
      <c r="F666" s="107"/>
      <c r="G666" s="108"/>
      <c r="H666" s="97">
        <f>G666*ENTRY!$O660</f>
        <v>0</v>
      </c>
      <c r="I666" s="97">
        <f>G666*ENTRY!$P660</f>
        <v>0</v>
      </c>
      <c r="J666" s="97">
        <f>G666*ENTRY!$Q660</f>
        <v>0</v>
      </c>
      <c r="K666" s="95"/>
      <c r="L666" s="109"/>
      <c r="M666" s="106"/>
      <c r="N666" s="98"/>
      <c r="O666" s="99"/>
      <c r="P666" s="99"/>
      <c r="Q666" s="99"/>
      <c r="R666" s="99"/>
      <c r="S666" s="100"/>
      <c r="T666" s="100"/>
      <c r="U666" s="100"/>
      <c r="V666" s="100"/>
      <c r="W666" s="88"/>
      <c r="X666" s="89"/>
      <c r="Y666" s="90"/>
      <c r="Z666" s="90"/>
      <c r="AA666" s="90"/>
      <c r="AB666" s="90"/>
      <c r="AC666" s="90"/>
    </row>
    <row r="667">
      <c r="A667" s="104"/>
      <c r="B667" s="101"/>
      <c r="C667" s="105"/>
      <c r="D667" s="80"/>
      <c r="E667" s="81"/>
      <c r="F667" s="82"/>
      <c r="G667" s="83"/>
      <c r="H667" s="84">
        <f>G667*ENTRY!$O661</f>
        <v>0</v>
      </c>
      <c r="I667" s="84">
        <f>G667*ENTRY!$P661</f>
        <v>0</v>
      </c>
      <c r="J667" s="84">
        <f>G667*ENTRY!$Q661</f>
        <v>0</v>
      </c>
      <c r="K667" s="82"/>
      <c r="L667" s="82"/>
      <c r="M667" s="81"/>
      <c r="N667" s="85"/>
      <c r="O667" s="86"/>
      <c r="P667" s="86"/>
      <c r="Q667" s="86"/>
      <c r="R667" s="86"/>
      <c r="S667" s="87"/>
      <c r="T667" s="87"/>
      <c r="U667" s="87"/>
      <c r="V667" s="87"/>
      <c r="W667" s="88"/>
      <c r="X667" s="89"/>
      <c r="Y667" s="90"/>
      <c r="Z667" s="90"/>
      <c r="AA667" s="90"/>
      <c r="AB667" s="90"/>
      <c r="AC667" s="90"/>
    </row>
    <row r="668">
      <c r="A668" s="104"/>
      <c r="B668" s="101"/>
      <c r="C668" s="105"/>
      <c r="D668" s="93"/>
      <c r="E668" s="106"/>
      <c r="F668" s="107"/>
      <c r="G668" s="108"/>
      <c r="H668" s="97">
        <f>G668*ENTRY!$O662</f>
        <v>0</v>
      </c>
      <c r="I668" s="97">
        <f>G668*ENTRY!$P662</f>
        <v>0</v>
      </c>
      <c r="J668" s="97">
        <f>G668*ENTRY!$Q662</f>
        <v>0</v>
      </c>
      <c r="K668" s="95"/>
      <c r="L668" s="109"/>
      <c r="M668" s="106"/>
      <c r="N668" s="98"/>
      <c r="O668" s="99"/>
      <c r="P668" s="99"/>
      <c r="Q668" s="99"/>
      <c r="R668" s="99"/>
      <c r="S668" s="100"/>
      <c r="T668" s="100"/>
      <c r="U668" s="100"/>
      <c r="V668" s="100"/>
      <c r="W668" s="88"/>
      <c r="X668" s="89"/>
      <c r="Y668" s="90"/>
      <c r="Z668" s="90"/>
      <c r="AA668" s="90"/>
      <c r="AB668" s="90"/>
      <c r="AC668" s="90"/>
    </row>
    <row r="669">
      <c r="A669" s="104"/>
      <c r="B669" s="101"/>
      <c r="C669" s="105"/>
      <c r="D669" s="80"/>
      <c r="E669" s="81"/>
      <c r="F669" s="82"/>
      <c r="G669" s="83"/>
      <c r="H669" s="84">
        <f>G669*ENTRY!$O663</f>
        <v>0</v>
      </c>
      <c r="I669" s="84">
        <f>G669*ENTRY!$P663</f>
        <v>0</v>
      </c>
      <c r="J669" s="84">
        <f>G669*ENTRY!$Q663</f>
        <v>0</v>
      </c>
      <c r="K669" s="82"/>
      <c r="L669" s="82"/>
      <c r="M669" s="81"/>
      <c r="N669" s="85"/>
      <c r="O669" s="86"/>
      <c r="P669" s="86"/>
      <c r="Q669" s="86"/>
      <c r="R669" s="86"/>
      <c r="S669" s="87"/>
      <c r="T669" s="87"/>
      <c r="U669" s="87"/>
      <c r="V669" s="87"/>
      <c r="W669" s="88"/>
      <c r="X669" s="89"/>
      <c r="Y669" s="90"/>
      <c r="Z669" s="90"/>
      <c r="AA669" s="90"/>
      <c r="AB669" s="90"/>
      <c r="AC669" s="90"/>
    </row>
    <row r="670">
      <c r="A670" s="104"/>
      <c r="B670" s="101"/>
      <c r="C670" s="105"/>
      <c r="D670" s="93"/>
      <c r="E670" s="106"/>
      <c r="F670" s="107"/>
      <c r="G670" s="108"/>
      <c r="H670" s="97">
        <f>G670*ENTRY!$O664</f>
        <v>0</v>
      </c>
      <c r="I670" s="97">
        <f>G670*ENTRY!$P664</f>
        <v>0</v>
      </c>
      <c r="J670" s="97">
        <f>G670*ENTRY!$Q664</f>
        <v>0</v>
      </c>
      <c r="K670" s="95"/>
      <c r="L670" s="109"/>
      <c r="M670" s="106"/>
      <c r="N670" s="98"/>
      <c r="O670" s="99"/>
      <c r="P670" s="99"/>
      <c r="Q670" s="99"/>
      <c r="R670" s="99"/>
      <c r="S670" s="100"/>
      <c r="T670" s="100"/>
      <c r="U670" s="100"/>
      <c r="V670" s="100"/>
      <c r="W670" s="88"/>
      <c r="X670" s="89"/>
      <c r="Y670" s="90"/>
      <c r="Z670" s="90"/>
      <c r="AA670" s="90"/>
      <c r="AB670" s="90"/>
      <c r="AC670" s="90"/>
    </row>
    <row r="671">
      <c r="A671" s="104"/>
      <c r="B671" s="101"/>
      <c r="C671" s="105"/>
      <c r="D671" s="80"/>
      <c r="E671" s="81"/>
      <c r="F671" s="82"/>
      <c r="G671" s="83"/>
      <c r="H671" s="84">
        <f>G671*ENTRY!$O665</f>
        <v>0</v>
      </c>
      <c r="I671" s="84">
        <f>G671*ENTRY!$P665</f>
        <v>0</v>
      </c>
      <c r="J671" s="84">
        <f>G671*ENTRY!$Q665</f>
        <v>0</v>
      </c>
      <c r="K671" s="82"/>
      <c r="L671" s="82"/>
      <c r="M671" s="81"/>
      <c r="N671" s="85"/>
      <c r="O671" s="86"/>
      <c r="P671" s="86"/>
      <c r="Q671" s="86"/>
      <c r="R671" s="86"/>
      <c r="S671" s="87"/>
      <c r="T671" s="87"/>
      <c r="U671" s="87"/>
      <c r="V671" s="87"/>
      <c r="W671" s="88"/>
      <c r="X671" s="89"/>
      <c r="Y671" s="90"/>
      <c r="Z671" s="90"/>
      <c r="AA671" s="90"/>
      <c r="AB671" s="90"/>
      <c r="AC671" s="90"/>
    </row>
    <row r="672">
      <c r="A672" s="104"/>
      <c r="B672" s="101"/>
      <c r="C672" s="105"/>
      <c r="D672" s="93"/>
      <c r="E672" s="106"/>
      <c r="F672" s="107"/>
      <c r="G672" s="108"/>
      <c r="H672" s="97">
        <f>G672*ENTRY!$O666</f>
        <v>0</v>
      </c>
      <c r="I672" s="97">
        <f>G672*ENTRY!$P666</f>
        <v>0</v>
      </c>
      <c r="J672" s="97">
        <f>G672*ENTRY!$Q666</f>
        <v>0</v>
      </c>
      <c r="K672" s="95"/>
      <c r="L672" s="109"/>
      <c r="M672" s="106"/>
      <c r="N672" s="98"/>
      <c r="O672" s="99"/>
      <c r="P672" s="99"/>
      <c r="Q672" s="99"/>
      <c r="R672" s="99"/>
      <c r="S672" s="100"/>
      <c r="T672" s="100"/>
      <c r="U672" s="100"/>
      <c r="V672" s="100"/>
      <c r="W672" s="88"/>
      <c r="X672" s="89"/>
      <c r="Y672" s="90"/>
      <c r="Z672" s="90"/>
      <c r="AA672" s="90"/>
      <c r="AB672" s="90"/>
      <c r="AC672" s="90"/>
    </row>
    <row r="673">
      <c r="A673" s="104"/>
      <c r="B673" s="101"/>
      <c r="C673" s="105"/>
      <c r="D673" s="80"/>
      <c r="E673" s="81"/>
      <c r="F673" s="82"/>
      <c r="G673" s="83"/>
      <c r="H673" s="84">
        <f>G673*ENTRY!$O667</f>
        <v>0</v>
      </c>
      <c r="I673" s="84">
        <f>G673*ENTRY!$P667</f>
        <v>0</v>
      </c>
      <c r="J673" s="84">
        <f>G673*ENTRY!$Q667</f>
        <v>0</v>
      </c>
      <c r="K673" s="82"/>
      <c r="L673" s="82"/>
      <c r="M673" s="81"/>
      <c r="N673" s="85"/>
      <c r="O673" s="86"/>
      <c r="P673" s="86"/>
      <c r="Q673" s="86"/>
      <c r="R673" s="86"/>
      <c r="S673" s="87"/>
      <c r="T673" s="87"/>
      <c r="U673" s="87"/>
      <c r="V673" s="87"/>
      <c r="W673" s="88"/>
      <c r="X673" s="89"/>
      <c r="Y673" s="90"/>
      <c r="Z673" s="90"/>
      <c r="AA673" s="90"/>
      <c r="AB673" s="90"/>
      <c r="AC673" s="90"/>
    </row>
    <row r="674">
      <c r="A674" s="104"/>
      <c r="B674" s="101"/>
      <c r="C674" s="105"/>
      <c r="D674" s="93"/>
      <c r="E674" s="106"/>
      <c r="F674" s="107"/>
      <c r="G674" s="108"/>
      <c r="H674" s="97">
        <f>G674*ENTRY!$O668</f>
        <v>0</v>
      </c>
      <c r="I674" s="97">
        <f>G674*ENTRY!$P668</f>
        <v>0</v>
      </c>
      <c r="J674" s="97">
        <f>G674*ENTRY!$Q668</f>
        <v>0</v>
      </c>
      <c r="K674" s="95"/>
      <c r="L674" s="109"/>
      <c r="M674" s="106"/>
      <c r="N674" s="98"/>
      <c r="O674" s="99"/>
      <c r="P674" s="99"/>
      <c r="Q674" s="99"/>
      <c r="R674" s="99"/>
      <c r="S674" s="100"/>
      <c r="T674" s="100"/>
      <c r="U674" s="100"/>
      <c r="V674" s="100"/>
      <c r="W674" s="88"/>
      <c r="X674" s="89"/>
      <c r="Y674" s="90"/>
      <c r="Z674" s="90"/>
      <c r="AA674" s="90"/>
      <c r="AB674" s="90"/>
      <c r="AC674" s="90"/>
    </row>
    <row r="675">
      <c r="A675" s="104"/>
      <c r="B675" s="101"/>
      <c r="C675" s="105"/>
      <c r="D675" s="80"/>
      <c r="E675" s="81"/>
      <c r="F675" s="82"/>
      <c r="G675" s="83"/>
      <c r="H675" s="84">
        <f>G675*ENTRY!$O669</f>
        <v>0</v>
      </c>
      <c r="I675" s="84">
        <f>G675*ENTRY!$P669</f>
        <v>0</v>
      </c>
      <c r="J675" s="84">
        <f>G675*ENTRY!$Q669</f>
        <v>0</v>
      </c>
      <c r="K675" s="82"/>
      <c r="L675" s="82"/>
      <c r="M675" s="81"/>
      <c r="N675" s="85"/>
      <c r="O675" s="86"/>
      <c r="P675" s="86"/>
      <c r="Q675" s="86"/>
      <c r="R675" s="86"/>
      <c r="S675" s="87"/>
      <c r="T675" s="87"/>
      <c r="U675" s="87"/>
      <c r="V675" s="87"/>
      <c r="W675" s="88"/>
      <c r="X675" s="89"/>
      <c r="Y675" s="90"/>
      <c r="Z675" s="90"/>
      <c r="AA675" s="90"/>
      <c r="AB675" s="90"/>
      <c r="AC675" s="90"/>
    </row>
    <row r="676">
      <c r="A676" s="104"/>
      <c r="B676" s="101"/>
      <c r="C676" s="105"/>
      <c r="D676" s="93"/>
      <c r="E676" s="106"/>
      <c r="F676" s="107"/>
      <c r="G676" s="108"/>
      <c r="H676" s="97">
        <f>G676*ENTRY!$O670</f>
        <v>0</v>
      </c>
      <c r="I676" s="97">
        <f>G676*ENTRY!$P670</f>
        <v>0</v>
      </c>
      <c r="J676" s="97">
        <f>G676*ENTRY!$Q670</f>
        <v>0</v>
      </c>
      <c r="K676" s="95"/>
      <c r="L676" s="109"/>
      <c r="M676" s="106"/>
      <c r="N676" s="98"/>
      <c r="O676" s="99"/>
      <c r="P676" s="99"/>
      <c r="Q676" s="99"/>
      <c r="R676" s="99"/>
      <c r="S676" s="100"/>
      <c r="T676" s="100"/>
      <c r="U676" s="100"/>
      <c r="V676" s="100"/>
      <c r="W676" s="88"/>
      <c r="X676" s="89"/>
      <c r="Y676" s="90"/>
      <c r="Z676" s="90"/>
      <c r="AA676" s="90"/>
      <c r="AB676" s="90"/>
      <c r="AC676" s="90"/>
    </row>
    <row r="677">
      <c r="A677" s="104"/>
      <c r="B677" s="101"/>
      <c r="C677" s="105"/>
      <c r="D677" s="80"/>
      <c r="E677" s="81"/>
      <c r="F677" s="82"/>
      <c r="G677" s="83"/>
      <c r="H677" s="84">
        <f>G677*ENTRY!$O671</f>
        <v>0</v>
      </c>
      <c r="I677" s="84">
        <f>G677*ENTRY!$P671</f>
        <v>0</v>
      </c>
      <c r="J677" s="84">
        <f>G677*ENTRY!$Q671</f>
        <v>0</v>
      </c>
      <c r="K677" s="82"/>
      <c r="L677" s="82"/>
      <c r="M677" s="81"/>
      <c r="N677" s="85"/>
      <c r="O677" s="86"/>
      <c r="P677" s="86"/>
      <c r="Q677" s="86"/>
      <c r="R677" s="86"/>
      <c r="S677" s="87"/>
      <c r="T677" s="87"/>
      <c r="U677" s="87"/>
      <c r="V677" s="87"/>
      <c r="W677" s="88"/>
      <c r="X677" s="89"/>
      <c r="Y677" s="90"/>
      <c r="Z677" s="90"/>
      <c r="AA677" s="90"/>
      <c r="AB677" s="90"/>
      <c r="AC677" s="90"/>
    </row>
    <row r="678">
      <c r="A678" s="104"/>
      <c r="B678" s="101"/>
      <c r="C678" s="105"/>
      <c r="D678" s="93"/>
      <c r="E678" s="106"/>
      <c r="F678" s="107"/>
      <c r="G678" s="108"/>
      <c r="H678" s="97">
        <f>G678*ENTRY!$O672</f>
        <v>0</v>
      </c>
      <c r="I678" s="97">
        <f>G678*ENTRY!$P672</f>
        <v>0</v>
      </c>
      <c r="J678" s="97">
        <f>G678*ENTRY!$Q672</f>
        <v>0</v>
      </c>
      <c r="K678" s="95"/>
      <c r="L678" s="109"/>
      <c r="M678" s="106"/>
      <c r="N678" s="98"/>
      <c r="O678" s="99"/>
      <c r="P678" s="99"/>
      <c r="Q678" s="99"/>
      <c r="R678" s="99"/>
      <c r="S678" s="100"/>
      <c r="T678" s="100"/>
      <c r="U678" s="100"/>
      <c r="V678" s="100"/>
      <c r="W678" s="88"/>
      <c r="X678" s="89"/>
      <c r="Y678" s="90"/>
      <c r="Z678" s="90"/>
      <c r="AA678" s="90"/>
      <c r="AB678" s="90"/>
      <c r="AC678" s="90"/>
    </row>
    <row r="679">
      <c r="A679" s="104"/>
      <c r="B679" s="101"/>
      <c r="C679" s="105"/>
      <c r="D679" s="80"/>
      <c r="E679" s="81"/>
      <c r="F679" s="82"/>
      <c r="G679" s="83"/>
      <c r="H679" s="84">
        <f>G679*ENTRY!$O673</f>
        <v>0</v>
      </c>
      <c r="I679" s="84">
        <f>G679*ENTRY!$P673</f>
        <v>0</v>
      </c>
      <c r="J679" s="84">
        <f>G679*ENTRY!$Q673</f>
        <v>0</v>
      </c>
      <c r="K679" s="82"/>
      <c r="L679" s="82"/>
      <c r="M679" s="81"/>
      <c r="N679" s="85"/>
      <c r="O679" s="86"/>
      <c r="P679" s="86"/>
      <c r="Q679" s="86"/>
      <c r="R679" s="86"/>
      <c r="S679" s="87"/>
      <c r="T679" s="87"/>
      <c r="U679" s="87"/>
      <c r="V679" s="87"/>
      <c r="W679" s="88"/>
      <c r="X679" s="89"/>
      <c r="Y679" s="90"/>
      <c r="Z679" s="90"/>
      <c r="AA679" s="90"/>
      <c r="AB679" s="90"/>
      <c r="AC679" s="90"/>
    </row>
    <row r="680">
      <c r="A680" s="104"/>
      <c r="B680" s="101"/>
      <c r="C680" s="105"/>
      <c r="D680" s="93"/>
      <c r="E680" s="106"/>
      <c r="F680" s="107"/>
      <c r="G680" s="108"/>
      <c r="H680" s="97">
        <f>G680*ENTRY!$O674</f>
        <v>0</v>
      </c>
      <c r="I680" s="97">
        <f>G680*ENTRY!$P674</f>
        <v>0</v>
      </c>
      <c r="J680" s="97">
        <f>G680*ENTRY!$Q674</f>
        <v>0</v>
      </c>
      <c r="K680" s="95"/>
      <c r="L680" s="109"/>
      <c r="M680" s="106"/>
      <c r="N680" s="98"/>
      <c r="O680" s="99"/>
      <c r="P680" s="99"/>
      <c r="Q680" s="99"/>
      <c r="R680" s="99"/>
      <c r="S680" s="100"/>
      <c r="T680" s="100"/>
      <c r="U680" s="100"/>
      <c r="V680" s="100"/>
      <c r="W680" s="88"/>
      <c r="X680" s="89"/>
      <c r="Y680" s="90"/>
      <c r="Z680" s="90"/>
      <c r="AA680" s="90"/>
      <c r="AB680" s="90"/>
      <c r="AC680" s="90"/>
    </row>
    <row r="681">
      <c r="A681" s="104"/>
      <c r="B681" s="101"/>
      <c r="C681" s="105"/>
      <c r="D681" s="80"/>
      <c r="E681" s="81"/>
      <c r="F681" s="82"/>
      <c r="G681" s="83"/>
      <c r="H681" s="84">
        <f>G681*ENTRY!$O675</f>
        <v>0</v>
      </c>
      <c r="I681" s="84">
        <f>G681*ENTRY!$P675</f>
        <v>0</v>
      </c>
      <c r="J681" s="84">
        <f>G681*ENTRY!$Q675</f>
        <v>0</v>
      </c>
      <c r="K681" s="82"/>
      <c r="L681" s="82"/>
      <c r="M681" s="81"/>
      <c r="N681" s="85"/>
      <c r="O681" s="86"/>
      <c r="P681" s="86"/>
      <c r="Q681" s="86"/>
      <c r="R681" s="86"/>
      <c r="S681" s="87"/>
      <c r="T681" s="87"/>
      <c r="U681" s="87"/>
      <c r="V681" s="87"/>
      <c r="W681" s="88"/>
      <c r="X681" s="89"/>
      <c r="Y681" s="90"/>
      <c r="Z681" s="90"/>
      <c r="AA681" s="90"/>
      <c r="AB681" s="90"/>
      <c r="AC681" s="90"/>
    </row>
    <row r="682">
      <c r="A682" s="104"/>
      <c r="B682" s="101"/>
      <c r="C682" s="105"/>
      <c r="D682" s="93"/>
      <c r="E682" s="106"/>
      <c r="F682" s="107"/>
      <c r="G682" s="108"/>
      <c r="H682" s="97">
        <f>G682*ENTRY!$O676</f>
        <v>0</v>
      </c>
      <c r="I682" s="97">
        <f>G682*ENTRY!$P676</f>
        <v>0</v>
      </c>
      <c r="J682" s="97">
        <f>G682*ENTRY!$Q676</f>
        <v>0</v>
      </c>
      <c r="K682" s="95"/>
      <c r="L682" s="109"/>
      <c r="M682" s="106"/>
      <c r="N682" s="98"/>
      <c r="O682" s="99"/>
      <c r="P682" s="99"/>
      <c r="Q682" s="99"/>
      <c r="R682" s="99"/>
      <c r="S682" s="100"/>
      <c r="T682" s="100"/>
      <c r="U682" s="100"/>
      <c r="V682" s="100"/>
      <c r="W682" s="88"/>
      <c r="X682" s="89"/>
      <c r="Y682" s="90"/>
      <c r="Z682" s="90"/>
      <c r="AA682" s="90"/>
      <c r="AB682" s="90"/>
      <c r="AC682" s="90"/>
    </row>
    <row r="683">
      <c r="A683" s="104"/>
      <c r="B683" s="101"/>
      <c r="C683" s="105"/>
      <c r="D683" s="80"/>
      <c r="E683" s="81"/>
      <c r="F683" s="82"/>
      <c r="G683" s="83"/>
      <c r="H683" s="84">
        <f>G683*ENTRY!$O677</f>
        <v>0</v>
      </c>
      <c r="I683" s="84">
        <f>G683*ENTRY!$P677</f>
        <v>0</v>
      </c>
      <c r="J683" s="84">
        <f>G683*ENTRY!$Q677</f>
        <v>0</v>
      </c>
      <c r="K683" s="82"/>
      <c r="L683" s="82"/>
      <c r="M683" s="81"/>
      <c r="N683" s="85"/>
      <c r="O683" s="86"/>
      <c r="P683" s="86"/>
      <c r="Q683" s="86"/>
      <c r="R683" s="86"/>
      <c r="S683" s="87"/>
      <c r="T683" s="87"/>
      <c r="U683" s="87"/>
      <c r="V683" s="87"/>
      <c r="W683" s="88"/>
      <c r="X683" s="89"/>
      <c r="Y683" s="90"/>
      <c r="Z683" s="90"/>
      <c r="AA683" s="90"/>
      <c r="AB683" s="90"/>
      <c r="AC683" s="90"/>
    </row>
    <row r="684">
      <c r="A684" s="104"/>
      <c r="B684" s="101"/>
      <c r="C684" s="105"/>
      <c r="D684" s="93"/>
      <c r="E684" s="106"/>
      <c r="F684" s="107"/>
      <c r="G684" s="108"/>
      <c r="H684" s="97">
        <f>G684*ENTRY!$O678</f>
        <v>0</v>
      </c>
      <c r="I684" s="97">
        <f>G684*ENTRY!$P678</f>
        <v>0</v>
      </c>
      <c r="J684" s="97">
        <f>G684*ENTRY!$Q678</f>
        <v>0</v>
      </c>
      <c r="K684" s="95"/>
      <c r="L684" s="109"/>
      <c r="M684" s="106"/>
      <c r="N684" s="98"/>
      <c r="O684" s="99"/>
      <c r="P684" s="99"/>
      <c r="Q684" s="99"/>
      <c r="R684" s="99"/>
      <c r="S684" s="100"/>
      <c r="T684" s="100"/>
      <c r="U684" s="100"/>
      <c r="V684" s="100"/>
      <c r="W684" s="88"/>
      <c r="X684" s="89"/>
      <c r="Y684" s="90"/>
      <c r="Z684" s="90"/>
      <c r="AA684" s="90"/>
      <c r="AB684" s="90"/>
      <c r="AC684" s="90"/>
    </row>
    <row r="685">
      <c r="A685" s="104"/>
      <c r="B685" s="101"/>
      <c r="C685" s="105"/>
      <c r="D685" s="80"/>
      <c r="E685" s="81"/>
      <c r="F685" s="82"/>
      <c r="G685" s="83"/>
      <c r="H685" s="84">
        <f>G685*ENTRY!$O679</f>
        <v>0</v>
      </c>
      <c r="I685" s="84">
        <f>G685*ENTRY!$P679</f>
        <v>0</v>
      </c>
      <c r="J685" s="84">
        <f>G685*ENTRY!$Q679</f>
        <v>0</v>
      </c>
      <c r="K685" s="82"/>
      <c r="L685" s="82"/>
      <c r="M685" s="81"/>
      <c r="N685" s="85"/>
      <c r="O685" s="86"/>
      <c r="P685" s="86"/>
      <c r="Q685" s="86"/>
      <c r="R685" s="86"/>
      <c r="S685" s="87"/>
      <c r="T685" s="87"/>
      <c r="U685" s="87"/>
      <c r="V685" s="87"/>
      <c r="W685" s="88"/>
      <c r="X685" s="89"/>
      <c r="Y685" s="90"/>
      <c r="Z685" s="90"/>
      <c r="AA685" s="90"/>
      <c r="AB685" s="90"/>
      <c r="AC685" s="90"/>
    </row>
    <row r="686">
      <c r="A686" s="104"/>
      <c r="B686" s="101"/>
      <c r="C686" s="105"/>
      <c r="D686" s="93"/>
      <c r="E686" s="106"/>
      <c r="F686" s="107"/>
      <c r="G686" s="108"/>
      <c r="H686" s="97">
        <f>G686*ENTRY!$O680</f>
        <v>0</v>
      </c>
      <c r="I686" s="97">
        <f>G686*ENTRY!$P680</f>
        <v>0</v>
      </c>
      <c r="J686" s="97">
        <f>G686*ENTRY!$Q680</f>
        <v>0</v>
      </c>
      <c r="K686" s="95"/>
      <c r="L686" s="109"/>
      <c r="M686" s="106"/>
      <c r="N686" s="98"/>
      <c r="O686" s="99"/>
      <c r="P686" s="99"/>
      <c r="Q686" s="99"/>
      <c r="R686" s="99"/>
      <c r="S686" s="100"/>
      <c r="T686" s="100"/>
      <c r="U686" s="100"/>
      <c r="V686" s="100"/>
      <c r="W686" s="88"/>
      <c r="X686" s="89"/>
      <c r="Y686" s="90"/>
      <c r="Z686" s="90"/>
      <c r="AA686" s="90"/>
      <c r="AB686" s="90"/>
      <c r="AC686" s="90"/>
    </row>
    <row r="687">
      <c r="A687" s="104"/>
      <c r="B687" s="101"/>
      <c r="C687" s="105"/>
      <c r="D687" s="80"/>
      <c r="E687" s="81"/>
      <c r="F687" s="82"/>
      <c r="G687" s="83"/>
      <c r="H687" s="84">
        <f>G687*ENTRY!$O681</f>
        <v>0</v>
      </c>
      <c r="I687" s="84">
        <f>G687*ENTRY!$P681</f>
        <v>0</v>
      </c>
      <c r="J687" s="84">
        <f>G687*ENTRY!$Q681</f>
        <v>0</v>
      </c>
      <c r="K687" s="82"/>
      <c r="L687" s="82"/>
      <c r="M687" s="81"/>
      <c r="N687" s="85"/>
      <c r="O687" s="86"/>
      <c r="P687" s="86"/>
      <c r="Q687" s="86"/>
      <c r="R687" s="86"/>
      <c r="S687" s="87"/>
      <c r="T687" s="87"/>
      <c r="U687" s="87"/>
      <c r="V687" s="87"/>
      <c r="W687" s="88"/>
      <c r="X687" s="89"/>
      <c r="Y687" s="90"/>
      <c r="Z687" s="90"/>
      <c r="AA687" s="90"/>
      <c r="AB687" s="90"/>
      <c r="AC687" s="90"/>
    </row>
    <row r="688">
      <c r="A688" s="104"/>
      <c r="B688" s="101"/>
      <c r="C688" s="105"/>
      <c r="D688" s="93"/>
      <c r="E688" s="106"/>
      <c r="F688" s="107"/>
      <c r="G688" s="108"/>
      <c r="H688" s="97">
        <f>G688*ENTRY!$O682</f>
        <v>0</v>
      </c>
      <c r="I688" s="97">
        <f>G688*ENTRY!$P682</f>
        <v>0</v>
      </c>
      <c r="J688" s="97">
        <f>G688*ENTRY!$Q682</f>
        <v>0</v>
      </c>
      <c r="K688" s="95"/>
      <c r="L688" s="109"/>
      <c r="M688" s="106"/>
      <c r="N688" s="98"/>
      <c r="O688" s="99"/>
      <c r="P688" s="99"/>
      <c r="Q688" s="99"/>
      <c r="R688" s="99"/>
      <c r="S688" s="100"/>
      <c r="T688" s="100"/>
      <c r="U688" s="100"/>
      <c r="V688" s="100"/>
      <c r="W688" s="88"/>
      <c r="X688" s="89"/>
      <c r="Y688" s="90"/>
      <c r="Z688" s="90"/>
      <c r="AA688" s="90"/>
      <c r="AB688" s="90"/>
      <c r="AC688" s="90"/>
    </row>
    <row r="689">
      <c r="A689" s="104"/>
      <c r="B689" s="101"/>
      <c r="C689" s="105"/>
      <c r="D689" s="80"/>
      <c r="E689" s="81"/>
      <c r="F689" s="82"/>
      <c r="G689" s="83"/>
      <c r="H689" s="84">
        <f>G689*ENTRY!$O683</f>
        <v>0</v>
      </c>
      <c r="I689" s="84">
        <f>G689*ENTRY!$P683</f>
        <v>0</v>
      </c>
      <c r="J689" s="84">
        <f>G689*ENTRY!$Q683</f>
        <v>0</v>
      </c>
      <c r="K689" s="82"/>
      <c r="L689" s="82"/>
      <c r="M689" s="81"/>
      <c r="N689" s="85"/>
      <c r="O689" s="86"/>
      <c r="P689" s="86"/>
      <c r="Q689" s="86"/>
      <c r="R689" s="86"/>
      <c r="S689" s="87"/>
      <c r="T689" s="87"/>
      <c r="U689" s="87"/>
      <c r="V689" s="87"/>
      <c r="W689" s="88"/>
      <c r="X689" s="89"/>
      <c r="Y689" s="90"/>
      <c r="Z689" s="90"/>
      <c r="AA689" s="90"/>
      <c r="AB689" s="90"/>
      <c r="AC689" s="90"/>
    </row>
    <row r="690">
      <c r="A690" s="104"/>
      <c r="B690" s="101"/>
      <c r="C690" s="105"/>
      <c r="D690" s="93"/>
      <c r="E690" s="106"/>
      <c r="F690" s="107"/>
      <c r="G690" s="108"/>
      <c r="H690" s="97">
        <f>G690*ENTRY!$O684</f>
        <v>0</v>
      </c>
      <c r="I690" s="97">
        <f>G690*ENTRY!$P684</f>
        <v>0</v>
      </c>
      <c r="J690" s="97">
        <f>G690*ENTRY!$Q684</f>
        <v>0</v>
      </c>
      <c r="K690" s="95"/>
      <c r="L690" s="109"/>
      <c r="M690" s="106"/>
      <c r="N690" s="98"/>
      <c r="O690" s="99"/>
      <c r="P690" s="99"/>
      <c r="Q690" s="99"/>
      <c r="R690" s="99"/>
      <c r="S690" s="100"/>
      <c r="T690" s="100"/>
      <c r="U690" s="100"/>
      <c r="V690" s="100"/>
      <c r="W690" s="88"/>
      <c r="X690" s="89"/>
      <c r="Y690" s="90"/>
      <c r="Z690" s="90"/>
      <c r="AA690" s="90"/>
      <c r="AB690" s="90"/>
      <c r="AC690" s="90"/>
    </row>
    <row r="691">
      <c r="A691" s="104"/>
      <c r="B691" s="101"/>
      <c r="C691" s="105"/>
      <c r="D691" s="80"/>
      <c r="E691" s="81"/>
      <c r="F691" s="82"/>
      <c r="G691" s="83"/>
      <c r="H691" s="84">
        <f>G691*ENTRY!$O685</f>
        <v>0</v>
      </c>
      <c r="I691" s="84">
        <f>G691*ENTRY!$P685</f>
        <v>0</v>
      </c>
      <c r="J691" s="84">
        <f>G691*ENTRY!$Q685</f>
        <v>0</v>
      </c>
      <c r="K691" s="82"/>
      <c r="L691" s="82"/>
      <c r="M691" s="81"/>
      <c r="N691" s="85"/>
      <c r="O691" s="86"/>
      <c r="P691" s="86"/>
      <c r="Q691" s="86"/>
      <c r="R691" s="86"/>
      <c r="S691" s="87"/>
      <c r="T691" s="87"/>
      <c r="U691" s="87"/>
      <c r="V691" s="87"/>
      <c r="W691" s="88"/>
      <c r="X691" s="89"/>
      <c r="Y691" s="90"/>
      <c r="Z691" s="90"/>
      <c r="AA691" s="90"/>
      <c r="AB691" s="90"/>
      <c r="AC691" s="90"/>
    </row>
    <row r="692">
      <c r="A692" s="104"/>
      <c r="B692" s="101"/>
      <c r="C692" s="105"/>
      <c r="D692" s="93"/>
      <c r="E692" s="106"/>
      <c r="F692" s="107"/>
      <c r="G692" s="108"/>
      <c r="H692" s="97">
        <f>G692*ENTRY!$O686</f>
        <v>0</v>
      </c>
      <c r="I692" s="97">
        <f>G692*ENTRY!$P686</f>
        <v>0</v>
      </c>
      <c r="J692" s="97">
        <f>G692*ENTRY!$Q686</f>
        <v>0</v>
      </c>
      <c r="K692" s="95"/>
      <c r="L692" s="109"/>
      <c r="M692" s="106"/>
      <c r="N692" s="98"/>
      <c r="O692" s="99"/>
      <c r="P692" s="99"/>
      <c r="Q692" s="99"/>
      <c r="R692" s="99"/>
      <c r="S692" s="100"/>
      <c r="T692" s="100"/>
      <c r="U692" s="100"/>
      <c r="V692" s="100"/>
      <c r="W692" s="88"/>
      <c r="X692" s="89"/>
      <c r="Y692" s="90"/>
      <c r="Z692" s="90"/>
      <c r="AA692" s="90"/>
      <c r="AB692" s="90"/>
      <c r="AC692" s="90"/>
    </row>
    <row r="693">
      <c r="A693" s="104"/>
      <c r="B693" s="101"/>
      <c r="C693" s="105"/>
      <c r="D693" s="80"/>
      <c r="E693" s="81"/>
      <c r="F693" s="82"/>
      <c r="G693" s="83"/>
      <c r="H693" s="84">
        <f>G693*ENTRY!$O687</f>
        <v>0</v>
      </c>
      <c r="I693" s="84">
        <f>G693*ENTRY!$P687</f>
        <v>0</v>
      </c>
      <c r="J693" s="84">
        <f>G693*ENTRY!$Q687</f>
        <v>0</v>
      </c>
      <c r="K693" s="82"/>
      <c r="L693" s="82"/>
      <c r="M693" s="81"/>
      <c r="N693" s="85"/>
      <c r="O693" s="86"/>
      <c r="P693" s="86"/>
      <c r="Q693" s="86"/>
      <c r="R693" s="86"/>
      <c r="S693" s="87"/>
      <c r="T693" s="87"/>
      <c r="U693" s="87"/>
      <c r="V693" s="87"/>
      <c r="W693" s="88"/>
      <c r="X693" s="89"/>
      <c r="Y693" s="90"/>
      <c r="Z693" s="90"/>
      <c r="AA693" s="90"/>
      <c r="AB693" s="90"/>
      <c r="AC693" s="90"/>
    </row>
    <row r="694">
      <c r="A694" s="104"/>
      <c r="B694" s="101"/>
      <c r="C694" s="105"/>
      <c r="D694" s="93"/>
      <c r="E694" s="106"/>
      <c r="F694" s="107"/>
      <c r="G694" s="108"/>
      <c r="H694" s="97">
        <f>G694*ENTRY!$O688</f>
        <v>0</v>
      </c>
      <c r="I694" s="97">
        <f>G694*ENTRY!$P688</f>
        <v>0</v>
      </c>
      <c r="J694" s="97">
        <f>G694*ENTRY!$Q688</f>
        <v>0</v>
      </c>
      <c r="K694" s="95"/>
      <c r="L694" s="109"/>
      <c r="M694" s="106"/>
      <c r="N694" s="98"/>
      <c r="O694" s="99"/>
      <c r="P694" s="99"/>
      <c r="Q694" s="99"/>
      <c r="R694" s="99"/>
      <c r="S694" s="100"/>
      <c r="T694" s="100"/>
      <c r="U694" s="100"/>
      <c r="V694" s="100"/>
      <c r="W694" s="88"/>
      <c r="X694" s="89"/>
      <c r="Y694" s="90"/>
      <c r="Z694" s="90"/>
      <c r="AA694" s="90"/>
      <c r="AB694" s="90"/>
      <c r="AC694" s="90"/>
    </row>
    <row r="695">
      <c r="A695" s="104"/>
      <c r="B695" s="101"/>
      <c r="C695" s="105"/>
      <c r="D695" s="80"/>
      <c r="E695" s="81"/>
      <c r="F695" s="82"/>
      <c r="G695" s="83"/>
      <c r="H695" s="84">
        <f>G695*ENTRY!$O689</f>
        <v>0</v>
      </c>
      <c r="I695" s="84">
        <f>G695*ENTRY!$P689</f>
        <v>0</v>
      </c>
      <c r="J695" s="84">
        <f>G695*ENTRY!$Q689</f>
        <v>0</v>
      </c>
      <c r="K695" s="82"/>
      <c r="L695" s="82"/>
      <c r="M695" s="81"/>
      <c r="N695" s="85"/>
      <c r="O695" s="86"/>
      <c r="P695" s="86"/>
      <c r="Q695" s="86"/>
      <c r="R695" s="86"/>
      <c r="S695" s="87"/>
      <c r="T695" s="87"/>
      <c r="U695" s="87"/>
      <c r="V695" s="87"/>
      <c r="W695" s="88"/>
      <c r="X695" s="89"/>
      <c r="Y695" s="90"/>
      <c r="Z695" s="90"/>
      <c r="AA695" s="90"/>
      <c r="AB695" s="90"/>
      <c r="AC695" s="90"/>
    </row>
    <row r="696">
      <c r="A696" s="104"/>
      <c r="B696" s="101"/>
      <c r="C696" s="105"/>
      <c r="D696" s="93"/>
      <c r="E696" s="106"/>
      <c r="F696" s="107"/>
      <c r="G696" s="108"/>
      <c r="H696" s="97">
        <f>G696*ENTRY!$O690</f>
        <v>0</v>
      </c>
      <c r="I696" s="97">
        <f>G696*ENTRY!$P690</f>
        <v>0</v>
      </c>
      <c r="J696" s="97">
        <f>G696*ENTRY!$Q690</f>
        <v>0</v>
      </c>
      <c r="K696" s="95"/>
      <c r="L696" s="109"/>
      <c r="M696" s="106"/>
      <c r="N696" s="98"/>
      <c r="O696" s="99"/>
      <c r="P696" s="99"/>
      <c r="Q696" s="99"/>
      <c r="R696" s="99"/>
      <c r="S696" s="100"/>
      <c r="T696" s="100"/>
      <c r="U696" s="100"/>
      <c r="V696" s="100"/>
      <c r="W696" s="88"/>
      <c r="X696" s="89"/>
      <c r="Y696" s="90"/>
      <c r="Z696" s="90"/>
      <c r="AA696" s="90"/>
      <c r="AB696" s="90"/>
      <c r="AC696" s="90"/>
    </row>
    <row r="697">
      <c r="A697" s="104"/>
      <c r="B697" s="101"/>
      <c r="C697" s="105"/>
      <c r="D697" s="80"/>
      <c r="E697" s="81"/>
      <c r="F697" s="82"/>
      <c r="G697" s="83"/>
      <c r="H697" s="84">
        <f>G697*ENTRY!$O691</f>
        <v>0</v>
      </c>
      <c r="I697" s="84">
        <f>G697*ENTRY!$P691</f>
        <v>0</v>
      </c>
      <c r="J697" s="84">
        <f>G697*ENTRY!$Q691</f>
        <v>0</v>
      </c>
      <c r="K697" s="82"/>
      <c r="L697" s="82"/>
      <c r="M697" s="81"/>
      <c r="N697" s="85"/>
      <c r="O697" s="86"/>
      <c r="P697" s="86"/>
      <c r="Q697" s="86"/>
      <c r="R697" s="86"/>
      <c r="S697" s="87"/>
      <c r="T697" s="87"/>
      <c r="U697" s="87"/>
      <c r="V697" s="87"/>
      <c r="W697" s="88"/>
      <c r="X697" s="89"/>
      <c r="Y697" s="90"/>
      <c r="Z697" s="90"/>
      <c r="AA697" s="90"/>
      <c r="AB697" s="90"/>
      <c r="AC697" s="90"/>
    </row>
    <row r="698">
      <c r="A698" s="104"/>
      <c r="B698" s="101"/>
      <c r="C698" s="105"/>
      <c r="D698" s="93"/>
      <c r="E698" s="106"/>
      <c r="F698" s="107"/>
      <c r="G698" s="108"/>
      <c r="H698" s="97">
        <f>G698*ENTRY!$O692</f>
        <v>0</v>
      </c>
      <c r="I698" s="97">
        <f>G698*ENTRY!$P692</f>
        <v>0</v>
      </c>
      <c r="J698" s="97">
        <f>G698*ENTRY!$Q692</f>
        <v>0</v>
      </c>
      <c r="K698" s="95"/>
      <c r="L698" s="109"/>
      <c r="M698" s="106"/>
      <c r="N698" s="98"/>
      <c r="O698" s="99"/>
      <c r="P698" s="99"/>
      <c r="Q698" s="99"/>
      <c r="R698" s="99"/>
      <c r="S698" s="100"/>
      <c r="T698" s="100"/>
      <c r="U698" s="100"/>
      <c r="V698" s="100"/>
      <c r="W698" s="88"/>
      <c r="X698" s="89"/>
      <c r="Y698" s="90"/>
      <c r="Z698" s="90"/>
      <c r="AA698" s="90"/>
      <c r="AB698" s="90"/>
      <c r="AC698" s="90"/>
    </row>
    <row r="699">
      <c r="A699" s="104"/>
      <c r="B699" s="101"/>
      <c r="C699" s="105"/>
      <c r="D699" s="80"/>
      <c r="E699" s="81"/>
      <c r="F699" s="82"/>
      <c r="G699" s="83"/>
      <c r="H699" s="84">
        <f>G699*ENTRY!$O693</f>
        <v>0</v>
      </c>
      <c r="I699" s="84">
        <f>G699*ENTRY!$P693</f>
        <v>0</v>
      </c>
      <c r="J699" s="84">
        <f>G699*ENTRY!$Q693</f>
        <v>0</v>
      </c>
      <c r="K699" s="82"/>
      <c r="L699" s="82"/>
      <c r="M699" s="81"/>
      <c r="N699" s="85"/>
      <c r="O699" s="86"/>
      <c r="P699" s="86"/>
      <c r="Q699" s="86"/>
      <c r="R699" s="86"/>
      <c r="S699" s="87"/>
      <c r="T699" s="87"/>
      <c r="U699" s="87"/>
      <c r="V699" s="87"/>
      <c r="W699" s="88"/>
      <c r="X699" s="89"/>
      <c r="Y699" s="90"/>
      <c r="Z699" s="90"/>
      <c r="AA699" s="90"/>
      <c r="AB699" s="90"/>
      <c r="AC699" s="90"/>
    </row>
    <row r="700">
      <c r="A700" s="104"/>
      <c r="B700" s="101"/>
      <c r="C700" s="105"/>
      <c r="D700" s="93"/>
      <c r="E700" s="106"/>
      <c r="F700" s="107"/>
      <c r="G700" s="108"/>
      <c r="H700" s="97">
        <f>G700*ENTRY!$O694</f>
        <v>0</v>
      </c>
      <c r="I700" s="97">
        <f>G700*ENTRY!$P694</f>
        <v>0</v>
      </c>
      <c r="J700" s="97">
        <f>G700*ENTRY!$Q694</f>
        <v>0</v>
      </c>
      <c r="K700" s="95"/>
      <c r="L700" s="109"/>
      <c r="M700" s="106"/>
      <c r="N700" s="98"/>
      <c r="O700" s="99"/>
      <c r="P700" s="99"/>
      <c r="Q700" s="99"/>
      <c r="R700" s="99"/>
      <c r="S700" s="100"/>
      <c r="T700" s="100"/>
      <c r="U700" s="100"/>
      <c r="V700" s="100"/>
      <c r="W700" s="88"/>
      <c r="X700" s="89"/>
      <c r="Y700" s="90"/>
      <c r="Z700" s="90"/>
      <c r="AA700" s="90"/>
      <c r="AB700" s="90"/>
      <c r="AC700" s="90"/>
    </row>
    <row r="701">
      <c r="A701" s="104"/>
      <c r="B701" s="101"/>
      <c r="C701" s="105"/>
      <c r="D701" s="80"/>
      <c r="E701" s="81"/>
      <c r="F701" s="82"/>
      <c r="G701" s="83"/>
      <c r="H701" s="84">
        <f>G701*ENTRY!$O695</f>
        <v>0</v>
      </c>
      <c r="I701" s="84">
        <f>G701*ENTRY!$P695</f>
        <v>0</v>
      </c>
      <c r="J701" s="84">
        <f>G701*ENTRY!$Q695</f>
        <v>0</v>
      </c>
      <c r="K701" s="82"/>
      <c r="L701" s="82"/>
      <c r="M701" s="81"/>
      <c r="N701" s="85"/>
      <c r="O701" s="86"/>
      <c r="P701" s="86"/>
      <c r="Q701" s="86"/>
      <c r="R701" s="86"/>
      <c r="S701" s="87"/>
      <c r="T701" s="87"/>
      <c r="U701" s="87"/>
      <c r="V701" s="87"/>
      <c r="W701" s="88"/>
      <c r="X701" s="89"/>
      <c r="Y701" s="90"/>
      <c r="Z701" s="90"/>
      <c r="AA701" s="90"/>
      <c r="AB701" s="90"/>
      <c r="AC701" s="90"/>
    </row>
    <row r="702">
      <c r="A702" s="104"/>
      <c r="B702" s="101"/>
      <c r="C702" s="105"/>
      <c r="D702" s="93"/>
      <c r="E702" s="106"/>
      <c r="F702" s="107"/>
      <c r="G702" s="108"/>
      <c r="H702" s="97">
        <f>G702*ENTRY!$O696</f>
        <v>0</v>
      </c>
      <c r="I702" s="97">
        <f>G702*ENTRY!$P696</f>
        <v>0</v>
      </c>
      <c r="J702" s="97">
        <f>G702*ENTRY!$Q696</f>
        <v>0</v>
      </c>
      <c r="K702" s="95"/>
      <c r="L702" s="109"/>
      <c r="M702" s="106"/>
      <c r="N702" s="98"/>
      <c r="O702" s="99"/>
      <c r="P702" s="99"/>
      <c r="Q702" s="99"/>
      <c r="R702" s="99"/>
      <c r="S702" s="100"/>
      <c r="T702" s="100"/>
      <c r="U702" s="100"/>
      <c r="V702" s="100"/>
      <c r="W702" s="88"/>
      <c r="X702" s="89"/>
      <c r="Y702" s="90"/>
      <c r="Z702" s="90"/>
      <c r="AA702" s="90"/>
      <c r="AB702" s="90"/>
      <c r="AC702" s="90"/>
    </row>
    <row r="703">
      <c r="A703" s="104"/>
      <c r="B703" s="101"/>
      <c r="C703" s="105"/>
      <c r="D703" s="80"/>
      <c r="E703" s="81"/>
      <c r="F703" s="82"/>
      <c r="G703" s="83"/>
      <c r="H703" s="84">
        <f>G703*ENTRY!$O697</f>
        <v>0</v>
      </c>
      <c r="I703" s="84">
        <f>G703*ENTRY!$P697</f>
        <v>0</v>
      </c>
      <c r="J703" s="84">
        <f>G703*ENTRY!$Q697</f>
        <v>0</v>
      </c>
      <c r="K703" s="82"/>
      <c r="L703" s="82"/>
      <c r="M703" s="81"/>
      <c r="N703" s="85"/>
      <c r="O703" s="86"/>
      <c r="P703" s="86"/>
      <c r="Q703" s="86"/>
      <c r="R703" s="86"/>
      <c r="S703" s="87"/>
      <c r="T703" s="87"/>
      <c r="U703" s="87"/>
      <c r="V703" s="87"/>
      <c r="W703" s="88"/>
      <c r="X703" s="89"/>
      <c r="Y703" s="90"/>
      <c r="Z703" s="90"/>
      <c r="AA703" s="90"/>
      <c r="AB703" s="90"/>
      <c r="AC703" s="90"/>
    </row>
    <row r="704">
      <c r="A704" s="104"/>
      <c r="B704" s="101"/>
      <c r="C704" s="105"/>
      <c r="D704" s="93"/>
      <c r="E704" s="106"/>
      <c r="F704" s="107"/>
      <c r="G704" s="108"/>
      <c r="H704" s="97">
        <f>G704*ENTRY!$O698</f>
        <v>0</v>
      </c>
      <c r="I704" s="97">
        <f>G704*ENTRY!$P698</f>
        <v>0</v>
      </c>
      <c r="J704" s="97">
        <f>G704*ENTRY!$Q698</f>
        <v>0</v>
      </c>
      <c r="K704" s="95"/>
      <c r="L704" s="109"/>
      <c r="M704" s="106"/>
      <c r="N704" s="98"/>
      <c r="O704" s="99"/>
      <c r="P704" s="99"/>
      <c r="Q704" s="99"/>
      <c r="R704" s="99"/>
      <c r="S704" s="100"/>
      <c r="T704" s="100"/>
      <c r="U704" s="100"/>
      <c r="V704" s="100"/>
      <c r="W704" s="88"/>
      <c r="X704" s="89"/>
      <c r="Y704" s="90"/>
      <c r="Z704" s="90"/>
      <c r="AA704" s="90"/>
      <c r="AB704" s="90"/>
      <c r="AC704" s="90"/>
    </row>
    <row r="705">
      <c r="A705" s="104"/>
      <c r="B705" s="101"/>
      <c r="C705" s="105"/>
      <c r="D705" s="80"/>
      <c r="E705" s="81"/>
      <c r="F705" s="82"/>
      <c r="G705" s="83"/>
      <c r="H705" s="84">
        <f>G705*ENTRY!$O699</f>
        <v>0</v>
      </c>
      <c r="I705" s="84">
        <f>G705*ENTRY!$P699</f>
        <v>0</v>
      </c>
      <c r="J705" s="84">
        <f>G705*ENTRY!$Q699</f>
        <v>0</v>
      </c>
      <c r="K705" s="82"/>
      <c r="L705" s="82"/>
      <c r="M705" s="81"/>
      <c r="N705" s="85"/>
      <c r="O705" s="86"/>
      <c r="P705" s="86"/>
      <c r="Q705" s="86"/>
      <c r="R705" s="86"/>
      <c r="S705" s="87"/>
      <c r="T705" s="87"/>
      <c r="U705" s="87"/>
      <c r="V705" s="87"/>
      <c r="W705" s="88"/>
      <c r="X705" s="89"/>
      <c r="Y705" s="90"/>
      <c r="Z705" s="90"/>
      <c r="AA705" s="90"/>
      <c r="AB705" s="90"/>
      <c r="AC705" s="90"/>
    </row>
    <row r="706">
      <c r="A706" s="104"/>
      <c r="B706" s="101"/>
      <c r="C706" s="105"/>
      <c r="D706" s="93"/>
      <c r="E706" s="106"/>
      <c r="F706" s="107"/>
      <c r="G706" s="108"/>
      <c r="H706" s="97">
        <f>G706*ENTRY!$O700</f>
        <v>0</v>
      </c>
      <c r="I706" s="97">
        <f>G706*ENTRY!$P700</f>
        <v>0</v>
      </c>
      <c r="J706" s="97">
        <f>G706*ENTRY!$Q700</f>
        <v>0</v>
      </c>
      <c r="K706" s="95"/>
      <c r="L706" s="109"/>
      <c r="M706" s="106"/>
      <c r="N706" s="98"/>
      <c r="O706" s="99"/>
      <c r="P706" s="99"/>
      <c r="Q706" s="99"/>
      <c r="R706" s="99"/>
      <c r="S706" s="100"/>
      <c r="T706" s="100"/>
      <c r="U706" s="100"/>
      <c r="V706" s="100"/>
      <c r="W706" s="88"/>
      <c r="X706" s="89"/>
      <c r="Y706" s="90"/>
      <c r="Z706" s="90"/>
      <c r="AA706" s="90"/>
      <c r="AB706" s="90"/>
      <c r="AC706" s="90"/>
    </row>
    <row r="707">
      <c r="A707" s="104"/>
      <c r="B707" s="101"/>
      <c r="C707" s="105"/>
      <c r="D707" s="80"/>
      <c r="E707" s="81"/>
      <c r="F707" s="82"/>
      <c r="G707" s="83"/>
      <c r="H707" s="84">
        <f>G707*ENTRY!$O701</f>
        <v>0</v>
      </c>
      <c r="I707" s="84">
        <f>G707*ENTRY!$P701</f>
        <v>0</v>
      </c>
      <c r="J707" s="84">
        <f>G707*ENTRY!$Q701</f>
        <v>0</v>
      </c>
      <c r="K707" s="82"/>
      <c r="L707" s="82"/>
      <c r="M707" s="81"/>
      <c r="N707" s="85"/>
      <c r="O707" s="86"/>
      <c r="P707" s="86"/>
      <c r="Q707" s="86"/>
      <c r="R707" s="86"/>
      <c r="S707" s="87"/>
      <c r="T707" s="87"/>
      <c r="U707" s="87"/>
      <c r="V707" s="87"/>
      <c r="W707" s="88"/>
      <c r="X707" s="89"/>
      <c r="Y707" s="90"/>
      <c r="Z707" s="90"/>
      <c r="AA707" s="90"/>
      <c r="AB707" s="90"/>
      <c r="AC707" s="90"/>
    </row>
    <row r="708">
      <c r="A708" s="104"/>
      <c r="B708" s="101"/>
      <c r="C708" s="105"/>
      <c r="D708" s="93"/>
      <c r="E708" s="106"/>
      <c r="F708" s="107"/>
      <c r="G708" s="108"/>
      <c r="H708" s="97">
        <f>G708*ENTRY!$O702</f>
        <v>0</v>
      </c>
      <c r="I708" s="97">
        <f>G708*ENTRY!$P702</f>
        <v>0</v>
      </c>
      <c r="J708" s="97">
        <f>G708*ENTRY!$Q702</f>
        <v>0</v>
      </c>
      <c r="K708" s="95"/>
      <c r="L708" s="109"/>
      <c r="M708" s="106"/>
      <c r="N708" s="98"/>
      <c r="O708" s="99"/>
      <c r="P708" s="99"/>
      <c r="Q708" s="99"/>
      <c r="R708" s="99"/>
      <c r="S708" s="100"/>
      <c r="T708" s="100"/>
      <c r="U708" s="100"/>
      <c r="V708" s="100"/>
      <c r="W708" s="88"/>
      <c r="X708" s="89"/>
      <c r="Y708" s="90"/>
      <c r="Z708" s="90"/>
      <c r="AA708" s="90"/>
      <c r="AB708" s="90"/>
      <c r="AC708" s="90"/>
    </row>
    <row r="709">
      <c r="A709" s="104"/>
      <c r="B709" s="101"/>
      <c r="C709" s="105"/>
      <c r="D709" s="80"/>
      <c r="E709" s="81"/>
      <c r="F709" s="82"/>
      <c r="G709" s="83"/>
      <c r="H709" s="84">
        <f>G709*ENTRY!$O703</f>
        <v>0</v>
      </c>
      <c r="I709" s="84">
        <f>G709*ENTRY!$P703</f>
        <v>0</v>
      </c>
      <c r="J709" s="84">
        <f>G709*ENTRY!$Q703</f>
        <v>0</v>
      </c>
      <c r="K709" s="82"/>
      <c r="L709" s="82"/>
      <c r="M709" s="81"/>
      <c r="N709" s="85"/>
      <c r="O709" s="86"/>
      <c r="P709" s="86"/>
      <c r="Q709" s="86"/>
      <c r="R709" s="86"/>
      <c r="S709" s="87"/>
      <c r="T709" s="87"/>
      <c r="U709" s="87"/>
      <c r="V709" s="87"/>
      <c r="W709" s="88"/>
      <c r="X709" s="89"/>
      <c r="Y709" s="90"/>
      <c r="Z709" s="90"/>
      <c r="AA709" s="90"/>
      <c r="AB709" s="90"/>
      <c r="AC709" s="90"/>
    </row>
    <row r="710">
      <c r="A710" s="104"/>
      <c r="B710" s="101"/>
      <c r="C710" s="105"/>
      <c r="D710" s="93"/>
      <c r="E710" s="106"/>
      <c r="F710" s="107"/>
      <c r="G710" s="108"/>
      <c r="H710" s="97">
        <f>G710*ENTRY!$O704</f>
        <v>0</v>
      </c>
      <c r="I710" s="97">
        <f>G710*ENTRY!$P704</f>
        <v>0</v>
      </c>
      <c r="J710" s="97">
        <f>G710*ENTRY!$Q704</f>
        <v>0</v>
      </c>
      <c r="K710" s="95"/>
      <c r="L710" s="109"/>
      <c r="M710" s="106"/>
      <c r="N710" s="98"/>
      <c r="O710" s="99"/>
      <c r="P710" s="99"/>
      <c r="Q710" s="99"/>
      <c r="R710" s="99"/>
      <c r="S710" s="100"/>
      <c r="T710" s="100"/>
      <c r="U710" s="100"/>
      <c r="V710" s="100"/>
      <c r="W710" s="88"/>
      <c r="X710" s="89"/>
      <c r="Y710" s="90"/>
      <c r="Z710" s="90"/>
      <c r="AA710" s="90"/>
      <c r="AB710" s="90"/>
      <c r="AC710" s="90"/>
    </row>
    <row r="711">
      <c r="A711" s="104"/>
      <c r="B711" s="101"/>
      <c r="C711" s="105"/>
      <c r="D711" s="80"/>
      <c r="E711" s="81"/>
      <c r="F711" s="82"/>
      <c r="G711" s="83"/>
      <c r="H711" s="84">
        <f>G711*ENTRY!$O705</f>
        <v>0</v>
      </c>
      <c r="I711" s="84">
        <f>G711*ENTRY!$P705</f>
        <v>0</v>
      </c>
      <c r="J711" s="84">
        <f>G711*ENTRY!$Q705</f>
        <v>0</v>
      </c>
      <c r="K711" s="82"/>
      <c r="L711" s="82"/>
      <c r="M711" s="81"/>
      <c r="N711" s="85"/>
      <c r="O711" s="86"/>
      <c r="P711" s="86"/>
      <c r="Q711" s="86"/>
      <c r="R711" s="86"/>
      <c r="S711" s="87"/>
      <c r="T711" s="87"/>
      <c r="U711" s="87"/>
      <c r="V711" s="87"/>
      <c r="W711" s="88"/>
      <c r="X711" s="89"/>
      <c r="Y711" s="90"/>
      <c r="Z711" s="90"/>
      <c r="AA711" s="90"/>
      <c r="AB711" s="90"/>
      <c r="AC711" s="90"/>
    </row>
    <row r="712">
      <c r="A712" s="104"/>
      <c r="B712" s="101"/>
      <c r="C712" s="105"/>
      <c r="D712" s="93"/>
      <c r="E712" s="106"/>
      <c r="F712" s="107"/>
      <c r="G712" s="108"/>
      <c r="H712" s="97">
        <f>G712*ENTRY!$O706</f>
        <v>0</v>
      </c>
      <c r="I712" s="97">
        <f>G712*ENTRY!$P706</f>
        <v>0</v>
      </c>
      <c r="J712" s="97">
        <f>G712*ENTRY!$Q706</f>
        <v>0</v>
      </c>
      <c r="K712" s="95"/>
      <c r="L712" s="109"/>
      <c r="M712" s="106"/>
      <c r="N712" s="98"/>
      <c r="O712" s="99"/>
      <c r="P712" s="99"/>
      <c r="Q712" s="99"/>
      <c r="R712" s="99"/>
      <c r="S712" s="100"/>
      <c r="T712" s="100"/>
      <c r="U712" s="100"/>
      <c r="V712" s="100"/>
      <c r="W712" s="88"/>
      <c r="X712" s="89"/>
      <c r="Y712" s="90"/>
      <c r="Z712" s="90"/>
      <c r="AA712" s="90"/>
      <c r="AB712" s="90"/>
      <c r="AC712" s="90"/>
    </row>
    <row r="713">
      <c r="A713" s="104"/>
      <c r="B713" s="101"/>
      <c r="C713" s="105"/>
      <c r="D713" s="80"/>
      <c r="E713" s="81"/>
      <c r="F713" s="82"/>
      <c r="G713" s="83"/>
      <c r="H713" s="84">
        <f>G713*ENTRY!$O707</f>
        <v>0</v>
      </c>
      <c r="I713" s="84">
        <f>G713*ENTRY!$P707</f>
        <v>0</v>
      </c>
      <c r="J713" s="84">
        <f>G713*ENTRY!$Q707</f>
        <v>0</v>
      </c>
      <c r="K713" s="82"/>
      <c r="L713" s="82"/>
      <c r="M713" s="81"/>
      <c r="N713" s="85"/>
      <c r="O713" s="86"/>
      <c r="P713" s="86"/>
      <c r="Q713" s="86"/>
      <c r="R713" s="86"/>
      <c r="S713" s="87"/>
      <c r="T713" s="87"/>
      <c r="U713" s="87"/>
      <c r="V713" s="87"/>
      <c r="W713" s="88"/>
      <c r="X713" s="89"/>
      <c r="Y713" s="90"/>
      <c r="Z713" s="90"/>
      <c r="AA713" s="90"/>
      <c r="AB713" s="90"/>
      <c r="AC713" s="90"/>
    </row>
    <row r="714">
      <c r="A714" s="104"/>
      <c r="B714" s="101"/>
      <c r="C714" s="105"/>
      <c r="D714" s="93"/>
      <c r="E714" s="106"/>
      <c r="F714" s="107"/>
      <c r="G714" s="108"/>
      <c r="H714" s="97">
        <f>G714*ENTRY!$O708</f>
        <v>0</v>
      </c>
      <c r="I714" s="97">
        <f>G714*ENTRY!$P708</f>
        <v>0</v>
      </c>
      <c r="J714" s="97">
        <f>G714*ENTRY!$Q708</f>
        <v>0</v>
      </c>
      <c r="K714" s="95"/>
      <c r="L714" s="109"/>
      <c r="M714" s="106"/>
      <c r="N714" s="98"/>
      <c r="O714" s="99"/>
      <c r="P714" s="99"/>
      <c r="Q714" s="99"/>
      <c r="R714" s="99"/>
      <c r="S714" s="100"/>
      <c r="T714" s="100"/>
      <c r="U714" s="100"/>
      <c r="V714" s="100"/>
      <c r="W714" s="88"/>
      <c r="X714" s="89"/>
      <c r="Y714" s="90"/>
      <c r="Z714" s="90"/>
      <c r="AA714" s="90"/>
      <c r="AB714" s="90"/>
      <c r="AC714" s="90"/>
    </row>
    <row r="715">
      <c r="A715" s="104"/>
      <c r="B715" s="101"/>
      <c r="C715" s="105"/>
      <c r="D715" s="80"/>
      <c r="E715" s="81"/>
      <c r="F715" s="82"/>
      <c r="G715" s="83"/>
      <c r="H715" s="84">
        <f>G715*ENTRY!$O709</f>
        <v>0</v>
      </c>
      <c r="I715" s="84">
        <f>G715*ENTRY!$P709</f>
        <v>0</v>
      </c>
      <c r="J715" s="84">
        <f>G715*ENTRY!$Q709</f>
        <v>0</v>
      </c>
      <c r="K715" s="82"/>
      <c r="L715" s="82"/>
      <c r="M715" s="81"/>
      <c r="N715" s="85"/>
      <c r="O715" s="86"/>
      <c r="P715" s="86"/>
      <c r="Q715" s="86"/>
      <c r="R715" s="86"/>
      <c r="S715" s="87"/>
      <c r="T715" s="87"/>
      <c r="U715" s="87"/>
      <c r="V715" s="87"/>
      <c r="W715" s="88"/>
      <c r="X715" s="89"/>
      <c r="Y715" s="90"/>
      <c r="Z715" s="90"/>
      <c r="AA715" s="90"/>
      <c r="AB715" s="90"/>
      <c r="AC715" s="90"/>
    </row>
    <row r="716">
      <c r="A716" s="104"/>
      <c r="B716" s="101"/>
      <c r="C716" s="105"/>
      <c r="D716" s="93"/>
      <c r="E716" s="106"/>
      <c r="F716" s="107"/>
      <c r="G716" s="108"/>
      <c r="H716" s="97">
        <f>G716*ENTRY!$O710</f>
        <v>0</v>
      </c>
      <c r="I716" s="97">
        <f>G716*ENTRY!$P710</f>
        <v>0</v>
      </c>
      <c r="J716" s="97">
        <f>G716*ENTRY!$Q710</f>
        <v>0</v>
      </c>
      <c r="K716" s="95"/>
      <c r="L716" s="109"/>
      <c r="M716" s="106"/>
      <c r="N716" s="98"/>
      <c r="O716" s="99"/>
      <c r="P716" s="99"/>
      <c r="Q716" s="99"/>
      <c r="R716" s="99"/>
      <c r="S716" s="100"/>
      <c r="T716" s="100"/>
      <c r="U716" s="100"/>
      <c r="V716" s="100"/>
      <c r="W716" s="88"/>
      <c r="X716" s="89"/>
      <c r="Y716" s="90"/>
      <c r="Z716" s="90"/>
      <c r="AA716" s="90"/>
      <c r="AB716" s="90"/>
      <c r="AC716" s="90"/>
    </row>
    <row r="717">
      <c r="A717" s="104"/>
      <c r="B717" s="101"/>
      <c r="C717" s="105"/>
      <c r="D717" s="80"/>
      <c r="E717" s="81"/>
      <c r="F717" s="82"/>
      <c r="G717" s="83"/>
      <c r="H717" s="84">
        <f>G717*ENTRY!$O711</f>
        <v>0</v>
      </c>
      <c r="I717" s="84">
        <f>G717*ENTRY!$P711</f>
        <v>0</v>
      </c>
      <c r="J717" s="84">
        <f>G717*ENTRY!$Q711</f>
        <v>0</v>
      </c>
      <c r="K717" s="82"/>
      <c r="L717" s="82"/>
      <c r="M717" s="81"/>
      <c r="N717" s="85"/>
      <c r="O717" s="86"/>
      <c r="P717" s="86"/>
      <c r="Q717" s="86"/>
      <c r="R717" s="86"/>
      <c r="S717" s="87"/>
      <c r="T717" s="87"/>
      <c r="U717" s="87"/>
      <c r="V717" s="87"/>
      <c r="W717" s="88"/>
      <c r="X717" s="89"/>
      <c r="Y717" s="90"/>
      <c r="Z717" s="90"/>
      <c r="AA717" s="90"/>
      <c r="AB717" s="90"/>
      <c r="AC717" s="90"/>
    </row>
    <row r="718">
      <c r="A718" s="104"/>
      <c r="B718" s="101"/>
      <c r="C718" s="105"/>
      <c r="D718" s="93"/>
      <c r="E718" s="106"/>
      <c r="F718" s="107"/>
      <c r="G718" s="108"/>
      <c r="H718" s="97">
        <f>G718*ENTRY!$O712</f>
        <v>0</v>
      </c>
      <c r="I718" s="97">
        <f>G718*ENTRY!$P712</f>
        <v>0</v>
      </c>
      <c r="J718" s="97">
        <f>G718*ENTRY!$Q712</f>
        <v>0</v>
      </c>
      <c r="K718" s="95"/>
      <c r="L718" s="109"/>
      <c r="M718" s="106"/>
      <c r="N718" s="98"/>
      <c r="O718" s="99"/>
      <c r="P718" s="99"/>
      <c r="Q718" s="99"/>
      <c r="R718" s="99"/>
      <c r="S718" s="100"/>
      <c r="T718" s="100"/>
      <c r="U718" s="100"/>
      <c r="V718" s="100"/>
      <c r="W718" s="88"/>
      <c r="X718" s="89"/>
      <c r="Y718" s="90"/>
      <c r="Z718" s="90"/>
      <c r="AA718" s="90"/>
      <c r="AB718" s="90"/>
      <c r="AC718" s="90"/>
    </row>
    <row r="719">
      <c r="A719" s="104"/>
      <c r="B719" s="101"/>
      <c r="C719" s="105"/>
      <c r="D719" s="80"/>
      <c r="E719" s="81"/>
      <c r="F719" s="82"/>
      <c r="G719" s="83"/>
      <c r="H719" s="84">
        <f>G719*ENTRY!$O713</f>
        <v>0</v>
      </c>
      <c r="I719" s="84">
        <f>G719*ENTRY!$P713</f>
        <v>0</v>
      </c>
      <c r="J719" s="84">
        <f>G719*ENTRY!$Q713</f>
        <v>0</v>
      </c>
      <c r="K719" s="82"/>
      <c r="L719" s="82"/>
      <c r="M719" s="81"/>
      <c r="N719" s="85"/>
      <c r="O719" s="86"/>
      <c r="P719" s="86"/>
      <c r="Q719" s="86"/>
      <c r="R719" s="86"/>
      <c r="S719" s="87"/>
      <c r="T719" s="87"/>
      <c r="U719" s="87"/>
      <c r="V719" s="87"/>
      <c r="W719" s="88"/>
      <c r="X719" s="89"/>
      <c r="Y719" s="90"/>
      <c r="Z719" s="90"/>
      <c r="AA719" s="90"/>
      <c r="AB719" s="90"/>
      <c r="AC719" s="90"/>
    </row>
    <row r="720">
      <c r="A720" s="104"/>
      <c r="B720" s="101"/>
      <c r="C720" s="105"/>
      <c r="D720" s="93"/>
      <c r="E720" s="106"/>
      <c r="F720" s="107"/>
      <c r="G720" s="108"/>
      <c r="H720" s="97">
        <f>G720*ENTRY!$O714</f>
        <v>0</v>
      </c>
      <c r="I720" s="97">
        <f>G720*ENTRY!$P714</f>
        <v>0</v>
      </c>
      <c r="J720" s="97">
        <f>G720*ENTRY!$Q714</f>
        <v>0</v>
      </c>
      <c r="K720" s="95"/>
      <c r="L720" s="109"/>
      <c r="M720" s="106"/>
      <c r="N720" s="98"/>
      <c r="O720" s="99"/>
      <c r="P720" s="99"/>
      <c r="Q720" s="99"/>
      <c r="R720" s="99"/>
      <c r="S720" s="100"/>
      <c r="T720" s="100"/>
      <c r="U720" s="100"/>
      <c r="V720" s="100"/>
      <c r="W720" s="88"/>
      <c r="X720" s="89"/>
      <c r="Y720" s="90"/>
      <c r="Z720" s="90"/>
      <c r="AA720" s="90"/>
      <c r="AB720" s="90"/>
      <c r="AC720" s="90"/>
    </row>
    <row r="721">
      <c r="A721" s="104"/>
      <c r="B721" s="101"/>
      <c r="C721" s="105"/>
      <c r="D721" s="80"/>
      <c r="E721" s="81"/>
      <c r="F721" s="82"/>
      <c r="G721" s="83"/>
      <c r="H721" s="84">
        <f>G721*ENTRY!$O715</f>
        <v>0</v>
      </c>
      <c r="I721" s="84">
        <f>G721*ENTRY!$P715</f>
        <v>0</v>
      </c>
      <c r="J721" s="84">
        <f>G721*ENTRY!$Q715</f>
        <v>0</v>
      </c>
      <c r="K721" s="82"/>
      <c r="L721" s="82"/>
      <c r="M721" s="81"/>
      <c r="N721" s="85"/>
      <c r="O721" s="86"/>
      <c r="P721" s="86"/>
      <c r="Q721" s="86"/>
      <c r="R721" s="86"/>
      <c r="S721" s="87"/>
      <c r="T721" s="87"/>
      <c r="U721" s="87"/>
      <c r="V721" s="87"/>
      <c r="W721" s="88"/>
      <c r="X721" s="89"/>
      <c r="Y721" s="90"/>
      <c r="Z721" s="90"/>
      <c r="AA721" s="90"/>
      <c r="AB721" s="90"/>
      <c r="AC721" s="90"/>
    </row>
    <row r="722">
      <c r="A722" s="104"/>
      <c r="B722" s="101"/>
      <c r="C722" s="105"/>
      <c r="D722" s="93"/>
      <c r="E722" s="106"/>
      <c r="F722" s="107"/>
      <c r="G722" s="108"/>
      <c r="H722" s="97">
        <f>G722*ENTRY!$O716</f>
        <v>0</v>
      </c>
      <c r="I722" s="97">
        <f>G722*ENTRY!$P716</f>
        <v>0</v>
      </c>
      <c r="J722" s="97">
        <f>G722*ENTRY!$Q716</f>
        <v>0</v>
      </c>
      <c r="K722" s="95"/>
      <c r="L722" s="109"/>
      <c r="M722" s="106"/>
      <c r="N722" s="98"/>
      <c r="O722" s="99"/>
      <c r="P722" s="99"/>
      <c r="Q722" s="99"/>
      <c r="R722" s="99"/>
      <c r="S722" s="100"/>
      <c r="T722" s="100"/>
      <c r="U722" s="100"/>
      <c r="V722" s="100"/>
      <c r="W722" s="88"/>
      <c r="X722" s="89"/>
      <c r="Y722" s="90"/>
      <c r="Z722" s="90"/>
      <c r="AA722" s="90"/>
      <c r="AB722" s="90"/>
      <c r="AC722" s="90"/>
    </row>
    <row r="723">
      <c r="A723" s="104"/>
      <c r="B723" s="101"/>
      <c r="C723" s="105"/>
      <c r="D723" s="80"/>
      <c r="E723" s="81"/>
      <c r="F723" s="82"/>
      <c r="G723" s="83"/>
      <c r="H723" s="84">
        <f>G723*ENTRY!$O717</f>
        <v>0</v>
      </c>
      <c r="I723" s="84">
        <f>G723*ENTRY!$P717</f>
        <v>0</v>
      </c>
      <c r="J723" s="84">
        <f>G723*ENTRY!$Q717</f>
        <v>0</v>
      </c>
      <c r="K723" s="82"/>
      <c r="L723" s="82"/>
      <c r="M723" s="81"/>
      <c r="N723" s="85"/>
      <c r="O723" s="86"/>
      <c r="P723" s="86"/>
      <c r="Q723" s="86"/>
      <c r="R723" s="86"/>
      <c r="S723" s="87"/>
      <c r="T723" s="87"/>
      <c r="U723" s="87"/>
      <c r="V723" s="87"/>
      <c r="W723" s="88"/>
      <c r="X723" s="89"/>
      <c r="Y723" s="90"/>
      <c r="Z723" s="90"/>
      <c r="AA723" s="90"/>
      <c r="AB723" s="90"/>
      <c r="AC723" s="90"/>
    </row>
    <row r="724">
      <c r="A724" s="104"/>
      <c r="B724" s="101"/>
      <c r="C724" s="105"/>
      <c r="D724" s="93"/>
      <c r="E724" s="106"/>
      <c r="F724" s="107"/>
      <c r="G724" s="108"/>
      <c r="H724" s="97">
        <f>G724*ENTRY!$O718</f>
        <v>0</v>
      </c>
      <c r="I724" s="97">
        <f>G724*ENTRY!$P718</f>
        <v>0</v>
      </c>
      <c r="J724" s="97">
        <f>G724*ENTRY!$Q718</f>
        <v>0</v>
      </c>
      <c r="K724" s="95"/>
      <c r="L724" s="109"/>
      <c r="M724" s="106"/>
      <c r="N724" s="98"/>
      <c r="O724" s="99"/>
      <c r="P724" s="99"/>
      <c r="Q724" s="99"/>
      <c r="R724" s="99"/>
      <c r="S724" s="100"/>
      <c r="T724" s="100"/>
      <c r="U724" s="100"/>
      <c r="V724" s="100"/>
      <c r="W724" s="88"/>
      <c r="X724" s="89"/>
      <c r="Y724" s="90"/>
      <c r="Z724" s="90"/>
      <c r="AA724" s="90"/>
      <c r="AB724" s="90"/>
      <c r="AC724" s="90"/>
    </row>
    <row r="725">
      <c r="A725" s="104"/>
      <c r="B725" s="101"/>
      <c r="C725" s="105"/>
      <c r="D725" s="80"/>
      <c r="E725" s="81"/>
      <c r="F725" s="82"/>
      <c r="G725" s="83"/>
      <c r="H725" s="84">
        <f>G725*ENTRY!$O719</f>
        <v>0</v>
      </c>
      <c r="I725" s="84">
        <f>G725*ENTRY!$P719</f>
        <v>0</v>
      </c>
      <c r="J725" s="84">
        <f>G725*ENTRY!$Q719</f>
        <v>0</v>
      </c>
      <c r="K725" s="82"/>
      <c r="L725" s="82"/>
      <c r="M725" s="81"/>
      <c r="N725" s="85"/>
      <c r="O725" s="86"/>
      <c r="P725" s="86"/>
      <c r="Q725" s="86"/>
      <c r="R725" s="86"/>
      <c r="S725" s="87"/>
      <c r="T725" s="87"/>
      <c r="U725" s="87"/>
      <c r="V725" s="87"/>
      <c r="W725" s="88"/>
      <c r="X725" s="89"/>
      <c r="Y725" s="90"/>
      <c r="Z725" s="90"/>
      <c r="AA725" s="90"/>
      <c r="AB725" s="90"/>
      <c r="AC725" s="90"/>
    </row>
    <row r="726">
      <c r="A726" s="104"/>
      <c r="B726" s="101"/>
      <c r="C726" s="105"/>
      <c r="D726" s="93"/>
      <c r="E726" s="106"/>
      <c r="F726" s="107"/>
      <c r="G726" s="108"/>
      <c r="H726" s="97">
        <f>G726*ENTRY!$O720</f>
        <v>0</v>
      </c>
      <c r="I726" s="97">
        <f>G726*ENTRY!$P720</f>
        <v>0</v>
      </c>
      <c r="J726" s="97">
        <f>G726*ENTRY!$Q720</f>
        <v>0</v>
      </c>
      <c r="K726" s="95"/>
      <c r="L726" s="109"/>
      <c r="M726" s="106"/>
      <c r="N726" s="98"/>
      <c r="O726" s="99"/>
      <c r="P726" s="99"/>
      <c r="Q726" s="99"/>
      <c r="R726" s="99"/>
      <c r="S726" s="100"/>
      <c r="T726" s="100"/>
      <c r="U726" s="100"/>
      <c r="V726" s="100"/>
      <c r="W726" s="88"/>
      <c r="X726" s="89"/>
      <c r="Y726" s="90"/>
      <c r="Z726" s="90"/>
      <c r="AA726" s="90"/>
      <c r="AB726" s="90"/>
      <c r="AC726" s="90"/>
    </row>
    <row r="727">
      <c r="A727" s="104"/>
      <c r="B727" s="101"/>
      <c r="C727" s="105"/>
      <c r="D727" s="80"/>
      <c r="E727" s="81"/>
      <c r="F727" s="82"/>
      <c r="G727" s="83"/>
      <c r="H727" s="84">
        <f>G727*ENTRY!$O721</f>
        <v>0</v>
      </c>
      <c r="I727" s="84">
        <f>G727*ENTRY!$P721</f>
        <v>0</v>
      </c>
      <c r="J727" s="84">
        <f>G727*ENTRY!$Q721</f>
        <v>0</v>
      </c>
      <c r="K727" s="82"/>
      <c r="L727" s="82"/>
      <c r="M727" s="81"/>
      <c r="N727" s="85"/>
      <c r="O727" s="86"/>
      <c r="P727" s="86"/>
      <c r="Q727" s="86"/>
      <c r="R727" s="86"/>
      <c r="S727" s="87"/>
      <c r="T727" s="87"/>
      <c r="U727" s="87"/>
      <c r="V727" s="87"/>
      <c r="W727" s="88"/>
      <c r="X727" s="89"/>
      <c r="Y727" s="90"/>
      <c r="Z727" s="90"/>
      <c r="AA727" s="90"/>
      <c r="AB727" s="90"/>
      <c r="AC727" s="90"/>
    </row>
    <row r="728">
      <c r="A728" s="104"/>
      <c r="B728" s="101"/>
      <c r="C728" s="105"/>
      <c r="D728" s="93"/>
      <c r="E728" s="106"/>
      <c r="F728" s="107"/>
      <c r="G728" s="108"/>
      <c r="H728" s="97">
        <f>G728*ENTRY!$O722</f>
        <v>0</v>
      </c>
      <c r="I728" s="97">
        <f>G728*ENTRY!$P722</f>
        <v>0</v>
      </c>
      <c r="J728" s="97">
        <f>G728*ENTRY!$Q722</f>
        <v>0</v>
      </c>
      <c r="K728" s="95"/>
      <c r="L728" s="109"/>
      <c r="M728" s="106"/>
      <c r="N728" s="98"/>
      <c r="O728" s="99"/>
      <c r="P728" s="99"/>
      <c r="Q728" s="99"/>
      <c r="R728" s="99"/>
      <c r="S728" s="100"/>
      <c r="T728" s="100"/>
      <c r="U728" s="100"/>
      <c r="V728" s="100"/>
      <c r="W728" s="88"/>
      <c r="X728" s="89"/>
      <c r="Y728" s="90"/>
      <c r="Z728" s="90"/>
      <c r="AA728" s="90"/>
      <c r="AB728" s="90"/>
      <c r="AC728" s="90"/>
    </row>
    <row r="729">
      <c r="A729" s="104"/>
      <c r="B729" s="101"/>
      <c r="C729" s="105"/>
      <c r="D729" s="80"/>
      <c r="E729" s="81"/>
      <c r="F729" s="82"/>
      <c r="G729" s="83"/>
      <c r="H729" s="84">
        <f>G729*ENTRY!$O723</f>
        <v>0</v>
      </c>
      <c r="I729" s="84">
        <f>G729*ENTRY!$P723</f>
        <v>0</v>
      </c>
      <c r="J729" s="84">
        <f>G729*ENTRY!$Q723</f>
        <v>0</v>
      </c>
      <c r="K729" s="82"/>
      <c r="L729" s="82"/>
      <c r="M729" s="81"/>
      <c r="N729" s="85"/>
      <c r="O729" s="86"/>
      <c r="P729" s="86"/>
      <c r="Q729" s="86"/>
      <c r="R729" s="86"/>
      <c r="S729" s="87"/>
      <c r="T729" s="87"/>
      <c r="U729" s="87"/>
      <c r="V729" s="87"/>
      <c r="W729" s="88"/>
      <c r="X729" s="89"/>
      <c r="Y729" s="90"/>
      <c r="Z729" s="90"/>
      <c r="AA729" s="90"/>
      <c r="AB729" s="90"/>
      <c r="AC729" s="90"/>
    </row>
    <row r="730">
      <c r="A730" s="104"/>
      <c r="B730" s="101"/>
      <c r="C730" s="105"/>
      <c r="D730" s="93"/>
      <c r="E730" s="106"/>
      <c r="F730" s="107"/>
      <c r="G730" s="108"/>
      <c r="H730" s="97">
        <f>G730*ENTRY!$O724</f>
        <v>0</v>
      </c>
      <c r="I730" s="97">
        <f>G730*ENTRY!$P724</f>
        <v>0</v>
      </c>
      <c r="J730" s="97">
        <f>G730*ENTRY!$Q724</f>
        <v>0</v>
      </c>
      <c r="K730" s="95"/>
      <c r="L730" s="109"/>
      <c r="M730" s="106"/>
      <c r="N730" s="98"/>
      <c r="O730" s="99"/>
      <c r="P730" s="99"/>
      <c r="Q730" s="99"/>
      <c r="R730" s="99"/>
      <c r="S730" s="100"/>
      <c r="T730" s="100"/>
      <c r="U730" s="100"/>
      <c r="V730" s="100"/>
      <c r="W730" s="88"/>
      <c r="X730" s="89"/>
      <c r="Y730" s="90"/>
      <c r="Z730" s="90"/>
      <c r="AA730" s="90"/>
      <c r="AB730" s="90"/>
      <c r="AC730" s="90"/>
    </row>
    <row r="731">
      <c r="A731" s="104"/>
      <c r="B731" s="101"/>
      <c r="C731" s="105"/>
      <c r="D731" s="80"/>
      <c r="E731" s="81"/>
      <c r="F731" s="82"/>
      <c r="G731" s="83"/>
      <c r="H731" s="84">
        <f>G731*ENTRY!$O725</f>
        <v>0</v>
      </c>
      <c r="I731" s="84">
        <f>G731*ENTRY!$P725</f>
        <v>0</v>
      </c>
      <c r="J731" s="84">
        <f>G731*ENTRY!$Q725</f>
        <v>0</v>
      </c>
      <c r="K731" s="82"/>
      <c r="L731" s="82"/>
      <c r="M731" s="81"/>
      <c r="N731" s="85"/>
      <c r="O731" s="86"/>
      <c r="P731" s="86"/>
      <c r="Q731" s="86"/>
      <c r="R731" s="86"/>
      <c r="S731" s="87"/>
      <c r="T731" s="87"/>
      <c r="U731" s="87"/>
      <c r="V731" s="87"/>
      <c r="W731" s="88"/>
      <c r="X731" s="89"/>
      <c r="Y731" s="90"/>
      <c r="Z731" s="90"/>
      <c r="AA731" s="90"/>
      <c r="AB731" s="90"/>
      <c r="AC731" s="90"/>
    </row>
    <row r="732">
      <c r="A732" s="104"/>
      <c r="B732" s="101"/>
      <c r="C732" s="105"/>
      <c r="D732" s="93"/>
      <c r="E732" s="106"/>
      <c r="F732" s="107"/>
      <c r="G732" s="108"/>
      <c r="H732" s="97">
        <f>G732*ENTRY!$O726</f>
        <v>0</v>
      </c>
      <c r="I732" s="97">
        <f>G732*ENTRY!$P726</f>
        <v>0</v>
      </c>
      <c r="J732" s="97">
        <f>G732*ENTRY!$Q726</f>
        <v>0</v>
      </c>
      <c r="K732" s="95"/>
      <c r="L732" s="109"/>
      <c r="M732" s="106"/>
      <c r="N732" s="98"/>
      <c r="O732" s="99"/>
      <c r="P732" s="99"/>
      <c r="Q732" s="99"/>
      <c r="R732" s="99"/>
      <c r="S732" s="100"/>
      <c r="T732" s="100"/>
      <c r="U732" s="100"/>
      <c r="V732" s="100"/>
      <c r="W732" s="88"/>
      <c r="X732" s="89"/>
      <c r="Y732" s="90"/>
      <c r="Z732" s="90"/>
      <c r="AA732" s="90"/>
      <c r="AB732" s="90"/>
      <c r="AC732" s="90"/>
    </row>
    <row r="733">
      <c r="A733" s="104"/>
      <c r="B733" s="101"/>
      <c r="C733" s="105"/>
      <c r="D733" s="80"/>
      <c r="E733" s="81"/>
      <c r="F733" s="82"/>
      <c r="G733" s="83"/>
      <c r="H733" s="84">
        <f>G733*ENTRY!$O727</f>
        <v>0</v>
      </c>
      <c r="I733" s="84">
        <f>G733*ENTRY!$P727</f>
        <v>0</v>
      </c>
      <c r="J733" s="84">
        <f>G733*ENTRY!$Q727</f>
        <v>0</v>
      </c>
      <c r="K733" s="82"/>
      <c r="L733" s="82"/>
      <c r="M733" s="81"/>
      <c r="N733" s="85"/>
      <c r="O733" s="86"/>
      <c r="P733" s="86"/>
      <c r="Q733" s="86"/>
      <c r="R733" s="86"/>
      <c r="S733" s="87"/>
      <c r="T733" s="87"/>
      <c r="U733" s="87"/>
      <c r="V733" s="87"/>
      <c r="W733" s="88"/>
      <c r="X733" s="89"/>
      <c r="Y733" s="90"/>
      <c r="Z733" s="90"/>
      <c r="AA733" s="90"/>
      <c r="AB733" s="90"/>
      <c r="AC733" s="90"/>
    </row>
    <row r="734">
      <c r="A734" s="104"/>
      <c r="B734" s="101"/>
      <c r="C734" s="105"/>
      <c r="D734" s="93"/>
      <c r="E734" s="106"/>
      <c r="F734" s="107"/>
      <c r="G734" s="108"/>
      <c r="H734" s="97">
        <f>G734*ENTRY!$O728</f>
        <v>0</v>
      </c>
      <c r="I734" s="97">
        <f>G734*ENTRY!$P728</f>
        <v>0</v>
      </c>
      <c r="J734" s="97">
        <f>G734*ENTRY!$Q728</f>
        <v>0</v>
      </c>
      <c r="K734" s="95"/>
      <c r="L734" s="109"/>
      <c r="M734" s="106"/>
      <c r="N734" s="98"/>
      <c r="O734" s="99"/>
      <c r="P734" s="99"/>
      <c r="Q734" s="99"/>
      <c r="R734" s="99"/>
      <c r="S734" s="100"/>
      <c r="T734" s="100"/>
      <c r="U734" s="100"/>
      <c r="V734" s="100"/>
      <c r="W734" s="88"/>
      <c r="X734" s="89"/>
      <c r="Y734" s="90"/>
      <c r="Z734" s="90"/>
      <c r="AA734" s="90"/>
      <c r="AB734" s="90"/>
      <c r="AC734" s="90"/>
    </row>
    <row r="735">
      <c r="A735" s="104"/>
      <c r="B735" s="101"/>
      <c r="C735" s="105"/>
      <c r="D735" s="80"/>
      <c r="E735" s="81"/>
      <c r="F735" s="82"/>
      <c r="G735" s="83"/>
      <c r="H735" s="84">
        <f>G735*ENTRY!$O729</f>
        <v>0</v>
      </c>
      <c r="I735" s="84">
        <f>G735*ENTRY!$P729</f>
        <v>0</v>
      </c>
      <c r="J735" s="84">
        <f>G735*ENTRY!$Q729</f>
        <v>0</v>
      </c>
      <c r="K735" s="82"/>
      <c r="L735" s="82"/>
      <c r="M735" s="81"/>
      <c r="N735" s="85"/>
      <c r="O735" s="86"/>
      <c r="P735" s="86"/>
      <c r="Q735" s="86"/>
      <c r="R735" s="86"/>
      <c r="S735" s="87"/>
      <c r="T735" s="87"/>
      <c r="U735" s="87"/>
      <c r="V735" s="87"/>
      <c r="W735" s="88"/>
      <c r="X735" s="89"/>
      <c r="Y735" s="90"/>
      <c r="Z735" s="90"/>
      <c r="AA735" s="90"/>
      <c r="AB735" s="90"/>
      <c r="AC735" s="90"/>
    </row>
    <row r="736">
      <c r="A736" s="104"/>
      <c r="B736" s="101"/>
      <c r="C736" s="105"/>
      <c r="D736" s="93"/>
      <c r="E736" s="106"/>
      <c r="F736" s="107"/>
      <c r="G736" s="108"/>
      <c r="H736" s="97">
        <f>G736*ENTRY!$O730</f>
        <v>0</v>
      </c>
      <c r="I736" s="97">
        <f>G736*ENTRY!$P730</f>
        <v>0</v>
      </c>
      <c r="J736" s="97">
        <f>G736*ENTRY!$Q730</f>
        <v>0</v>
      </c>
      <c r="K736" s="95"/>
      <c r="L736" s="109"/>
      <c r="M736" s="106"/>
      <c r="N736" s="98"/>
      <c r="O736" s="99"/>
      <c r="P736" s="99"/>
      <c r="Q736" s="99"/>
      <c r="R736" s="99"/>
      <c r="S736" s="100"/>
      <c r="T736" s="100"/>
      <c r="U736" s="100"/>
      <c r="V736" s="100"/>
      <c r="W736" s="88"/>
      <c r="X736" s="89"/>
      <c r="Y736" s="90"/>
      <c r="Z736" s="90"/>
      <c r="AA736" s="90"/>
      <c r="AB736" s="90"/>
      <c r="AC736" s="90"/>
    </row>
    <row r="737">
      <c r="A737" s="104"/>
      <c r="B737" s="101"/>
      <c r="C737" s="105"/>
      <c r="D737" s="80"/>
      <c r="E737" s="81"/>
      <c r="F737" s="82"/>
      <c r="G737" s="83"/>
      <c r="H737" s="84">
        <f>G737*ENTRY!$O731</f>
        <v>0</v>
      </c>
      <c r="I737" s="84">
        <f>G737*ENTRY!$P731</f>
        <v>0</v>
      </c>
      <c r="J737" s="84">
        <f>G737*ENTRY!$Q731</f>
        <v>0</v>
      </c>
      <c r="K737" s="82"/>
      <c r="L737" s="82"/>
      <c r="M737" s="81"/>
      <c r="N737" s="85"/>
      <c r="O737" s="86"/>
      <c r="P737" s="86"/>
      <c r="Q737" s="86"/>
      <c r="R737" s="86"/>
      <c r="S737" s="87"/>
      <c r="T737" s="87"/>
      <c r="U737" s="87"/>
      <c r="V737" s="87"/>
      <c r="W737" s="88"/>
      <c r="X737" s="89"/>
      <c r="Y737" s="90"/>
      <c r="Z737" s="90"/>
      <c r="AA737" s="90"/>
      <c r="AB737" s="90"/>
      <c r="AC737" s="90"/>
    </row>
    <row r="738">
      <c r="A738" s="104"/>
      <c r="B738" s="101"/>
      <c r="C738" s="105"/>
      <c r="D738" s="93"/>
      <c r="E738" s="106"/>
      <c r="F738" s="107"/>
      <c r="G738" s="108"/>
      <c r="H738" s="97">
        <f>G738*ENTRY!$O732</f>
        <v>0</v>
      </c>
      <c r="I738" s="97">
        <f>G738*ENTRY!$P732</f>
        <v>0</v>
      </c>
      <c r="J738" s="97">
        <f>G738*ENTRY!$Q732</f>
        <v>0</v>
      </c>
      <c r="K738" s="95"/>
      <c r="L738" s="109"/>
      <c r="M738" s="106"/>
      <c r="N738" s="98"/>
      <c r="O738" s="99"/>
      <c r="P738" s="99"/>
      <c r="Q738" s="99"/>
      <c r="R738" s="99"/>
      <c r="S738" s="100"/>
      <c r="T738" s="100"/>
      <c r="U738" s="100"/>
      <c r="V738" s="100"/>
      <c r="W738" s="88"/>
      <c r="X738" s="89"/>
      <c r="Y738" s="90"/>
      <c r="Z738" s="90"/>
      <c r="AA738" s="90"/>
      <c r="AB738" s="90"/>
      <c r="AC738" s="90"/>
    </row>
    <row r="739">
      <c r="A739" s="104"/>
      <c r="B739" s="101"/>
      <c r="C739" s="105"/>
      <c r="D739" s="80"/>
      <c r="E739" s="81"/>
      <c r="F739" s="82"/>
      <c r="G739" s="83"/>
      <c r="H739" s="84">
        <f>G739*ENTRY!$O733</f>
        <v>0</v>
      </c>
      <c r="I739" s="84">
        <f>G739*ENTRY!$P733</f>
        <v>0</v>
      </c>
      <c r="J739" s="84">
        <f>G739*ENTRY!$Q733</f>
        <v>0</v>
      </c>
      <c r="K739" s="82"/>
      <c r="L739" s="82"/>
      <c r="M739" s="81"/>
      <c r="N739" s="85"/>
      <c r="O739" s="86"/>
      <c r="P739" s="86"/>
      <c r="Q739" s="86"/>
      <c r="R739" s="86"/>
      <c r="S739" s="87"/>
      <c r="T739" s="87"/>
      <c r="U739" s="87"/>
      <c r="V739" s="87"/>
      <c r="W739" s="88"/>
      <c r="X739" s="89"/>
      <c r="Y739" s="90"/>
      <c r="Z739" s="90"/>
      <c r="AA739" s="90"/>
      <c r="AB739" s="90"/>
      <c r="AC739" s="90"/>
    </row>
    <row r="740">
      <c r="A740" s="104"/>
      <c r="B740" s="101"/>
      <c r="C740" s="105"/>
      <c r="D740" s="93"/>
      <c r="E740" s="106"/>
      <c r="F740" s="107"/>
      <c r="G740" s="108"/>
      <c r="H740" s="97">
        <f>G740*ENTRY!$O734</f>
        <v>0</v>
      </c>
      <c r="I740" s="97">
        <f>G740*ENTRY!$P734</f>
        <v>0</v>
      </c>
      <c r="J740" s="97">
        <f>G740*ENTRY!$Q734</f>
        <v>0</v>
      </c>
      <c r="K740" s="95"/>
      <c r="L740" s="109"/>
      <c r="M740" s="106"/>
      <c r="N740" s="98"/>
      <c r="O740" s="99"/>
      <c r="P740" s="99"/>
      <c r="Q740" s="99"/>
      <c r="R740" s="99"/>
      <c r="S740" s="100"/>
      <c r="T740" s="100"/>
      <c r="U740" s="100"/>
      <c r="V740" s="100"/>
      <c r="W740" s="88"/>
      <c r="X740" s="89"/>
      <c r="Y740" s="90"/>
      <c r="Z740" s="90"/>
      <c r="AA740" s="90"/>
      <c r="AB740" s="90"/>
      <c r="AC740" s="90"/>
    </row>
    <row r="741">
      <c r="A741" s="104"/>
      <c r="B741" s="101"/>
      <c r="C741" s="105"/>
      <c r="D741" s="80"/>
      <c r="E741" s="81"/>
      <c r="F741" s="82"/>
      <c r="G741" s="83"/>
      <c r="H741" s="84">
        <f>G741*ENTRY!$O735</f>
        <v>0</v>
      </c>
      <c r="I741" s="84">
        <f>G741*ENTRY!$P735</f>
        <v>0</v>
      </c>
      <c r="J741" s="84">
        <f>G741*ENTRY!$Q735</f>
        <v>0</v>
      </c>
      <c r="K741" s="82"/>
      <c r="L741" s="82"/>
      <c r="M741" s="81"/>
      <c r="N741" s="85"/>
      <c r="O741" s="86"/>
      <c r="P741" s="86"/>
      <c r="Q741" s="86"/>
      <c r="R741" s="86"/>
      <c r="S741" s="87"/>
      <c r="T741" s="87"/>
      <c r="U741" s="87"/>
      <c r="V741" s="87"/>
      <c r="W741" s="88"/>
      <c r="X741" s="89"/>
      <c r="Y741" s="90"/>
      <c r="Z741" s="90"/>
      <c r="AA741" s="90"/>
      <c r="AB741" s="90"/>
      <c r="AC741" s="90"/>
    </row>
    <row r="742">
      <c r="A742" s="104"/>
      <c r="B742" s="101"/>
      <c r="C742" s="105"/>
      <c r="D742" s="93"/>
      <c r="E742" s="106"/>
      <c r="F742" s="107"/>
      <c r="G742" s="108"/>
      <c r="H742" s="97">
        <f>G742*ENTRY!$O736</f>
        <v>0</v>
      </c>
      <c r="I742" s="97">
        <f>G742*ENTRY!$P736</f>
        <v>0</v>
      </c>
      <c r="J742" s="97">
        <f>G742*ENTRY!$Q736</f>
        <v>0</v>
      </c>
      <c r="K742" s="95"/>
      <c r="L742" s="109"/>
      <c r="M742" s="106"/>
      <c r="N742" s="98"/>
      <c r="O742" s="99"/>
      <c r="P742" s="99"/>
      <c r="Q742" s="99"/>
      <c r="R742" s="99"/>
      <c r="S742" s="100"/>
      <c r="T742" s="100"/>
      <c r="U742" s="100"/>
      <c r="V742" s="100"/>
      <c r="W742" s="88"/>
      <c r="X742" s="89"/>
      <c r="Y742" s="90"/>
      <c r="Z742" s="90"/>
      <c r="AA742" s="90"/>
      <c r="AB742" s="90"/>
      <c r="AC742" s="90"/>
    </row>
    <row r="743">
      <c r="A743" s="104"/>
      <c r="B743" s="101"/>
      <c r="C743" s="105"/>
      <c r="D743" s="80"/>
      <c r="E743" s="81"/>
      <c r="F743" s="82"/>
      <c r="G743" s="83"/>
      <c r="H743" s="84">
        <f>G743*ENTRY!$O737</f>
        <v>0</v>
      </c>
      <c r="I743" s="84">
        <f>G743*ENTRY!$P737</f>
        <v>0</v>
      </c>
      <c r="J743" s="84">
        <f>G743*ENTRY!$Q737</f>
        <v>0</v>
      </c>
      <c r="K743" s="82"/>
      <c r="L743" s="82"/>
      <c r="M743" s="81"/>
      <c r="N743" s="85"/>
      <c r="O743" s="86"/>
      <c r="P743" s="86"/>
      <c r="Q743" s="86"/>
      <c r="R743" s="86"/>
      <c r="S743" s="87"/>
      <c r="T743" s="87"/>
      <c r="U743" s="87"/>
      <c r="V743" s="87"/>
      <c r="W743" s="88"/>
      <c r="X743" s="89"/>
      <c r="Y743" s="90"/>
      <c r="Z743" s="90"/>
      <c r="AA743" s="90"/>
      <c r="AB743" s="90"/>
      <c r="AC743" s="90"/>
    </row>
    <row r="744">
      <c r="A744" s="104"/>
      <c r="B744" s="101"/>
      <c r="C744" s="105"/>
      <c r="D744" s="93"/>
      <c r="E744" s="106"/>
      <c r="F744" s="107"/>
      <c r="G744" s="108"/>
      <c r="H744" s="97">
        <f>G744*ENTRY!$O738</f>
        <v>0</v>
      </c>
      <c r="I744" s="97">
        <f>G744*ENTRY!$P738</f>
        <v>0</v>
      </c>
      <c r="J744" s="97">
        <f>G744*ENTRY!$Q738</f>
        <v>0</v>
      </c>
      <c r="K744" s="95"/>
      <c r="L744" s="109"/>
      <c r="M744" s="106"/>
      <c r="N744" s="98"/>
      <c r="O744" s="99"/>
      <c r="P744" s="99"/>
      <c r="Q744" s="99"/>
      <c r="R744" s="99"/>
      <c r="S744" s="100"/>
      <c r="T744" s="100"/>
      <c r="U744" s="100"/>
      <c r="V744" s="100"/>
      <c r="W744" s="88"/>
      <c r="X744" s="89"/>
      <c r="Y744" s="90"/>
      <c r="Z744" s="90"/>
      <c r="AA744" s="90"/>
      <c r="AB744" s="90"/>
      <c r="AC744" s="90"/>
    </row>
    <row r="745">
      <c r="A745" s="104"/>
      <c r="B745" s="101"/>
      <c r="C745" s="105"/>
      <c r="D745" s="80"/>
      <c r="E745" s="81"/>
      <c r="F745" s="82"/>
      <c r="G745" s="83"/>
      <c r="H745" s="84">
        <f>G745*ENTRY!$O739</f>
        <v>0</v>
      </c>
      <c r="I745" s="84">
        <f>G745*ENTRY!$P739</f>
        <v>0</v>
      </c>
      <c r="J745" s="84">
        <f>G745*ENTRY!$Q739</f>
        <v>0</v>
      </c>
      <c r="K745" s="82"/>
      <c r="L745" s="82"/>
      <c r="M745" s="81"/>
      <c r="N745" s="85"/>
      <c r="O745" s="86"/>
      <c r="P745" s="86"/>
      <c r="Q745" s="86"/>
      <c r="R745" s="86"/>
      <c r="S745" s="87"/>
      <c r="T745" s="87"/>
      <c r="U745" s="87"/>
      <c r="V745" s="87"/>
      <c r="W745" s="88"/>
      <c r="X745" s="89"/>
      <c r="Y745" s="90"/>
      <c r="Z745" s="90"/>
      <c r="AA745" s="90"/>
      <c r="AB745" s="90"/>
      <c r="AC745" s="90"/>
    </row>
    <row r="746">
      <c r="A746" s="104"/>
      <c r="B746" s="101"/>
      <c r="C746" s="105"/>
      <c r="D746" s="93"/>
      <c r="E746" s="106"/>
      <c r="F746" s="107"/>
      <c r="G746" s="108"/>
      <c r="H746" s="97">
        <f>G746*ENTRY!$O740</f>
        <v>0</v>
      </c>
      <c r="I746" s="97">
        <f>G746*ENTRY!$P740</f>
        <v>0</v>
      </c>
      <c r="J746" s="97">
        <f>G746*ENTRY!$Q740</f>
        <v>0</v>
      </c>
      <c r="K746" s="95"/>
      <c r="L746" s="109"/>
      <c r="M746" s="106"/>
      <c r="N746" s="98"/>
      <c r="O746" s="99"/>
      <c r="P746" s="99"/>
      <c r="Q746" s="99"/>
      <c r="R746" s="99"/>
      <c r="S746" s="100"/>
      <c r="T746" s="100"/>
      <c r="U746" s="100"/>
      <c r="V746" s="100"/>
      <c r="W746" s="88"/>
      <c r="X746" s="89"/>
      <c r="Y746" s="90"/>
      <c r="Z746" s="90"/>
      <c r="AA746" s="90"/>
      <c r="AB746" s="90"/>
      <c r="AC746" s="90"/>
    </row>
    <row r="747">
      <c r="A747" s="104"/>
      <c r="B747" s="101"/>
      <c r="C747" s="105"/>
      <c r="D747" s="80"/>
      <c r="E747" s="81"/>
      <c r="F747" s="82"/>
      <c r="G747" s="83"/>
      <c r="H747" s="84">
        <f>G747*ENTRY!$O741</f>
        <v>0</v>
      </c>
      <c r="I747" s="84">
        <f>G747*ENTRY!$P741</f>
        <v>0</v>
      </c>
      <c r="J747" s="84">
        <f>G747*ENTRY!$Q741</f>
        <v>0</v>
      </c>
      <c r="K747" s="82"/>
      <c r="L747" s="82"/>
      <c r="M747" s="81"/>
      <c r="N747" s="85"/>
      <c r="O747" s="86"/>
      <c r="P747" s="86"/>
      <c r="Q747" s="86"/>
      <c r="R747" s="86"/>
      <c r="S747" s="87"/>
      <c r="T747" s="87"/>
      <c r="U747" s="87"/>
      <c r="V747" s="87"/>
      <c r="W747" s="88"/>
      <c r="X747" s="89"/>
      <c r="Y747" s="90"/>
      <c r="Z747" s="90"/>
      <c r="AA747" s="90"/>
      <c r="AB747" s="90"/>
      <c r="AC747" s="90"/>
    </row>
    <row r="748">
      <c r="A748" s="104"/>
      <c r="B748" s="101"/>
      <c r="C748" s="105"/>
      <c r="D748" s="93"/>
      <c r="E748" s="106"/>
      <c r="F748" s="107"/>
      <c r="G748" s="108"/>
      <c r="H748" s="97">
        <f>G748*ENTRY!$O742</f>
        <v>0</v>
      </c>
      <c r="I748" s="97">
        <f>G748*ENTRY!$P742</f>
        <v>0</v>
      </c>
      <c r="J748" s="97">
        <f>G748*ENTRY!$Q742</f>
        <v>0</v>
      </c>
      <c r="K748" s="95"/>
      <c r="L748" s="109"/>
      <c r="M748" s="106"/>
      <c r="N748" s="98"/>
      <c r="O748" s="99"/>
      <c r="P748" s="99"/>
      <c r="Q748" s="99"/>
      <c r="R748" s="99"/>
      <c r="S748" s="100"/>
      <c r="T748" s="100"/>
      <c r="U748" s="100"/>
      <c r="V748" s="100"/>
      <c r="W748" s="88"/>
      <c r="X748" s="89"/>
      <c r="Y748" s="90"/>
      <c r="Z748" s="90"/>
      <c r="AA748" s="90"/>
      <c r="AB748" s="90"/>
      <c r="AC748" s="90"/>
    </row>
    <row r="749">
      <c r="A749" s="104"/>
      <c r="B749" s="101"/>
      <c r="C749" s="105"/>
      <c r="D749" s="80"/>
      <c r="E749" s="81"/>
      <c r="F749" s="82"/>
      <c r="G749" s="83"/>
      <c r="H749" s="84">
        <f>G749*ENTRY!$O743</f>
        <v>0</v>
      </c>
      <c r="I749" s="84">
        <f>G749*ENTRY!$P743</f>
        <v>0</v>
      </c>
      <c r="J749" s="84">
        <f>G749*ENTRY!$Q743</f>
        <v>0</v>
      </c>
      <c r="K749" s="82"/>
      <c r="L749" s="82"/>
      <c r="M749" s="81"/>
      <c r="N749" s="85"/>
      <c r="O749" s="86"/>
      <c r="P749" s="86"/>
      <c r="Q749" s="86"/>
      <c r="R749" s="86"/>
      <c r="S749" s="87"/>
      <c r="T749" s="87"/>
      <c r="U749" s="87"/>
      <c r="V749" s="87"/>
      <c r="W749" s="88"/>
      <c r="X749" s="89"/>
      <c r="Y749" s="90"/>
      <c r="Z749" s="90"/>
      <c r="AA749" s="90"/>
      <c r="AB749" s="90"/>
      <c r="AC749" s="90"/>
    </row>
    <row r="750">
      <c r="A750" s="104"/>
      <c r="B750" s="101"/>
      <c r="C750" s="105"/>
      <c r="D750" s="93"/>
      <c r="E750" s="106"/>
      <c r="F750" s="107"/>
      <c r="G750" s="108"/>
      <c r="H750" s="97">
        <f>G750*ENTRY!$O744</f>
        <v>0</v>
      </c>
      <c r="I750" s="97">
        <f>G750*ENTRY!$P744</f>
        <v>0</v>
      </c>
      <c r="J750" s="97">
        <f>G750*ENTRY!$Q744</f>
        <v>0</v>
      </c>
      <c r="K750" s="95"/>
      <c r="L750" s="109"/>
      <c r="M750" s="106"/>
      <c r="N750" s="98"/>
      <c r="O750" s="99"/>
      <c r="P750" s="99"/>
      <c r="Q750" s="99"/>
      <c r="R750" s="99"/>
      <c r="S750" s="100"/>
      <c r="T750" s="100"/>
      <c r="U750" s="100"/>
      <c r="V750" s="100"/>
      <c r="W750" s="88"/>
      <c r="X750" s="89"/>
      <c r="Y750" s="90"/>
      <c r="Z750" s="90"/>
      <c r="AA750" s="90"/>
      <c r="AB750" s="90"/>
      <c r="AC750" s="90"/>
    </row>
    <row r="751">
      <c r="A751" s="104"/>
      <c r="B751" s="101"/>
      <c r="C751" s="105"/>
      <c r="D751" s="80"/>
      <c r="E751" s="81"/>
      <c r="F751" s="82"/>
      <c r="G751" s="83"/>
      <c r="H751" s="84">
        <f>G751*ENTRY!$O745</f>
        <v>0</v>
      </c>
      <c r="I751" s="84">
        <f>G751*ENTRY!$P745</f>
        <v>0</v>
      </c>
      <c r="J751" s="84">
        <f>G751*ENTRY!$Q745</f>
        <v>0</v>
      </c>
      <c r="K751" s="82"/>
      <c r="L751" s="82"/>
      <c r="M751" s="81"/>
      <c r="N751" s="85"/>
      <c r="O751" s="86"/>
      <c r="P751" s="86"/>
      <c r="Q751" s="86"/>
      <c r="R751" s="86"/>
      <c r="S751" s="87"/>
      <c r="T751" s="87"/>
      <c r="U751" s="87"/>
      <c r="V751" s="87"/>
      <c r="W751" s="88"/>
      <c r="X751" s="89"/>
      <c r="Y751" s="90"/>
      <c r="Z751" s="90"/>
      <c r="AA751" s="90"/>
      <c r="AB751" s="90"/>
      <c r="AC751" s="90"/>
    </row>
    <row r="752">
      <c r="A752" s="104"/>
      <c r="B752" s="101"/>
      <c r="C752" s="105"/>
      <c r="D752" s="93"/>
      <c r="E752" s="106"/>
      <c r="F752" s="107"/>
      <c r="G752" s="108"/>
      <c r="H752" s="97">
        <f>G752*ENTRY!$O746</f>
        <v>0</v>
      </c>
      <c r="I752" s="97">
        <f>G752*ENTRY!$P746</f>
        <v>0</v>
      </c>
      <c r="J752" s="97">
        <f>G752*ENTRY!$Q746</f>
        <v>0</v>
      </c>
      <c r="K752" s="95"/>
      <c r="L752" s="109"/>
      <c r="M752" s="106"/>
      <c r="N752" s="98"/>
      <c r="O752" s="99"/>
      <c r="P752" s="99"/>
      <c r="Q752" s="99"/>
      <c r="R752" s="99"/>
      <c r="S752" s="100"/>
      <c r="T752" s="100"/>
      <c r="U752" s="100"/>
      <c r="V752" s="100"/>
      <c r="W752" s="88"/>
      <c r="X752" s="89"/>
      <c r="Y752" s="90"/>
      <c r="Z752" s="90"/>
      <c r="AA752" s="90"/>
      <c r="AB752" s="90"/>
      <c r="AC752" s="90"/>
    </row>
    <row r="753">
      <c r="A753" s="104"/>
      <c r="B753" s="101"/>
      <c r="C753" s="105"/>
      <c r="D753" s="80"/>
      <c r="E753" s="81"/>
      <c r="F753" s="82"/>
      <c r="G753" s="83"/>
      <c r="H753" s="84">
        <f>G753*ENTRY!$O747</f>
        <v>0</v>
      </c>
      <c r="I753" s="84">
        <f>G753*ENTRY!$P747</f>
        <v>0</v>
      </c>
      <c r="J753" s="84">
        <f>G753*ENTRY!$Q747</f>
        <v>0</v>
      </c>
      <c r="K753" s="82"/>
      <c r="L753" s="82"/>
      <c r="M753" s="81"/>
      <c r="N753" s="85"/>
      <c r="O753" s="86"/>
      <c r="P753" s="86"/>
      <c r="Q753" s="86"/>
      <c r="R753" s="86"/>
      <c r="S753" s="87"/>
      <c r="T753" s="87"/>
      <c r="U753" s="87"/>
      <c r="V753" s="87"/>
      <c r="W753" s="88"/>
      <c r="X753" s="89"/>
      <c r="Y753" s="90"/>
      <c r="Z753" s="90"/>
      <c r="AA753" s="90"/>
      <c r="AB753" s="90"/>
      <c r="AC753" s="90"/>
    </row>
    <row r="754">
      <c r="A754" s="104"/>
      <c r="B754" s="101"/>
      <c r="C754" s="105"/>
      <c r="D754" s="93"/>
      <c r="E754" s="106"/>
      <c r="F754" s="107"/>
      <c r="G754" s="108"/>
      <c r="H754" s="97">
        <f>G754*ENTRY!$O748</f>
        <v>0</v>
      </c>
      <c r="I754" s="97">
        <f>G754*ENTRY!$P748</f>
        <v>0</v>
      </c>
      <c r="J754" s="97">
        <f>G754*ENTRY!$Q748</f>
        <v>0</v>
      </c>
      <c r="K754" s="95"/>
      <c r="L754" s="109"/>
      <c r="M754" s="106"/>
      <c r="N754" s="98"/>
      <c r="O754" s="99"/>
      <c r="P754" s="99"/>
      <c r="Q754" s="99"/>
      <c r="R754" s="99"/>
      <c r="S754" s="100"/>
      <c r="T754" s="100"/>
      <c r="U754" s="100"/>
      <c r="V754" s="100"/>
      <c r="W754" s="88"/>
      <c r="X754" s="89"/>
      <c r="Y754" s="90"/>
      <c r="Z754" s="90"/>
      <c r="AA754" s="90"/>
      <c r="AB754" s="90"/>
      <c r="AC754" s="90"/>
    </row>
    <row r="755">
      <c r="A755" s="104"/>
      <c r="B755" s="101"/>
      <c r="C755" s="105"/>
      <c r="D755" s="80"/>
      <c r="E755" s="81"/>
      <c r="F755" s="82"/>
      <c r="G755" s="83"/>
      <c r="H755" s="84">
        <f>G755*ENTRY!$O749</f>
        <v>0</v>
      </c>
      <c r="I755" s="84">
        <f>G755*ENTRY!$P749</f>
        <v>0</v>
      </c>
      <c r="J755" s="84">
        <f>G755*ENTRY!$Q749</f>
        <v>0</v>
      </c>
      <c r="K755" s="82"/>
      <c r="L755" s="82"/>
      <c r="M755" s="81"/>
      <c r="N755" s="85"/>
      <c r="O755" s="86"/>
      <c r="P755" s="86"/>
      <c r="Q755" s="86"/>
      <c r="R755" s="86"/>
      <c r="S755" s="87"/>
      <c r="T755" s="87"/>
      <c r="U755" s="87"/>
      <c r="V755" s="87"/>
      <c r="W755" s="88"/>
      <c r="X755" s="89"/>
      <c r="Y755" s="90"/>
      <c r="Z755" s="90"/>
      <c r="AA755" s="90"/>
      <c r="AB755" s="90"/>
      <c r="AC755" s="90"/>
    </row>
    <row r="756">
      <c r="A756" s="104"/>
      <c r="B756" s="101"/>
      <c r="C756" s="105"/>
      <c r="D756" s="93"/>
      <c r="E756" s="106"/>
      <c r="F756" s="107"/>
      <c r="G756" s="108"/>
      <c r="H756" s="97">
        <f>G756*ENTRY!$O750</f>
        <v>0</v>
      </c>
      <c r="I756" s="97">
        <f>G756*ENTRY!$P750</f>
        <v>0</v>
      </c>
      <c r="J756" s="97">
        <f>G756*ENTRY!$Q750</f>
        <v>0</v>
      </c>
      <c r="K756" s="95"/>
      <c r="L756" s="109"/>
      <c r="M756" s="106"/>
      <c r="N756" s="98"/>
      <c r="O756" s="99"/>
      <c r="P756" s="99"/>
      <c r="Q756" s="99"/>
      <c r="R756" s="99"/>
      <c r="S756" s="100"/>
      <c r="T756" s="100"/>
      <c r="U756" s="100"/>
      <c r="V756" s="100"/>
      <c r="W756" s="88"/>
      <c r="X756" s="89"/>
      <c r="Y756" s="90"/>
      <c r="Z756" s="90"/>
      <c r="AA756" s="90"/>
      <c r="AB756" s="90"/>
      <c r="AC756" s="90"/>
    </row>
    <row r="757">
      <c r="A757" s="104"/>
      <c r="B757" s="101"/>
      <c r="C757" s="105"/>
      <c r="D757" s="80"/>
      <c r="E757" s="81"/>
      <c r="F757" s="82"/>
      <c r="G757" s="83"/>
      <c r="H757" s="84">
        <f>G757*ENTRY!$O751</f>
        <v>0</v>
      </c>
      <c r="I757" s="84">
        <f>G757*ENTRY!$P751</f>
        <v>0</v>
      </c>
      <c r="J757" s="84">
        <f>G757*ENTRY!$Q751</f>
        <v>0</v>
      </c>
      <c r="K757" s="82"/>
      <c r="L757" s="82"/>
      <c r="M757" s="81"/>
      <c r="N757" s="85"/>
      <c r="O757" s="86"/>
      <c r="P757" s="86"/>
      <c r="Q757" s="86"/>
      <c r="R757" s="86"/>
      <c r="S757" s="87"/>
      <c r="T757" s="87"/>
      <c r="U757" s="87"/>
      <c r="V757" s="87"/>
      <c r="W757" s="88"/>
      <c r="X757" s="89"/>
      <c r="Y757" s="90"/>
      <c r="Z757" s="90"/>
      <c r="AA757" s="90"/>
      <c r="AB757" s="90"/>
      <c r="AC757" s="90"/>
    </row>
    <row r="758">
      <c r="A758" s="104"/>
      <c r="B758" s="101"/>
      <c r="C758" s="105"/>
      <c r="D758" s="93"/>
      <c r="E758" s="106"/>
      <c r="F758" s="107"/>
      <c r="G758" s="108"/>
      <c r="H758" s="97">
        <f>G758*ENTRY!$O752</f>
        <v>0</v>
      </c>
      <c r="I758" s="97">
        <f>G758*ENTRY!$P752</f>
        <v>0</v>
      </c>
      <c r="J758" s="97">
        <f>G758*ENTRY!$Q752</f>
        <v>0</v>
      </c>
      <c r="K758" s="95"/>
      <c r="L758" s="109"/>
      <c r="M758" s="106"/>
      <c r="N758" s="98"/>
      <c r="O758" s="99"/>
      <c r="P758" s="99"/>
      <c r="Q758" s="99"/>
      <c r="R758" s="99"/>
      <c r="S758" s="100"/>
      <c r="T758" s="100"/>
      <c r="U758" s="100"/>
      <c r="V758" s="100"/>
      <c r="W758" s="88"/>
      <c r="X758" s="89"/>
      <c r="Y758" s="90"/>
      <c r="Z758" s="90"/>
      <c r="AA758" s="90"/>
      <c r="AB758" s="90"/>
      <c r="AC758" s="90"/>
    </row>
    <row r="759">
      <c r="A759" s="104"/>
      <c r="B759" s="101"/>
      <c r="C759" s="105"/>
      <c r="D759" s="80"/>
      <c r="E759" s="81"/>
      <c r="F759" s="82"/>
      <c r="G759" s="83"/>
      <c r="H759" s="84">
        <f>G759*ENTRY!$O753</f>
        <v>0</v>
      </c>
      <c r="I759" s="84">
        <f>G759*ENTRY!$P753</f>
        <v>0</v>
      </c>
      <c r="J759" s="84">
        <f>G759*ENTRY!$Q753</f>
        <v>0</v>
      </c>
      <c r="K759" s="82"/>
      <c r="L759" s="82"/>
      <c r="M759" s="81"/>
      <c r="N759" s="85"/>
      <c r="O759" s="86"/>
      <c r="P759" s="86"/>
      <c r="Q759" s="86"/>
      <c r="R759" s="86"/>
      <c r="S759" s="87"/>
      <c r="T759" s="87"/>
      <c r="U759" s="87"/>
      <c r="V759" s="87"/>
      <c r="W759" s="88"/>
      <c r="X759" s="89"/>
      <c r="Y759" s="90"/>
      <c r="Z759" s="90"/>
      <c r="AA759" s="90"/>
      <c r="AB759" s="90"/>
      <c r="AC759" s="90"/>
    </row>
    <row r="760">
      <c r="A760" s="104"/>
      <c r="B760" s="101"/>
      <c r="C760" s="105"/>
      <c r="D760" s="93"/>
      <c r="E760" s="106"/>
      <c r="F760" s="107"/>
      <c r="G760" s="108"/>
      <c r="H760" s="97">
        <f>G760*ENTRY!$O754</f>
        <v>0</v>
      </c>
      <c r="I760" s="97">
        <f>G760*ENTRY!$P754</f>
        <v>0</v>
      </c>
      <c r="J760" s="97">
        <f>G760*ENTRY!$Q754</f>
        <v>0</v>
      </c>
      <c r="K760" s="95"/>
      <c r="L760" s="109"/>
      <c r="M760" s="106"/>
      <c r="N760" s="98"/>
      <c r="O760" s="99"/>
      <c r="P760" s="99"/>
      <c r="Q760" s="99"/>
      <c r="R760" s="99"/>
      <c r="S760" s="100"/>
      <c r="T760" s="100"/>
      <c r="U760" s="100"/>
      <c r="V760" s="100"/>
      <c r="W760" s="88"/>
      <c r="X760" s="89"/>
      <c r="Y760" s="90"/>
      <c r="Z760" s="90"/>
      <c r="AA760" s="90"/>
      <c r="AB760" s="90"/>
      <c r="AC760" s="90"/>
    </row>
    <row r="761">
      <c r="A761" s="104"/>
      <c r="B761" s="101"/>
      <c r="C761" s="105"/>
      <c r="D761" s="80"/>
      <c r="E761" s="81"/>
      <c r="F761" s="82"/>
      <c r="G761" s="83"/>
      <c r="H761" s="84">
        <f>G761*ENTRY!$O755</f>
        <v>0</v>
      </c>
      <c r="I761" s="84">
        <f>G761*ENTRY!$P755</f>
        <v>0</v>
      </c>
      <c r="J761" s="84">
        <f>G761*ENTRY!$Q755</f>
        <v>0</v>
      </c>
      <c r="K761" s="82"/>
      <c r="L761" s="82"/>
      <c r="M761" s="81"/>
      <c r="N761" s="85"/>
      <c r="O761" s="86"/>
      <c r="P761" s="86"/>
      <c r="Q761" s="86"/>
      <c r="R761" s="86"/>
      <c r="S761" s="87"/>
      <c r="T761" s="87"/>
      <c r="U761" s="87"/>
      <c r="V761" s="87"/>
      <c r="W761" s="88"/>
      <c r="X761" s="89"/>
      <c r="Y761" s="90"/>
      <c r="Z761" s="90"/>
      <c r="AA761" s="90"/>
      <c r="AB761" s="90"/>
      <c r="AC761" s="90"/>
    </row>
    <row r="762">
      <c r="A762" s="104"/>
      <c r="B762" s="101"/>
      <c r="C762" s="105"/>
      <c r="D762" s="93"/>
      <c r="E762" s="106"/>
      <c r="F762" s="107"/>
      <c r="G762" s="108"/>
      <c r="H762" s="97">
        <f>G762*ENTRY!$O756</f>
        <v>0</v>
      </c>
      <c r="I762" s="97">
        <f>G762*ENTRY!$P756</f>
        <v>0</v>
      </c>
      <c r="J762" s="97">
        <f>G762*ENTRY!$Q756</f>
        <v>0</v>
      </c>
      <c r="K762" s="95"/>
      <c r="L762" s="109"/>
      <c r="M762" s="106"/>
      <c r="N762" s="98"/>
      <c r="O762" s="99"/>
      <c r="P762" s="99"/>
      <c r="Q762" s="99"/>
      <c r="R762" s="99"/>
      <c r="S762" s="100"/>
      <c r="T762" s="100"/>
      <c r="U762" s="100"/>
      <c r="V762" s="100"/>
      <c r="W762" s="88"/>
      <c r="X762" s="89"/>
      <c r="Y762" s="90"/>
      <c r="Z762" s="90"/>
      <c r="AA762" s="90"/>
      <c r="AB762" s="90"/>
      <c r="AC762" s="90"/>
    </row>
    <row r="763">
      <c r="A763" s="104"/>
      <c r="B763" s="101"/>
      <c r="C763" s="105"/>
      <c r="D763" s="80"/>
      <c r="E763" s="81"/>
      <c r="F763" s="82"/>
      <c r="G763" s="83"/>
      <c r="H763" s="84">
        <f>G763*ENTRY!$O757</f>
        <v>0</v>
      </c>
      <c r="I763" s="84">
        <f>G763*ENTRY!$P757</f>
        <v>0</v>
      </c>
      <c r="J763" s="84">
        <f>G763*ENTRY!$Q757</f>
        <v>0</v>
      </c>
      <c r="K763" s="82"/>
      <c r="L763" s="82"/>
      <c r="M763" s="81"/>
      <c r="N763" s="85"/>
      <c r="O763" s="86"/>
      <c r="P763" s="86"/>
      <c r="Q763" s="86"/>
      <c r="R763" s="86"/>
      <c r="S763" s="87"/>
      <c r="T763" s="87"/>
      <c r="U763" s="87"/>
      <c r="V763" s="87"/>
      <c r="W763" s="88"/>
      <c r="X763" s="89"/>
      <c r="Y763" s="90"/>
      <c r="Z763" s="90"/>
      <c r="AA763" s="90"/>
      <c r="AB763" s="90"/>
      <c r="AC763" s="90"/>
    </row>
    <row r="764">
      <c r="A764" s="104"/>
      <c r="B764" s="101"/>
      <c r="C764" s="105"/>
      <c r="D764" s="93"/>
      <c r="E764" s="106"/>
      <c r="F764" s="107"/>
      <c r="G764" s="108"/>
      <c r="H764" s="97">
        <f>G764*ENTRY!$O758</f>
        <v>0</v>
      </c>
      <c r="I764" s="97">
        <f>G764*ENTRY!$P758</f>
        <v>0</v>
      </c>
      <c r="J764" s="97">
        <f>G764*ENTRY!$Q758</f>
        <v>0</v>
      </c>
      <c r="K764" s="95"/>
      <c r="L764" s="109"/>
      <c r="M764" s="106"/>
      <c r="N764" s="98"/>
      <c r="O764" s="99"/>
      <c r="P764" s="99"/>
      <c r="Q764" s="99"/>
      <c r="R764" s="99"/>
      <c r="S764" s="100"/>
      <c r="T764" s="100"/>
      <c r="U764" s="100"/>
      <c r="V764" s="100"/>
      <c r="W764" s="88"/>
      <c r="X764" s="89"/>
      <c r="Y764" s="90"/>
      <c r="Z764" s="90"/>
      <c r="AA764" s="90"/>
      <c r="AB764" s="90"/>
      <c r="AC764" s="90"/>
    </row>
    <row r="765">
      <c r="A765" s="104"/>
      <c r="B765" s="101"/>
      <c r="C765" s="105"/>
      <c r="D765" s="80"/>
      <c r="E765" s="81"/>
      <c r="F765" s="82"/>
      <c r="G765" s="83"/>
      <c r="H765" s="84">
        <f>G765*ENTRY!$O759</f>
        <v>0</v>
      </c>
      <c r="I765" s="84">
        <f>G765*ENTRY!$P759</f>
        <v>0</v>
      </c>
      <c r="J765" s="84">
        <f>G765*ENTRY!$Q759</f>
        <v>0</v>
      </c>
      <c r="K765" s="82"/>
      <c r="L765" s="82"/>
      <c r="M765" s="81"/>
      <c r="N765" s="85"/>
      <c r="O765" s="86"/>
      <c r="P765" s="86"/>
      <c r="Q765" s="86"/>
      <c r="R765" s="86"/>
      <c r="S765" s="87"/>
      <c r="T765" s="87"/>
      <c r="U765" s="87"/>
      <c r="V765" s="87"/>
      <c r="W765" s="88"/>
      <c r="X765" s="89"/>
      <c r="Y765" s="90"/>
      <c r="Z765" s="90"/>
      <c r="AA765" s="90"/>
      <c r="AB765" s="90"/>
      <c r="AC765" s="90"/>
    </row>
    <row r="766">
      <c r="A766" s="104"/>
      <c r="B766" s="101"/>
      <c r="C766" s="105"/>
      <c r="D766" s="93"/>
      <c r="E766" s="106"/>
      <c r="F766" s="107"/>
      <c r="G766" s="108"/>
      <c r="H766" s="97">
        <f>G766*ENTRY!$O760</f>
        <v>0</v>
      </c>
      <c r="I766" s="97">
        <f>G766*ENTRY!$P760</f>
        <v>0</v>
      </c>
      <c r="J766" s="97">
        <f>G766*ENTRY!$Q760</f>
        <v>0</v>
      </c>
      <c r="K766" s="95"/>
      <c r="L766" s="109"/>
      <c r="M766" s="106"/>
      <c r="N766" s="98"/>
      <c r="O766" s="99"/>
      <c r="P766" s="99"/>
      <c r="Q766" s="99"/>
      <c r="R766" s="99"/>
      <c r="S766" s="100"/>
      <c r="T766" s="100"/>
      <c r="U766" s="100"/>
      <c r="V766" s="100"/>
      <c r="W766" s="88"/>
      <c r="X766" s="89"/>
      <c r="Y766" s="90"/>
      <c r="Z766" s="90"/>
      <c r="AA766" s="90"/>
      <c r="AB766" s="90"/>
      <c r="AC766" s="90"/>
    </row>
    <row r="767">
      <c r="A767" s="104"/>
      <c r="B767" s="101"/>
      <c r="C767" s="105"/>
      <c r="D767" s="80"/>
      <c r="E767" s="81"/>
      <c r="F767" s="82"/>
      <c r="G767" s="83"/>
      <c r="H767" s="84">
        <f>G767*ENTRY!$O761</f>
        <v>0</v>
      </c>
      <c r="I767" s="84">
        <f>G767*ENTRY!$P761</f>
        <v>0</v>
      </c>
      <c r="J767" s="84">
        <f>G767*ENTRY!$Q761</f>
        <v>0</v>
      </c>
      <c r="K767" s="82"/>
      <c r="L767" s="82"/>
      <c r="M767" s="81"/>
      <c r="N767" s="85"/>
      <c r="O767" s="86"/>
      <c r="P767" s="86"/>
      <c r="Q767" s="86"/>
      <c r="R767" s="86"/>
      <c r="S767" s="87"/>
      <c r="T767" s="87"/>
      <c r="U767" s="87"/>
      <c r="V767" s="87"/>
      <c r="W767" s="88"/>
      <c r="X767" s="89"/>
      <c r="Y767" s="90"/>
      <c r="Z767" s="90"/>
      <c r="AA767" s="90"/>
      <c r="AB767" s="90"/>
      <c r="AC767" s="90"/>
    </row>
    <row r="768">
      <c r="A768" s="104"/>
      <c r="B768" s="101"/>
      <c r="C768" s="105"/>
      <c r="D768" s="93"/>
      <c r="E768" s="106"/>
      <c r="F768" s="107"/>
      <c r="G768" s="108"/>
      <c r="H768" s="97">
        <f>G768*ENTRY!$O762</f>
        <v>0</v>
      </c>
      <c r="I768" s="97">
        <f>G768*ENTRY!$P762</f>
        <v>0</v>
      </c>
      <c r="J768" s="97">
        <f>G768*ENTRY!$Q762</f>
        <v>0</v>
      </c>
      <c r="K768" s="95"/>
      <c r="L768" s="109"/>
      <c r="M768" s="106"/>
      <c r="N768" s="98"/>
      <c r="O768" s="99"/>
      <c r="P768" s="99"/>
      <c r="Q768" s="99"/>
      <c r="R768" s="99"/>
      <c r="S768" s="100"/>
      <c r="T768" s="100"/>
      <c r="U768" s="100"/>
      <c r="V768" s="100"/>
      <c r="W768" s="88"/>
      <c r="X768" s="89"/>
      <c r="Y768" s="90"/>
      <c r="Z768" s="90"/>
      <c r="AA768" s="90"/>
      <c r="AB768" s="90"/>
      <c r="AC768" s="90"/>
    </row>
    <row r="769">
      <c r="A769" s="104"/>
      <c r="B769" s="101"/>
      <c r="C769" s="105"/>
      <c r="D769" s="80"/>
      <c r="E769" s="81"/>
      <c r="F769" s="82"/>
      <c r="G769" s="83"/>
      <c r="H769" s="84">
        <f>G769*ENTRY!$O763</f>
        <v>0</v>
      </c>
      <c r="I769" s="84">
        <f>G769*ENTRY!$P763</f>
        <v>0</v>
      </c>
      <c r="J769" s="84">
        <f>G769*ENTRY!$Q763</f>
        <v>0</v>
      </c>
      <c r="K769" s="82"/>
      <c r="L769" s="82"/>
      <c r="M769" s="81"/>
      <c r="N769" s="85"/>
      <c r="O769" s="86"/>
      <c r="P769" s="86"/>
      <c r="Q769" s="86"/>
      <c r="R769" s="86"/>
      <c r="S769" s="87"/>
      <c r="T769" s="87"/>
      <c r="U769" s="87"/>
      <c r="V769" s="87"/>
      <c r="W769" s="88"/>
      <c r="X769" s="89"/>
      <c r="Y769" s="90"/>
      <c r="Z769" s="90"/>
      <c r="AA769" s="90"/>
      <c r="AB769" s="90"/>
      <c r="AC769" s="90"/>
    </row>
    <row r="770">
      <c r="A770" s="104"/>
      <c r="B770" s="101"/>
      <c r="C770" s="105"/>
      <c r="D770" s="93"/>
      <c r="E770" s="106"/>
      <c r="F770" s="107"/>
      <c r="G770" s="108"/>
      <c r="H770" s="97">
        <f>G770*ENTRY!$O764</f>
        <v>0</v>
      </c>
      <c r="I770" s="97">
        <f>G770*ENTRY!$P764</f>
        <v>0</v>
      </c>
      <c r="J770" s="97">
        <f>G770*ENTRY!$Q764</f>
        <v>0</v>
      </c>
      <c r="K770" s="95"/>
      <c r="L770" s="109"/>
      <c r="M770" s="106"/>
      <c r="N770" s="98"/>
      <c r="O770" s="99"/>
      <c r="P770" s="99"/>
      <c r="Q770" s="99"/>
      <c r="R770" s="99"/>
      <c r="S770" s="100"/>
      <c r="T770" s="100"/>
      <c r="U770" s="100"/>
      <c r="V770" s="100"/>
      <c r="W770" s="88"/>
      <c r="X770" s="89"/>
      <c r="Y770" s="90"/>
      <c r="Z770" s="90"/>
      <c r="AA770" s="90"/>
      <c r="AB770" s="90"/>
      <c r="AC770" s="90"/>
    </row>
    <row r="771">
      <c r="A771" s="104"/>
      <c r="B771" s="101"/>
      <c r="C771" s="105"/>
      <c r="D771" s="80"/>
      <c r="E771" s="81"/>
      <c r="F771" s="82"/>
      <c r="G771" s="83"/>
      <c r="H771" s="84">
        <f>G771*ENTRY!$O765</f>
        <v>0</v>
      </c>
      <c r="I771" s="84">
        <f>G771*ENTRY!$P765</f>
        <v>0</v>
      </c>
      <c r="J771" s="84">
        <f>G771*ENTRY!$Q765</f>
        <v>0</v>
      </c>
      <c r="K771" s="82"/>
      <c r="L771" s="82"/>
      <c r="M771" s="81"/>
      <c r="N771" s="85"/>
      <c r="O771" s="86"/>
      <c r="P771" s="86"/>
      <c r="Q771" s="86"/>
      <c r="R771" s="86"/>
      <c r="S771" s="87"/>
      <c r="T771" s="87"/>
      <c r="U771" s="87"/>
      <c r="V771" s="87"/>
      <c r="W771" s="88"/>
      <c r="X771" s="89"/>
      <c r="Y771" s="90"/>
      <c r="Z771" s="90"/>
      <c r="AA771" s="90"/>
      <c r="AB771" s="90"/>
      <c r="AC771" s="90"/>
    </row>
    <row r="772">
      <c r="A772" s="104"/>
      <c r="B772" s="101"/>
      <c r="C772" s="105"/>
      <c r="D772" s="93"/>
      <c r="E772" s="106"/>
      <c r="F772" s="107"/>
      <c r="G772" s="108"/>
      <c r="H772" s="97">
        <f>G772*ENTRY!$O766</f>
        <v>0</v>
      </c>
      <c r="I772" s="97">
        <f>G772*ENTRY!$P766</f>
        <v>0</v>
      </c>
      <c r="J772" s="97">
        <f>G772*ENTRY!$Q766</f>
        <v>0</v>
      </c>
      <c r="K772" s="95"/>
      <c r="L772" s="109"/>
      <c r="M772" s="106"/>
      <c r="N772" s="98"/>
      <c r="O772" s="99"/>
      <c r="P772" s="99"/>
      <c r="Q772" s="99"/>
      <c r="R772" s="99"/>
      <c r="S772" s="100"/>
      <c r="T772" s="100"/>
      <c r="U772" s="100"/>
      <c r="V772" s="100"/>
      <c r="W772" s="88"/>
      <c r="X772" s="89"/>
      <c r="Y772" s="90"/>
      <c r="Z772" s="90"/>
      <c r="AA772" s="90"/>
      <c r="AB772" s="90"/>
      <c r="AC772" s="90"/>
    </row>
    <row r="773">
      <c r="A773" s="104"/>
      <c r="B773" s="101"/>
      <c r="C773" s="105"/>
      <c r="D773" s="80"/>
      <c r="E773" s="81"/>
      <c r="F773" s="82"/>
      <c r="G773" s="83"/>
      <c r="H773" s="84">
        <f>G773*ENTRY!$O767</f>
        <v>0</v>
      </c>
      <c r="I773" s="84">
        <f>G773*ENTRY!$P767</f>
        <v>0</v>
      </c>
      <c r="J773" s="84">
        <f>G773*ENTRY!$Q767</f>
        <v>0</v>
      </c>
      <c r="K773" s="82"/>
      <c r="L773" s="82"/>
      <c r="M773" s="81"/>
      <c r="N773" s="85"/>
      <c r="O773" s="86"/>
      <c r="P773" s="86"/>
      <c r="Q773" s="86"/>
      <c r="R773" s="86"/>
      <c r="S773" s="87"/>
      <c r="T773" s="87"/>
      <c r="U773" s="87"/>
      <c r="V773" s="87"/>
      <c r="W773" s="88"/>
      <c r="X773" s="89"/>
      <c r="Y773" s="90"/>
      <c r="Z773" s="90"/>
      <c r="AA773" s="90"/>
      <c r="AB773" s="90"/>
      <c r="AC773" s="90"/>
    </row>
    <row r="774">
      <c r="A774" s="104"/>
      <c r="B774" s="101"/>
      <c r="C774" s="105"/>
      <c r="D774" s="93"/>
      <c r="E774" s="106"/>
      <c r="F774" s="107"/>
      <c r="G774" s="108"/>
      <c r="H774" s="97">
        <f>G774*ENTRY!$O768</f>
        <v>0</v>
      </c>
      <c r="I774" s="97">
        <f>G774*ENTRY!$P768</f>
        <v>0</v>
      </c>
      <c r="J774" s="97">
        <f>G774*ENTRY!$Q768</f>
        <v>0</v>
      </c>
      <c r="K774" s="95"/>
      <c r="L774" s="109"/>
      <c r="M774" s="106"/>
      <c r="N774" s="98"/>
      <c r="O774" s="99"/>
      <c r="P774" s="99"/>
      <c r="Q774" s="99"/>
      <c r="R774" s="99"/>
      <c r="S774" s="100"/>
      <c r="T774" s="100"/>
      <c r="U774" s="100"/>
      <c r="V774" s="100"/>
      <c r="W774" s="88"/>
      <c r="X774" s="89"/>
      <c r="Y774" s="90"/>
      <c r="Z774" s="90"/>
      <c r="AA774" s="90"/>
      <c r="AB774" s="90"/>
      <c r="AC774" s="90"/>
    </row>
    <row r="775">
      <c r="A775" s="104"/>
      <c r="B775" s="101"/>
      <c r="C775" s="105"/>
      <c r="D775" s="80"/>
      <c r="E775" s="81"/>
      <c r="F775" s="82"/>
      <c r="G775" s="83"/>
      <c r="H775" s="84">
        <f>G775*ENTRY!$O769</f>
        <v>0</v>
      </c>
      <c r="I775" s="84">
        <f>G775*ENTRY!$P769</f>
        <v>0</v>
      </c>
      <c r="J775" s="84">
        <f>G775*ENTRY!$Q769</f>
        <v>0</v>
      </c>
      <c r="K775" s="82"/>
      <c r="L775" s="82"/>
      <c r="M775" s="81"/>
      <c r="N775" s="85"/>
      <c r="O775" s="86"/>
      <c r="P775" s="86"/>
      <c r="Q775" s="86"/>
      <c r="R775" s="86"/>
      <c r="S775" s="87"/>
      <c r="T775" s="87"/>
      <c r="U775" s="87"/>
      <c r="V775" s="87"/>
      <c r="W775" s="88"/>
      <c r="X775" s="89"/>
      <c r="Y775" s="90"/>
      <c r="Z775" s="90"/>
      <c r="AA775" s="90"/>
      <c r="AB775" s="90"/>
      <c r="AC775" s="90"/>
    </row>
    <row r="776">
      <c r="A776" s="104"/>
      <c r="B776" s="101"/>
      <c r="C776" s="105"/>
      <c r="D776" s="93"/>
      <c r="E776" s="106"/>
      <c r="F776" s="107"/>
      <c r="G776" s="108"/>
      <c r="H776" s="97">
        <f>G776*ENTRY!$O770</f>
        <v>0</v>
      </c>
      <c r="I776" s="97">
        <f>G776*ENTRY!$P770</f>
        <v>0</v>
      </c>
      <c r="J776" s="97">
        <f>G776*ENTRY!$Q770</f>
        <v>0</v>
      </c>
      <c r="K776" s="95"/>
      <c r="L776" s="109"/>
      <c r="M776" s="106"/>
      <c r="N776" s="98"/>
      <c r="O776" s="99"/>
      <c r="P776" s="99"/>
      <c r="Q776" s="99"/>
      <c r="R776" s="99"/>
      <c r="S776" s="100"/>
      <c r="T776" s="100"/>
      <c r="U776" s="100"/>
      <c r="V776" s="100"/>
      <c r="W776" s="88"/>
      <c r="X776" s="89"/>
      <c r="Y776" s="90"/>
      <c r="Z776" s="90"/>
      <c r="AA776" s="90"/>
      <c r="AB776" s="90"/>
      <c r="AC776" s="90"/>
    </row>
    <row r="777">
      <c r="A777" s="104"/>
      <c r="B777" s="101"/>
      <c r="C777" s="105"/>
      <c r="D777" s="80"/>
      <c r="E777" s="81"/>
      <c r="F777" s="82"/>
      <c r="G777" s="83"/>
      <c r="H777" s="84">
        <f>G777*ENTRY!$O771</f>
        <v>0</v>
      </c>
      <c r="I777" s="84">
        <f>G777*ENTRY!$P771</f>
        <v>0</v>
      </c>
      <c r="J777" s="84">
        <f>G777*ENTRY!$Q771</f>
        <v>0</v>
      </c>
      <c r="K777" s="82"/>
      <c r="L777" s="82"/>
      <c r="M777" s="81"/>
      <c r="N777" s="85"/>
      <c r="O777" s="86"/>
      <c r="P777" s="86"/>
      <c r="Q777" s="86"/>
      <c r="R777" s="86"/>
      <c r="S777" s="87"/>
      <c r="T777" s="87"/>
      <c r="U777" s="87"/>
      <c r="V777" s="87"/>
      <c r="W777" s="88"/>
      <c r="X777" s="89"/>
      <c r="Y777" s="90"/>
      <c r="Z777" s="90"/>
      <c r="AA777" s="90"/>
      <c r="AB777" s="90"/>
      <c r="AC777" s="90"/>
    </row>
    <row r="778">
      <c r="A778" s="104"/>
      <c r="B778" s="101"/>
      <c r="C778" s="105"/>
      <c r="D778" s="93"/>
      <c r="E778" s="106"/>
      <c r="F778" s="107"/>
      <c r="G778" s="108"/>
      <c r="H778" s="97">
        <f>G778*ENTRY!$O772</f>
        <v>0</v>
      </c>
      <c r="I778" s="97">
        <f>G778*ENTRY!$P772</f>
        <v>0</v>
      </c>
      <c r="J778" s="97">
        <f>G778*ENTRY!$Q772</f>
        <v>0</v>
      </c>
      <c r="K778" s="95"/>
      <c r="L778" s="109"/>
      <c r="M778" s="106"/>
      <c r="N778" s="98"/>
      <c r="O778" s="99"/>
      <c r="P778" s="99"/>
      <c r="Q778" s="99"/>
      <c r="R778" s="99"/>
      <c r="S778" s="100"/>
      <c r="T778" s="100"/>
      <c r="U778" s="100"/>
      <c r="V778" s="100"/>
      <c r="W778" s="88"/>
      <c r="X778" s="89"/>
      <c r="Y778" s="90"/>
      <c r="Z778" s="90"/>
      <c r="AA778" s="90"/>
      <c r="AB778" s="90"/>
      <c r="AC778" s="90"/>
    </row>
    <row r="779">
      <c r="A779" s="104"/>
      <c r="B779" s="101"/>
      <c r="C779" s="105"/>
      <c r="D779" s="80"/>
      <c r="E779" s="81"/>
      <c r="F779" s="82"/>
      <c r="G779" s="83"/>
      <c r="H779" s="84">
        <f>G779*ENTRY!$O773</f>
        <v>0</v>
      </c>
      <c r="I779" s="84">
        <f>G779*ENTRY!$P773</f>
        <v>0</v>
      </c>
      <c r="J779" s="84">
        <f>G779*ENTRY!$Q773</f>
        <v>0</v>
      </c>
      <c r="K779" s="82"/>
      <c r="L779" s="82"/>
      <c r="M779" s="81"/>
      <c r="N779" s="85"/>
      <c r="O779" s="86"/>
      <c r="P779" s="86"/>
      <c r="Q779" s="86"/>
      <c r="R779" s="86"/>
      <c r="S779" s="87"/>
      <c r="T779" s="87"/>
      <c r="U779" s="87"/>
      <c r="V779" s="87"/>
      <c r="W779" s="88"/>
      <c r="X779" s="89"/>
      <c r="Y779" s="90"/>
      <c r="Z779" s="90"/>
      <c r="AA779" s="90"/>
      <c r="AB779" s="90"/>
      <c r="AC779" s="90"/>
    </row>
    <row r="780">
      <c r="A780" s="104"/>
      <c r="B780" s="101"/>
      <c r="C780" s="105"/>
      <c r="D780" s="93"/>
      <c r="E780" s="106"/>
      <c r="F780" s="107"/>
      <c r="G780" s="108"/>
      <c r="H780" s="97">
        <f>G780*ENTRY!$O774</f>
        <v>0</v>
      </c>
      <c r="I780" s="97">
        <f>G780*ENTRY!$P774</f>
        <v>0</v>
      </c>
      <c r="J780" s="97">
        <f>G780*ENTRY!$Q774</f>
        <v>0</v>
      </c>
      <c r="K780" s="95"/>
      <c r="L780" s="109"/>
      <c r="M780" s="106"/>
      <c r="N780" s="98"/>
      <c r="O780" s="99"/>
      <c r="P780" s="99"/>
      <c r="Q780" s="99"/>
      <c r="R780" s="99"/>
      <c r="S780" s="100"/>
      <c r="T780" s="100"/>
      <c r="U780" s="100"/>
      <c r="V780" s="100"/>
      <c r="W780" s="88"/>
      <c r="X780" s="89"/>
      <c r="Y780" s="90"/>
      <c r="Z780" s="90"/>
      <c r="AA780" s="90"/>
      <c r="AB780" s="90"/>
      <c r="AC780" s="90"/>
    </row>
    <row r="781">
      <c r="A781" s="104"/>
      <c r="B781" s="101"/>
      <c r="C781" s="105"/>
      <c r="D781" s="80"/>
      <c r="E781" s="81"/>
      <c r="F781" s="82"/>
      <c r="G781" s="83"/>
      <c r="H781" s="84">
        <f>G781*ENTRY!$O775</f>
        <v>0</v>
      </c>
      <c r="I781" s="84">
        <f>G781*ENTRY!$P775</f>
        <v>0</v>
      </c>
      <c r="J781" s="84">
        <f>G781*ENTRY!$Q775</f>
        <v>0</v>
      </c>
      <c r="K781" s="82"/>
      <c r="L781" s="82"/>
      <c r="M781" s="81"/>
      <c r="N781" s="85"/>
      <c r="O781" s="86"/>
      <c r="P781" s="86"/>
      <c r="Q781" s="86"/>
      <c r="R781" s="86"/>
      <c r="S781" s="87"/>
      <c r="T781" s="87"/>
      <c r="U781" s="87"/>
      <c r="V781" s="87"/>
      <c r="W781" s="88"/>
      <c r="X781" s="89"/>
      <c r="Y781" s="90"/>
      <c r="Z781" s="90"/>
      <c r="AA781" s="90"/>
      <c r="AB781" s="90"/>
      <c r="AC781" s="90"/>
    </row>
    <row r="782">
      <c r="A782" s="104"/>
      <c r="B782" s="101"/>
      <c r="C782" s="105"/>
      <c r="D782" s="93"/>
      <c r="E782" s="106"/>
      <c r="F782" s="107"/>
      <c r="G782" s="108"/>
      <c r="H782" s="97">
        <f>G782*ENTRY!$O776</f>
        <v>0</v>
      </c>
      <c r="I782" s="97">
        <f>G782*ENTRY!$P776</f>
        <v>0</v>
      </c>
      <c r="J782" s="97">
        <f>G782*ENTRY!$Q776</f>
        <v>0</v>
      </c>
      <c r="K782" s="95"/>
      <c r="L782" s="109"/>
      <c r="M782" s="106"/>
      <c r="N782" s="98"/>
      <c r="O782" s="99"/>
      <c r="P782" s="99"/>
      <c r="Q782" s="99"/>
      <c r="R782" s="99"/>
      <c r="S782" s="100"/>
      <c r="T782" s="100"/>
      <c r="U782" s="100"/>
      <c r="V782" s="100"/>
      <c r="W782" s="88"/>
      <c r="X782" s="89"/>
      <c r="Y782" s="90"/>
      <c r="Z782" s="90"/>
      <c r="AA782" s="90"/>
      <c r="AB782" s="90"/>
      <c r="AC782" s="90"/>
    </row>
    <row r="783">
      <c r="A783" s="104"/>
      <c r="B783" s="101"/>
      <c r="C783" s="105"/>
      <c r="D783" s="80"/>
      <c r="E783" s="81"/>
      <c r="F783" s="82"/>
      <c r="G783" s="83"/>
      <c r="H783" s="84">
        <f>G783*ENTRY!$O777</f>
        <v>0</v>
      </c>
      <c r="I783" s="84">
        <f>G783*ENTRY!$P777</f>
        <v>0</v>
      </c>
      <c r="J783" s="84">
        <f>G783*ENTRY!$Q777</f>
        <v>0</v>
      </c>
      <c r="K783" s="82"/>
      <c r="L783" s="82"/>
      <c r="M783" s="81"/>
      <c r="N783" s="85"/>
      <c r="O783" s="86"/>
      <c r="P783" s="86"/>
      <c r="Q783" s="86"/>
      <c r="R783" s="86"/>
      <c r="S783" s="87"/>
      <c r="T783" s="87"/>
      <c r="U783" s="87"/>
      <c r="V783" s="87"/>
      <c r="W783" s="88"/>
      <c r="X783" s="89"/>
      <c r="Y783" s="90"/>
      <c r="Z783" s="90"/>
      <c r="AA783" s="90"/>
      <c r="AB783" s="90"/>
      <c r="AC783" s="90"/>
    </row>
    <row r="784">
      <c r="A784" s="104"/>
      <c r="B784" s="101"/>
      <c r="C784" s="105"/>
      <c r="D784" s="93"/>
      <c r="E784" s="106"/>
      <c r="F784" s="107"/>
      <c r="G784" s="108"/>
      <c r="H784" s="97">
        <f>G784*ENTRY!$O778</f>
        <v>0</v>
      </c>
      <c r="I784" s="97">
        <f>G784*ENTRY!$P778</f>
        <v>0</v>
      </c>
      <c r="J784" s="97">
        <f>G784*ENTRY!$Q778</f>
        <v>0</v>
      </c>
      <c r="K784" s="95"/>
      <c r="L784" s="109"/>
      <c r="M784" s="106"/>
      <c r="N784" s="98"/>
      <c r="O784" s="99"/>
      <c r="P784" s="99"/>
      <c r="Q784" s="99"/>
      <c r="R784" s="99"/>
      <c r="S784" s="100"/>
      <c r="T784" s="100"/>
      <c r="U784" s="100"/>
      <c r="V784" s="100"/>
      <c r="W784" s="88"/>
      <c r="X784" s="89"/>
      <c r="Y784" s="90"/>
      <c r="Z784" s="90"/>
      <c r="AA784" s="90"/>
      <c r="AB784" s="90"/>
      <c r="AC784" s="90"/>
    </row>
    <row r="785">
      <c r="A785" s="104"/>
      <c r="B785" s="101"/>
      <c r="C785" s="105"/>
      <c r="D785" s="80"/>
      <c r="E785" s="81"/>
      <c r="F785" s="82"/>
      <c r="G785" s="83"/>
      <c r="H785" s="84">
        <f>G785*ENTRY!$O779</f>
        <v>0</v>
      </c>
      <c r="I785" s="84">
        <f>G785*ENTRY!$P779</f>
        <v>0</v>
      </c>
      <c r="J785" s="84">
        <f>G785*ENTRY!$Q779</f>
        <v>0</v>
      </c>
      <c r="K785" s="82"/>
      <c r="L785" s="82"/>
      <c r="M785" s="81"/>
      <c r="N785" s="85"/>
      <c r="O785" s="86"/>
      <c r="P785" s="86"/>
      <c r="Q785" s="86"/>
      <c r="R785" s="86"/>
      <c r="S785" s="87"/>
      <c r="T785" s="87"/>
      <c r="U785" s="87"/>
      <c r="V785" s="87"/>
      <c r="W785" s="88"/>
      <c r="X785" s="89"/>
      <c r="Y785" s="90"/>
      <c r="Z785" s="90"/>
      <c r="AA785" s="90"/>
      <c r="AB785" s="90"/>
      <c r="AC785" s="90"/>
    </row>
    <row r="786">
      <c r="A786" s="104"/>
      <c r="B786" s="101"/>
      <c r="C786" s="105"/>
      <c r="D786" s="93"/>
      <c r="E786" s="106"/>
      <c r="F786" s="107"/>
      <c r="G786" s="108"/>
      <c r="H786" s="97">
        <f>G786*ENTRY!$O780</f>
        <v>0</v>
      </c>
      <c r="I786" s="97">
        <f>G786*ENTRY!$P780</f>
        <v>0</v>
      </c>
      <c r="J786" s="97">
        <f>G786*ENTRY!$Q780</f>
        <v>0</v>
      </c>
      <c r="K786" s="95"/>
      <c r="L786" s="109"/>
      <c r="M786" s="106"/>
      <c r="N786" s="98"/>
      <c r="O786" s="99"/>
      <c r="P786" s="99"/>
      <c r="Q786" s="99"/>
      <c r="R786" s="99"/>
      <c r="S786" s="100"/>
      <c r="T786" s="100"/>
      <c r="U786" s="100"/>
      <c r="V786" s="100"/>
      <c r="W786" s="88"/>
      <c r="X786" s="89"/>
      <c r="Y786" s="90"/>
      <c r="Z786" s="90"/>
      <c r="AA786" s="90"/>
      <c r="AB786" s="90"/>
      <c r="AC786" s="90"/>
    </row>
    <row r="787">
      <c r="A787" s="104"/>
      <c r="B787" s="101"/>
      <c r="C787" s="105"/>
      <c r="D787" s="80"/>
      <c r="E787" s="81"/>
      <c r="F787" s="82"/>
      <c r="G787" s="83"/>
      <c r="H787" s="84">
        <f>G787*ENTRY!$O781</f>
        <v>0</v>
      </c>
      <c r="I787" s="84">
        <f>G787*ENTRY!$P781</f>
        <v>0</v>
      </c>
      <c r="J787" s="84">
        <f>G787*ENTRY!$Q781</f>
        <v>0</v>
      </c>
      <c r="K787" s="82"/>
      <c r="L787" s="82"/>
      <c r="M787" s="81"/>
      <c r="N787" s="85"/>
      <c r="O787" s="86"/>
      <c r="P787" s="86"/>
      <c r="Q787" s="86"/>
      <c r="R787" s="86"/>
      <c r="S787" s="87"/>
      <c r="T787" s="87"/>
      <c r="U787" s="87"/>
      <c r="V787" s="87"/>
      <c r="W787" s="88"/>
      <c r="X787" s="89"/>
      <c r="Y787" s="90"/>
      <c r="Z787" s="90"/>
      <c r="AA787" s="90"/>
      <c r="AB787" s="90"/>
      <c r="AC787" s="90"/>
    </row>
    <row r="788">
      <c r="A788" s="104"/>
      <c r="B788" s="101"/>
      <c r="C788" s="105"/>
      <c r="D788" s="93"/>
      <c r="E788" s="106"/>
      <c r="F788" s="107"/>
      <c r="G788" s="108"/>
      <c r="H788" s="97">
        <f>G788*ENTRY!$O782</f>
        <v>0</v>
      </c>
      <c r="I788" s="97">
        <f>G788*ENTRY!$P782</f>
        <v>0</v>
      </c>
      <c r="J788" s="97">
        <f>G788*ENTRY!$Q782</f>
        <v>0</v>
      </c>
      <c r="K788" s="95"/>
      <c r="L788" s="109"/>
      <c r="M788" s="106"/>
      <c r="N788" s="98"/>
      <c r="O788" s="99"/>
      <c r="P788" s="99"/>
      <c r="Q788" s="99"/>
      <c r="R788" s="99"/>
      <c r="S788" s="100"/>
      <c r="T788" s="100"/>
      <c r="U788" s="100"/>
      <c r="V788" s="100"/>
      <c r="W788" s="88"/>
      <c r="X788" s="89"/>
      <c r="Y788" s="90"/>
      <c r="Z788" s="90"/>
      <c r="AA788" s="90"/>
      <c r="AB788" s="90"/>
      <c r="AC788" s="90"/>
    </row>
    <row r="789">
      <c r="A789" s="104"/>
      <c r="B789" s="101"/>
      <c r="C789" s="105"/>
      <c r="D789" s="80"/>
      <c r="E789" s="81"/>
      <c r="F789" s="82"/>
      <c r="G789" s="83"/>
      <c r="H789" s="84">
        <f>G789*ENTRY!$O783</f>
        <v>0</v>
      </c>
      <c r="I789" s="84">
        <f>G789*ENTRY!$P783</f>
        <v>0</v>
      </c>
      <c r="J789" s="84">
        <f>G789*ENTRY!$Q783</f>
        <v>0</v>
      </c>
      <c r="K789" s="82"/>
      <c r="L789" s="82"/>
      <c r="M789" s="81"/>
      <c r="N789" s="85"/>
      <c r="O789" s="86"/>
      <c r="P789" s="86"/>
      <c r="Q789" s="86"/>
      <c r="R789" s="86"/>
      <c r="S789" s="87"/>
      <c r="T789" s="87"/>
      <c r="U789" s="87"/>
      <c r="V789" s="87"/>
      <c r="W789" s="88"/>
      <c r="X789" s="89"/>
      <c r="Y789" s="90"/>
      <c r="Z789" s="90"/>
      <c r="AA789" s="90"/>
      <c r="AB789" s="90"/>
      <c r="AC789" s="90"/>
    </row>
    <row r="790">
      <c r="A790" s="104"/>
      <c r="B790" s="101"/>
      <c r="C790" s="105"/>
      <c r="D790" s="93"/>
      <c r="E790" s="106"/>
      <c r="F790" s="107"/>
      <c r="G790" s="108"/>
      <c r="H790" s="97">
        <f>G790*ENTRY!$O784</f>
        <v>0</v>
      </c>
      <c r="I790" s="97">
        <f>G790*ENTRY!$P784</f>
        <v>0</v>
      </c>
      <c r="J790" s="97">
        <f>G790*ENTRY!$Q784</f>
        <v>0</v>
      </c>
      <c r="K790" s="95"/>
      <c r="L790" s="109"/>
      <c r="M790" s="106"/>
      <c r="N790" s="98"/>
      <c r="O790" s="99"/>
      <c r="P790" s="99"/>
      <c r="Q790" s="99"/>
      <c r="R790" s="99"/>
      <c r="S790" s="100"/>
      <c r="T790" s="100"/>
      <c r="U790" s="100"/>
      <c r="V790" s="100"/>
      <c r="W790" s="88"/>
      <c r="X790" s="89"/>
      <c r="Y790" s="90"/>
      <c r="Z790" s="90"/>
      <c r="AA790" s="90"/>
      <c r="AB790" s="90"/>
      <c r="AC790" s="90"/>
    </row>
    <row r="791">
      <c r="A791" s="104"/>
      <c r="B791" s="101"/>
      <c r="C791" s="105"/>
      <c r="D791" s="80"/>
      <c r="E791" s="81"/>
      <c r="F791" s="82"/>
      <c r="G791" s="83"/>
      <c r="H791" s="84">
        <f>G791*ENTRY!$O785</f>
        <v>0</v>
      </c>
      <c r="I791" s="84">
        <f>G791*ENTRY!$P785</f>
        <v>0</v>
      </c>
      <c r="J791" s="84">
        <f>G791*ENTRY!$Q785</f>
        <v>0</v>
      </c>
      <c r="K791" s="82"/>
      <c r="L791" s="82"/>
      <c r="M791" s="81"/>
      <c r="N791" s="85"/>
      <c r="O791" s="86"/>
      <c r="P791" s="86"/>
      <c r="Q791" s="86"/>
      <c r="R791" s="86"/>
      <c r="S791" s="87"/>
      <c r="T791" s="87"/>
      <c r="U791" s="87"/>
      <c r="V791" s="87"/>
      <c r="W791" s="88"/>
      <c r="X791" s="89"/>
      <c r="Y791" s="90"/>
      <c r="Z791" s="90"/>
      <c r="AA791" s="90"/>
      <c r="AB791" s="90"/>
      <c r="AC791" s="90"/>
    </row>
    <row r="792">
      <c r="A792" s="104"/>
      <c r="B792" s="101"/>
      <c r="C792" s="105"/>
      <c r="D792" s="93"/>
      <c r="E792" s="106"/>
      <c r="F792" s="107"/>
      <c r="G792" s="108"/>
      <c r="H792" s="97">
        <f>G792*ENTRY!$O786</f>
        <v>0</v>
      </c>
      <c r="I792" s="97">
        <f>G792*ENTRY!$P786</f>
        <v>0</v>
      </c>
      <c r="J792" s="97">
        <f>G792*ENTRY!$Q786</f>
        <v>0</v>
      </c>
      <c r="K792" s="95"/>
      <c r="L792" s="109"/>
      <c r="M792" s="106"/>
      <c r="N792" s="98"/>
      <c r="O792" s="99"/>
      <c r="P792" s="99"/>
      <c r="Q792" s="99"/>
      <c r="R792" s="99"/>
      <c r="S792" s="100"/>
      <c r="T792" s="100"/>
      <c r="U792" s="100"/>
      <c r="V792" s="100"/>
      <c r="W792" s="88"/>
      <c r="X792" s="89"/>
      <c r="Y792" s="90"/>
      <c r="Z792" s="90"/>
      <c r="AA792" s="90"/>
      <c r="AB792" s="90"/>
      <c r="AC792" s="90"/>
    </row>
    <row r="793">
      <c r="A793" s="104"/>
      <c r="B793" s="101"/>
      <c r="C793" s="105"/>
      <c r="D793" s="80"/>
      <c r="E793" s="81"/>
      <c r="F793" s="82"/>
      <c r="G793" s="83"/>
      <c r="H793" s="84">
        <f>G793*ENTRY!$O787</f>
        <v>0</v>
      </c>
      <c r="I793" s="84">
        <f>G793*ENTRY!$P787</f>
        <v>0</v>
      </c>
      <c r="J793" s="84">
        <f>G793*ENTRY!$Q787</f>
        <v>0</v>
      </c>
      <c r="K793" s="82"/>
      <c r="L793" s="82"/>
      <c r="M793" s="81"/>
      <c r="N793" s="85"/>
      <c r="O793" s="86"/>
      <c r="P793" s="86"/>
      <c r="Q793" s="86"/>
      <c r="R793" s="86"/>
      <c r="S793" s="87"/>
      <c r="T793" s="87"/>
      <c r="U793" s="87"/>
      <c r="V793" s="87"/>
      <c r="W793" s="88"/>
      <c r="X793" s="89"/>
      <c r="Y793" s="90"/>
      <c r="Z793" s="90"/>
      <c r="AA793" s="90"/>
      <c r="AB793" s="90"/>
      <c r="AC793" s="90"/>
    </row>
    <row r="794">
      <c r="A794" s="104"/>
      <c r="B794" s="101"/>
      <c r="C794" s="105"/>
      <c r="D794" s="93"/>
      <c r="E794" s="106"/>
      <c r="F794" s="107"/>
      <c r="G794" s="108"/>
      <c r="H794" s="97">
        <f>G794*ENTRY!$O788</f>
        <v>0</v>
      </c>
      <c r="I794" s="97">
        <f>G794*ENTRY!$P788</f>
        <v>0</v>
      </c>
      <c r="J794" s="97">
        <f>G794*ENTRY!$Q788</f>
        <v>0</v>
      </c>
      <c r="K794" s="95"/>
      <c r="L794" s="109"/>
      <c r="M794" s="106"/>
      <c r="N794" s="98"/>
      <c r="O794" s="99"/>
      <c r="P794" s="99"/>
      <c r="Q794" s="99"/>
      <c r="R794" s="99"/>
      <c r="S794" s="100"/>
      <c r="T794" s="100"/>
      <c r="U794" s="100"/>
      <c r="V794" s="100"/>
      <c r="W794" s="88"/>
      <c r="X794" s="89"/>
      <c r="Y794" s="90"/>
      <c r="Z794" s="90"/>
      <c r="AA794" s="90"/>
      <c r="AB794" s="90"/>
      <c r="AC794" s="90"/>
    </row>
    <row r="795">
      <c r="A795" s="104"/>
      <c r="B795" s="101"/>
      <c r="C795" s="105"/>
      <c r="D795" s="80"/>
      <c r="E795" s="81"/>
      <c r="F795" s="82"/>
      <c r="G795" s="83"/>
      <c r="H795" s="84">
        <f>G795*ENTRY!$O789</f>
        <v>0</v>
      </c>
      <c r="I795" s="84">
        <f>G795*ENTRY!$P789</f>
        <v>0</v>
      </c>
      <c r="J795" s="84">
        <f>G795*ENTRY!$Q789</f>
        <v>0</v>
      </c>
      <c r="K795" s="82"/>
      <c r="L795" s="82"/>
      <c r="M795" s="81"/>
      <c r="N795" s="85"/>
      <c r="O795" s="86"/>
      <c r="P795" s="86"/>
      <c r="Q795" s="86"/>
      <c r="R795" s="86"/>
      <c r="S795" s="87"/>
      <c r="T795" s="87"/>
      <c r="U795" s="87"/>
      <c r="V795" s="87"/>
      <c r="W795" s="88"/>
      <c r="X795" s="89"/>
      <c r="Y795" s="90"/>
      <c r="Z795" s="90"/>
      <c r="AA795" s="90"/>
      <c r="AB795" s="90"/>
      <c r="AC795" s="90"/>
    </row>
    <row r="796">
      <c r="A796" s="104"/>
      <c r="B796" s="101"/>
      <c r="C796" s="105"/>
      <c r="D796" s="93"/>
      <c r="E796" s="106"/>
      <c r="F796" s="107"/>
      <c r="G796" s="108"/>
      <c r="H796" s="97">
        <f>G796*ENTRY!$O790</f>
        <v>0</v>
      </c>
      <c r="I796" s="97">
        <f>G796*ENTRY!$P790</f>
        <v>0</v>
      </c>
      <c r="J796" s="97">
        <f>G796*ENTRY!$Q790</f>
        <v>0</v>
      </c>
      <c r="K796" s="95"/>
      <c r="L796" s="109"/>
      <c r="M796" s="106"/>
      <c r="N796" s="98"/>
      <c r="O796" s="99"/>
      <c r="P796" s="99"/>
      <c r="Q796" s="99"/>
      <c r="R796" s="99"/>
      <c r="S796" s="100"/>
      <c r="T796" s="100"/>
      <c r="U796" s="100"/>
      <c r="V796" s="100"/>
      <c r="W796" s="88"/>
      <c r="X796" s="89"/>
      <c r="Y796" s="90"/>
      <c r="Z796" s="90"/>
      <c r="AA796" s="90"/>
      <c r="AB796" s="90"/>
      <c r="AC796" s="90"/>
    </row>
    <row r="797">
      <c r="A797" s="104"/>
      <c r="B797" s="101"/>
      <c r="C797" s="105"/>
      <c r="D797" s="80"/>
      <c r="E797" s="81"/>
      <c r="F797" s="82"/>
      <c r="G797" s="83"/>
      <c r="H797" s="84">
        <f>G797*ENTRY!$O791</f>
        <v>0</v>
      </c>
      <c r="I797" s="84">
        <f>G797*ENTRY!$P791</f>
        <v>0</v>
      </c>
      <c r="J797" s="84">
        <f>G797*ENTRY!$Q791</f>
        <v>0</v>
      </c>
      <c r="K797" s="82"/>
      <c r="L797" s="82"/>
      <c r="M797" s="81"/>
      <c r="N797" s="85"/>
      <c r="O797" s="86"/>
      <c r="P797" s="86"/>
      <c r="Q797" s="86"/>
      <c r="R797" s="86"/>
      <c r="S797" s="87"/>
      <c r="T797" s="87"/>
      <c r="U797" s="87"/>
      <c r="V797" s="87"/>
      <c r="W797" s="88"/>
      <c r="X797" s="89"/>
      <c r="Y797" s="90"/>
      <c r="Z797" s="90"/>
      <c r="AA797" s="90"/>
      <c r="AB797" s="90"/>
      <c r="AC797" s="90"/>
    </row>
    <row r="798">
      <c r="A798" s="104"/>
      <c r="B798" s="101"/>
      <c r="C798" s="105"/>
      <c r="D798" s="93"/>
      <c r="E798" s="106"/>
      <c r="F798" s="107"/>
      <c r="G798" s="108"/>
      <c r="H798" s="97">
        <f>G798*ENTRY!$O792</f>
        <v>0</v>
      </c>
      <c r="I798" s="97">
        <f>G798*ENTRY!$P792</f>
        <v>0</v>
      </c>
      <c r="J798" s="97">
        <f>G798*ENTRY!$Q792</f>
        <v>0</v>
      </c>
      <c r="K798" s="95"/>
      <c r="L798" s="109"/>
      <c r="M798" s="106"/>
      <c r="N798" s="98"/>
      <c r="O798" s="99"/>
      <c r="P798" s="99"/>
      <c r="Q798" s="99"/>
      <c r="R798" s="99"/>
      <c r="S798" s="100"/>
      <c r="T798" s="100"/>
      <c r="U798" s="100"/>
      <c r="V798" s="100"/>
      <c r="W798" s="88"/>
      <c r="X798" s="89"/>
      <c r="Y798" s="90"/>
      <c r="Z798" s="90"/>
      <c r="AA798" s="90"/>
      <c r="AB798" s="90"/>
      <c r="AC798" s="90"/>
    </row>
    <row r="799">
      <c r="A799" s="104"/>
      <c r="B799" s="101"/>
      <c r="C799" s="105"/>
      <c r="D799" s="80"/>
      <c r="E799" s="81"/>
      <c r="F799" s="82"/>
      <c r="G799" s="83"/>
      <c r="H799" s="84">
        <f>G799*ENTRY!$O793</f>
        <v>0</v>
      </c>
      <c r="I799" s="84">
        <f>G799*ENTRY!$P793</f>
        <v>0</v>
      </c>
      <c r="J799" s="84">
        <f>G799*ENTRY!$Q793</f>
        <v>0</v>
      </c>
      <c r="K799" s="82"/>
      <c r="L799" s="82"/>
      <c r="M799" s="81"/>
      <c r="N799" s="85"/>
      <c r="O799" s="86"/>
      <c r="P799" s="86"/>
      <c r="Q799" s="86"/>
      <c r="R799" s="86"/>
      <c r="S799" s="87"/>
      <c r="T799" s="87"/>
      <c r="U799" s="87"/>
      <c r="V799" s="87"/>
      <c r="W799" s="88"/>
      <c r="X799" s="89"/>
      <c r="Y799" s="90"/>
      <c r="Z799" s="90"/>
      <c r="AA799" s="90"/>
      <c r="AB799" s="90"/>
      <c r="AC799" s="90"/>
    </row>
    <row r="800">
      <c r="A800" s="104"/>
      <c r="B800" s="101"/>
      <c r="C800" s="105"/>
      <c r="D800" s="93"/>
      <c r="E800" s="106"/>
      <c r="F800" s="107"/>
      <c r="G800" s="108"/>
      <c r="H800" s="97">
        <f>G800*ENTRY!$O794</f>
        <v>0</v>
      </c>
      <c r="I800" s="97">
        <f>G800*ENTRY!$P794</f>
        <v>0</v>
      </c>
      <c r="J800" s="97">
        <f>G800*ENTRY!$Q794</f>
        <v>0</v>
      </c>
      <c r="K800" s="95"/>
      <c r="L800" s="109"/>
      <c r="M800" s="106"/>
      <c r="N800" s="98"/>
      <c r="O800" s="99"/>
      <c r="P800" s="99"/>
      <c r="Q800" s="99"/>
      <c r="R800" s="99"/>
      <c r="S800" s="100"/>
      <c r="T800" s="100"/>
      <c r="U800" s="100"/>
      <c r="V800" s="100"/>
      <c r="W800" s="88"/>
      <c r="X800" s="89"/>
      <c r="Y800" s="90"/>
      <c r="Z800" s="90"/>
      <c r="AA800" s="90"/>
      <c r="AB800" s="90"/>
      <c r="AC800" s="90"/>
    </row>
    <row r="801">
      <c r="A801" s="104"/>
      <c r="B801" s="101"/>
      <c r="C801" s="105"/>
      <c r="D801" s="80"/>
      <c r="E801" s="81"/>
      <c r="F801" s="82"/>
      <c r="G801" s="83"/>
      <c r="H801" s="84">
        <f>G801*ENTRY!$O795</f>
        <v>0</v>
      </c>
      <c r="I801" s="84">
        <f>G801*ENTRY!$P795</f>
        <v>0</v>
      </c>
      <c r="J801" s="84">
        <f>G801*ENTRY!$Q795</f>
        <v>0</v>
      </c>
      <c r="K801" s="82"/>
      <c r="L801" s="82"/>
      <c r="M801" s="81"/>
      <c r="N801" s="85"/>
      <c r="O801" s="86"/>
      <c r="P801" s="86"/>
      <c r="Q801" s="86"/>
      <c r="R801" s="86"/>
      <c r="S801" s="87"/>
      <c r="T801" s="87"/>
      <c r="U801" s="87"/>
      <c r="V801" s="87"/>
      <c r="W801" s="88"/>
      <c r="X801" s="89"/>
      <c r="Y801" s="90"/>
      <c r="Z801" s="90"/>
      <c r="AA801" s="90"/>
      <c r="AB801" s="90"/>
      <c r="AC801" s="90"/>
    </row>
    <row r="802">
      <c r="A802" s="104"/>
      <c r="B802" s="101"/>
      <c r="C802" s="105"/>
      <c r="D802" s="93"/>
      <c r="E802" s="106"/>
      <c r="F802" s="107"/>
      <c r="G802" s="108"/>
      <c r="H802" s="97">
        <f>G802*ENTRY!$O796</f>
        <v>0</v>
      </c>
      <c r="I802" s="97">
        <f>G802*ENTRY!$P796</f>
        <v>0</v>
      </c>
      <c r="J802" s="97">
        <f>G802*ENTRY!$Q796</f>
        <v>0</v>
      </c>
      <c r="K802" s="95"/>
      <c r="L802" s="109"/>
      <c r="M802" s="106"/>
      <c r="N802" s="98"/>
      <c r="O802" s="99"/>
      <c r="P802" s="99"/>
      <c r="Q802" s="99"/>
      <c r="R802" s="99"/>
      <c r="S802" s="100"/>
      <c r="T802" s="100"/>
      <c r="U802" s="100"/>
      <c r="V802" s="100"/>
      <c r="W802" s="88"/>
      <c r="X802" s="89"/>
      <c r="Y802" s="90"/>
      <c r="Z802" s="90"/>
      <c r="AA802" s="90"/>
      <c r="AB802" s="90"/>
      <c r="AC802" s="90"/>
    </row>
    <row r="803">
      <c r="A803" s="104"/>
      <c r="B803" s="101"/>
      <c r="C803" s="105"/>
      <c r="D803" s="80"/>
      <c r="E803" s="81"/>
      <c r="F803" s="82"/>
      <c r="G803" s="83"/>
      <c r="H803" s="84">
        <f>G803*ENTRY!$O797</f>
        <v>0</v>
      </c>
      <c r="I803" s="84">
        <f>G803*ENTRY!$P797</f>
        <v>0</v>
      </c>
      <c r="J803" s="84">
        <f>G803*ENTRY!$Q797</f>
        <v>0</v>
      </c>
      <c r="K803" s="82"/>
      <c r="L803" s="82"/>
      <c r="M803" s="81"/>
      <c r="N803" s="85"/>
      <c r="O803" s="86"/>
      <c r="P803" s="86"/>
      <c r="Q803" s="86"/>
      <c r="R803" s="86"/>
      <c r="S803" s="87"/>
      <c r="T803" s="87"/>
      <c r="U803" s="87"/>
      <c r="V803" s="87"/>
      <c r="W803" s="88"/>
      <c r="X803" s="89"/>
      <c r="Y803" s="90"/>
      <c r="Z803" s="90"/>
      <c r="AA803" s="90"/>
      <c r="AB803" s="90"/>
      <c r="AC803" s="90"/>
    </row>
    <row r="804">
      <c r="A804" s="104"/>
      <c r="B804" s="101"/>
      <c r="C804" s="105"/>
      <c r="D804" s="93"/>
      <c r="E804" s="106"/>
      <c r="F804" s="107"/>
      <c r="G804" s="108"/>
      <c r="H804" s="97">
        <f>G804*ENTRY!$O798</f>
        <v>0</v>
      </c>
      <c r="I804" s="97">
        <f>G804*ENTRY!$P798</f>
        <v>0</v>
      </c>
      <c r="J804" s="97">
        <f>G804*ENTRY!$Q798</f>
        <v>0</v>
      </c>
      <c r="K804" s="95"/>
      <c r="L804" s="109"/>
      <c r="M804" s="106"/>
      <c r="N804" s="98"/>
      <c r="O804" s="99"/>
      <c r="P804" s="99"/>
      <c r="Q804" s="99"/>
      <c r="R804" s="99"/>
      <c r="S804" s="100"/>
      <c r="T804" s="100"/>
      <c r="U804" s="100"/>
      <c r="V804" s="100"/>
      <c r="W804" s="88"/>
      <c r="X804" s="89"/>
      <c r="Y804" s="90"/>
      <c r="Z804" s="90"/>
      <c r="AA804" s="90"/>
      <c r="AB804" s="90"/>
      <c r="AC804" s="90"/>
    </row>
    <row r="805">
      <c r="A805" s="104"/>
      <c r="B805" s="101"/>
      <c r="C805" s="105"/>
      <c r="D805" s="80"/>
      <c r="E805" s="81"/>
      <c r="F805" s="82"/>
      <c r="G805" s="83"/>
      <c r="H805" s="84">
        <f>G805*ENTRY!$O799</f>
        <v>0</v>
      </c>
      <c r="I805" s="84">
        <f>G805*ENTRY!$P799</f>
        <v>0</v>
      </c>
      <c r="J805" s="84">
        <f>G805*ENTRY!$Q799</f>
        <v>0</v>
      </c>
      <c r="K805" s="82"/>
      <c r="L805" s="82"/>
      <c r="M805" s="81"/>
      <c r="N805" s="85"/>
      <c r="O805" s="86"/>
      <c r="P805" s="86"/>
      <c r="Q805" s="86"/>
      <c r="R805" s="86"/>
      <c r="S805" s="87"/>
      <c r="T805" s="87"/>
      <c r="U805" s="87"/>
      <c r="V805" s="87"/>
      <c r="W805" s="88"/>
      <c r="X805" s="89"/>
      <c r="Y805" s="90"/>
      <c r="Z805" s="90"/>
      <c r="AA805" s="90"/>
      <c r="AB805" s="90"/>
      <c r="AC805" s="90"/>
    </row>
    <row r="806">
      <c r="A806" s="104"/>
      <c r="B806" s="101"/>
      <c r="C806" s="105"/>
      <c r="D806" s="93"/>
      <c r="E806" s="106"/>
      <c r="F806" s="107"/>
      <c r="G806" s="108"/>
      <c r="H806" s="97">
        <f>G806*ENTRY!$O800</f>
        <v>0</v>
      </c>
      <c r="I806" s="97">
        <f>G806*ENTRY!$P800</f>
        <v>0</v>
      </c>
      <c r="J806" s="97">
        <f>G806*ENTRY!$Q800</f>
        <v>0</v>
      </c>
      <c r="K806" s="95"/>
      <c r="L806" s="109"/>
      <c r="M806" s="106"/>
      <c r="N806" s="98"/>
      <c r="O806" s="99"/>
      <c r="P806" s="99"/>
      <c r="Q806" s="99"/>
      <c r="R806" s="99"/>
      <c r="S806" s="100"/>
      <c r="T806" s="100"/>
      <c r="U806" s="100"/>
      <c r="V806" s="100"/>
      <c r="W806" s="88"/>
      <c r="X806" s="89"/>
      <c r="Y806" s="90"/>
      <c r="Z806" s="90"/>
      <c r="AA806" s="90"/>
      <c r="AB806" s="90"/>
      <c r="AC806" s="90"/>
    </row>
    <row r="807">
      <c r="A807" s="104"/>
      <c r="B807" s="101"/>
      <c r="C807" s="105"/>
      <c r="D807" s="80"/>
      <c r="E807" s="81"/>
      <c r="F807" s="82"/>
      <c r="G807" s="83"/>
      <c r="H807" s="84">
        <f>G807*ENTRY!$O801</f>
        <v>0</v>
      </c>
      <c r="I807" s="84">
        <f>G807*ENTRY!$P801</f>
        <v>0</v>
      </c>
      <c r="J807" s="84">
        <f>G807*ENTRY!$Q801</f>
        <v>0</v>
      </c>
      <c r="K807" s="82"/>
      <c r="L807" s="82"/>
      <c r="M807" s="81"/>
      <c r="N807" s="85"/>
      <c r="O807" s="86"/>
      <c r="P807" s="86"/>
      <c r="Q807" s="86"/>
      <c r="R807" s="86"/>
      <c r="S807" s="87"/>
      <c r="T807" s="87"/>
      <c r="U807" s="87"/>
      <c r="V807" s="87"/>
      <c r="W807" s="88"/>
      <c r="X807" s="89"/>
      <c r="Y807" s="90"/>
      <c r="Z807" s="90"/>
      <c r="AA807" s="90"/>
      <c r="AB807" s="90"/>
      <c r="AC807" s="90"/>
    </row>
    <row r="808">
      <c r="A808" s="104"/>
      <c r="B808" s="101"/>
      <c r="C808" s="105"/>
      <c r="D808" s="93"/>
      <c r="E808" s="106"/>
      <c r="F808" s="107"/>
      <c r="G808" s="108"/>
      <c r="H808" s="97">
        <f>G808*ENTRY!$O802</f>
        <v>0</v>
      </c>
      <c r="I808" s="97">
        <f>G808*ENTRY!$P802</f>
        <v>0</v>
      </c>
      <c r="J808" s="97">
        <f>G808*ENTRY!$Q802</f>
        <v>0</v>
      </c>
      <c r="K808" s="95"/>
      <c r="L808" s="109"/>
      <c r="M808" s="106"/>
      <c r="N808" s="98"/>
      <c r="O808" s="99"/>
      <c r="P808" s="99"/>
      <c r="Q808" s="99"/>
      <c r="R808" s="99"/>
      <c r="S808" s="100"/>
      <c r="T808" s="100"/>
      <c r="U808" s="100"/>
      <c r="V808" s="100"/>
      <c r="W808" s="88"/>
      <c r="X808" s="89"/>
      <c r="Y808" s="90"/>
      <c r="Z808" s="90"/>
      <c r="AA808" s="90"/>
      <c r="AB808" s="90"/>
      <c r="AC808" s="90"/>
    </row>
    <row r="809">
      <c r="A809" s="104"/>
      <c r="B809" s="101"/>
      <c r="C809" s="105"/>
      <c r="D809" s="80"/>
      <c r="E809" s="81"/>
      <c r="F809" s="82"/>
      <c r="G809" s="83"/>
      <c r="H809" s="84">
        <f>G809*ENTRY!$O803</f>
        <v>0</v>
      </c>
      <c r="I809" s="84">
        <f>G809*ENTRY!$P803</f>
        <v>0</v>
      </c>
      <c r="J809" s="84">
        <f>G809*ENTRY!$Q803</f>
        <v>0</v>
      </c>
      <c r="K809" s="82"/>
      <c r="L809" s="82"/>
      <c r="M809" s="81"/>
      <c r="N809" s="85"/>
      <c r="O809" s="86"/>
      <c r="P809" s="86"/>
      <c r="Q809" s="86"/>
      <c r="R809" s="86"/>
      <c r="S809" s="87"/>
      <c r="T809" s="87"/>
      <c r="U809" s="87"/>
      <c r="V809" s="87"/>
      <c r="W809" s="88"/>
      <c r="X809" s="89"/>
      <c r="Y809" s="90"/>
      <c r="Z809" s="90"/>
      <c r="AA809" s="90"/>
      <c r="AB809" s="90"/>
      <c r="AC809" s="90"/>
    </row>
    <row r="810">
      <c r="A810" s="104"/>
      <c r="B810" s="101"/>
      <c r="C810" s="105"/>
      <c r="D810" s="93"/>
      <c r="E810" s="106"/>
      <c r="F810" s="107"/>
      <c r="G810" s="108"/>
      <c r="H810" s="97">
        <f>G810*ENTRY!$O804</f>
        <v>0</v>
      </c>
      <c r="I810" s="97">
        <f>G810*ENTRY!$P804</f>
        <v>0</v>
      </c>
      <c r="J810" s="97">
        <f>G810*ENTRY!$Q804</f>
        <v>0</v>
      </c>
      <c r="K810" s="95"/>
      <c r="L810" s="109"/>
      <c r="M810" s="106"/>
      <c r="N810" s="98"/>
      <c r="O810" s="99"/>
      <c r="P810" s="99"/>
      <c r="Q810" s="99"/>
      <c r="R810" s="99"/>
      <c r="S810" s="100"/>
      <c r="T810" s="100"/>
      <c r="U810" s="100"/>
      <c r="V810" s="100"/>
      <c r="W810" s="88"/>
      <c r="X810" s="89"/>
      <c r="Y810" s="90"/>
      <c r="Z810" s="90"/>
      <c r="AA810" s="90"/>
      <c r="AB810" s="90"/>
      <c r="AC810" s="90"/>
    </row>
    <row r="811">
      <c r="A811" s="104"/>
      <c r="B811" s="101"/>
      <c r="C811" s="105"/>
      <c r="D811" s="80"/>
      <c r="E811" s="81"/>
      <c r="F811" s="82"/>
      <c r="G811" s="83"/>
      <c r="H811" s="84">
        <f>G811*ENTRY!$O805</f>
        <v>0</v>
      </c>
      <c r="I811" s="84">
        <f>G811*ENTRY!$P805</f>
        <v>0</v>
      </c>
      <c r="J811" s="84">
        <f>G811*ENTRY!$Q805</f>
        <v>0</v>
      </c>
      <c r="K811" s="82"/>
      <c r="L811" s="82"/>
      <c r="M811" s="81"/>
      <c r="N811" s="85"/>
      <c r="O811" s="86"/>
      <c r="P811" s="86"/>
      <c r="Q811" s="86"/>
      <c r="R811" s="86"/>
      <c r="S811" s="87"/>
      <c r="T811" s="87"/>
      <c r="U811" s="87"/>
      <c r="V811" s="87"/>
      <c r="W811" s="88"/>
      <c r="X811" s="89"/>
      <c r="Y811" s="90"/>
      <c r="Z811" s="90"/>
      <c r="AA811" s="90"/>
      <c r="AB811" s="90"/>
      <c r="AC811" s="90"/>
    </row>
    <row r="812">
      <c r="A812" s="104"/>
      <c r="B812" s="101"/>
      <c r="C812" s="105"/>
      <c r="D812" s="93"/>
      <c r="E812" s="106"/>
      <c r="F812" s="107"/>
      <c r="G812" s="108"/>
      <c r="H812" s="97">
        <f>G812*ENTRY!$O806</f>
        <v>0</v>
      </c>
      <c r="I812" s="97">
        <f>G812*ENTRY!$P806</f>
        <v>0</v>
      </c>
      <c r="J812" s="97">
        <f>G812*ENTRY!$Q806</f>
        <v>0</v>
      </c>
      <c r="K812" s="95"/>
      <c r="L812" s="109"/>
      <c r="M812" s="106"/>
      <c r="N812" s="98"/>
      <c r="O812" s="99"/>
      <c r="P812" s="99"/>
      <c r="Q812" s="99"/>
      <c r="R812" s="99"/>
      <c r="S812" s="100"/>
      <c r="T812" s="100"/>
      <c r="U812" s="100"/>
      <c r="V812" s="100"/>
      <c r="W812" s="88"/>
      <c r="X812" s="89"/>
      <c r="Y812" s="90"/>
      <c r="Z812" s="90"/>
      <c r="AA812" s="90"/>
      <c r="AB812" s="90"/>
      <c r="AC812" s="90"/>
    </row>
    <row r="813">
      <c r="A813" s="104"/>
      <c r="B813" s="101"/>
      <c r="C813" s="105"/>
      <c r="D813" s="80"/>
      <c r="E813" s="81"/>
      <c r="F813" s="82"/>
      <c r="G813" s="83"/>
      <c r="H813" s="84">
        <f>G813*ENTRY!$O807</f>
        <v>0</v>
      </c>
      <c r="I813" s="84">
        <f>G813*ENTRY!$P807</f>
        <v>0</v>
      </c>
      <c r="J813" s="84">
        <f>G813*ENTRY!$Q807</f>
        <v>0</v>
      </c>
      <c r="K813" s="82"/>
      <c r="L813" s="82"/>
      <c r="M813" s="81"/>
      <c r="N813" s="85"/>
      <c r="O813" s="86"/>
      <c r="P813" s="86"/>
      <c r="Q813" s="86"/>
      <c r="R813" s="86"/>
      <c r="S813" s="87"/>
      <c r="T813" s="87"/>
      <c r="U813" s="87"/>
      <c r="V813" s="87"/>
      <c r="W813" s="88"/>
      <c r="X813" s="89"/>
      <c r="Y813" s="90"/>
      <c r="Z813" s="90"/>
      <c r="AA813" s="90"/>
      <c r="AB813" s="90"/>
      <c r="AC813" s="90"/>
    </row>
    <row r="814">
      <c r="A814" s="104"/>
      <c r="B814" s="101"/>
      <c r="C814" s="105"/>
      <c r="D814" s="93"/>
      <c r="E814" s="106"/>
      <c r="F814" s="107"/>
      <c r="G814" s="108"/>
      <c r="H814" s="97">
        <f>G814*ENTRY!$O808</f>
        <v>0</v>
      </c>
      <c r="I814" s="97">
        <f>G814*ENTRY!$P808</f>
        <v>0</v>
      </c>
      <c r="J814" s="97">
        <f>G814*ENTRY!$Q808</f>
        <v>0</v>
      </c>
      <c r="K814" s="95"/>
      <c r="L814" s="109"/>
      <c r="M814" s="106"/>
      <c r="N814" s="98"/>
      <c r="O814" s="99"/>
      <c r="P814" s="99"/>
      <c r="Q814" s="99"/>
      <c r="R814" s="99"/>
      <c r="S814" s="100"/>
      <c r="T814" s="100"/>
      <c r="U814" s="100"/>
      <c r="V814" s="100"/>
      <c r="W814" s="88"/>
      <c r="X814" s="89"/>
      <c r="Y814" s="90"/>
      <c r="Z814" s="90"/>
      <c r="AA814" s="90"/>
      <c r="AB814" s="90"/>
      <c r="AC814" s="90"/>
    </row>
    <row r="815">
      <c r="A815" s="104"/>
      <c r="B815" s="101"/>
      <c r="C815" s="105"/>
      <c r="D815" s="80"/>
      <c r="E815" s="81"/>
      <c r="F815" s="82"/>
      <c r="G815" s="83"/>
      <c r="H815" s="84">
        <f>G815*ENTRY!$O809</f>
        <v>0</v>
      </c>
      <c r="I815" s="84">
        <f>G815*ENTRY!$P809</f>
        <v>0</v>
      </c>
      <c r="J815" s="84">
        <f>G815*ENTRY!$Q809</f>
        <v>0</v>
      </c>
      <c r="K815" s="82"/>
      <c r="L815" s="82"/>
      <c r="M815" s="81"/>
      <c r="N815" s="85"/>
      <c r="O815" s="86"/>
      <c r="P815" s="86"/>
      <c r="Q815" s="86"/>
      <c r="R815" s="86"/>
      <c r="S815" s="87"/>
      <c r="T815" s="87"/>
      <c r="U815" s="87"/>
      <c r="V815" s="87"/>
      <c r="W815" s="88"/>
      <c r="X815" s="89"/>
      <c r="Y815" s="90"/>
      <c r="Z815" s="90"/>
      <c r="AA815" s="90"/>
      <c r="AB815" s="90"/>
      <c r="AC815" s="90"/>
    </row>
    <row r="816">
      <c r="A816" s="104"/>
      <c r="B816" s="101"/>
      <c r="C816" s="105"/>
      <c r="D816" s="93"/>
      <c r="E816" s="106"/>
      <c r="F816" s="107"/>
      <c r="G816" s="108"/>
      <c r="H816" s="97">
        <f>G816*ENTRY!$O810</f>
        <v>0</v>
      </c>
      <c r="I816" s="97">
        <f>G816*ENTRY!$P810</f>
        <v>0</v>
      </c>
      <c r="J816" s="97">
        <f>G816*ENTRY!$Q810</f>
        <v>0</v>
      </c>
      <c r="K816" s="95"/>
      <c r="L816" s="109"/>
      <c r="M816" s="106"/>
      <c r="N816" s="98"/>
      <c r="O816" s="99"/>
      <c r="P816" s="99"/>
      <c r="Q816" s="99"/>
      <c r="R816" s="99"/>
      <c r="S816" s="100"/>
      <c r="T816" s="100"/>
      <c r="U816" s="100"/>
      <c r="V816" s="100"/>
      <c r="W816" s="88"/>
      <c r="X816" s="89"/>
      <c r="Y816" s="90"/>
      <c r="Z816" s="90"/>
      <c r="AA816" s="90"/>
      <c r="AB816" s="90"/>
      <c r="AC816" s="90"/>
    </row>
    <row r="817">
      <c r="A817" s="104"/>
      <c r="B817" s="101"/>
      <c r="C817" s="105"/>
      <c r="D817" s="80"/>
      <c r="E817" s="81"/>
      <c r="F817" s="82"/>
      <c r="G817" s="83"/>
      <c r="H817" s="84">
        <f>G817*ENTRY!$O811</f>
        <v>0</v>
      </c>
      <c r="I817" s="84">
        <f>G817*ENTRY!$P811</f>
        <v>0</v>
      </c>
      <c r="J817" s="84">
        <f>G817*ENTRY!$Q811</f>
        <v>0</v>
      </c>
      <c r="K817" s="82"/>
      <c r="L817" s="82"/>
      <c r="M817" s="81"/>
      <c r="N817" s="85"/>
      <c r="O817" s="86"/>
      <c r="P817" s="86"/>
      <c r="Q817" s="86"/>
      <c r="R817" s="86"/>
      <c r="S817" s="87"/>
      <c r="T817" s="87"/>
      <c r="U817" s="87"/>
      <c r="V817" s="87"/>
      <c r="W817" s="88"/>
      <c r="X817" s="89"/>
      <c r="Y817" s="90"/>
      <c r="Z817" s="90"/>
      <c r="AA817" s="90"/>
      <c r="AB817" s="90"/>
      <c r="AC817" s="90"/>
    </row>
    <row r="818">
      <c r="A818" s="104"/>
      <c r="B818" s="101"/>
      <c r="C818" s="105"/>
      <c r="D818" s="93"/>
      <c r="E818" s="106"/>
      <c r="F818" s="107"/>
      <c r="G818" s="108"/>
      <c r="H818" s="97">
        <f>G818*ENTRY!$O812</f>
        <v>0</v>
      </c>
      <c r="I818" s="97">
        <f>G818*ENTRY!$P812</f>
        <v>0</v>
      </c>
      <c r="J818" s="97">
        <f>G818*ENTRY!$Q812</f>
        <v>0</v>
      </c>
      <c r="K818" s="95"/>
      <c r="L818" s="109"/>
      <c r="M818" s="106"/>
      <c r="N818" s="98"/>
      <c r="O818" s="99"/>
      <c r="P818" s="99"/>
      <c r="Q818" s="99"/>
      <c r="R818" s="99"/>
      <c r="S818" s="100"/>
      <c r="T818" s="100"/>
      <c r="U818" s="100"/>
      <c r="V818" s="100"/>
      <c r="W818" s="88"/>
      <c r="X818" s="89"/>
      <c r="Y818" s="90"/>
      <c r="Z818" s="90"/>
      <c r="AA818" s="90"/>
      <c r="AB818" s="90"/>
      <c r="AC818" s="90"/>
    </row>
    <row r="819">
      <c r="A819" s="104"/>
      <c r="B819" s="101"/>
      <c r="C819" s="105"/>
      <c r="D819" s="80"/>
      <c r="E819" s="81"/>
      <c r="F819" s="82"/>
      <c r="G819" s="83"/>
      <c r="H819" s="84">
        <f>G819*ENTRY!$O813</f>
        <v>0</v>
      </c>
      <c r="I819" s="84">
        <f>G819*ENTRY!$P813</f>
        <v>0</v>
      </c>
      <c r="J819" s="84">
        <f>G819*ENTRY!$Q813</f>
        <v>0</v>
      </c>
      <c r="K819" s="82"/>
      <c r="L819" s="82"/>
      <c r="M819" s="81"/>
      <c r="N819" s="85"/>
      <c r="O819" s="86"/>
      <c r="P819" s="86"/>
      <c r="Q819" s="86"/>
      <c r="R819" s="86"/>
      <c r="S819" s="87"/>
      <c r="T819" s="87"/>
      <c r="U819" s="87"/>
      <c r="V819" s="87"/>
      <c r="W819" s="88"/>
      <c r="X819" s="89"/>
      <c r="Y819" s="90"/>
      <c r="Z819" s="90"/>
      <c r="AA819" s="90"/>
      <c r="AB819" s="90"/>
      <c r="AC819" s="90"/>
    </row>
    <row r="820">
      <c r="A820" s="104"/>
      <c r="B820" s="101"/>
      <c r="C820" s="105"/>
      <c r="D820" s="93"/>
      <c r="E820" s="106"/>
      <c r="F820" s="107"/>
      <c r="G820" s="108"/>
      <c r="H820" s="97">
        <f>G820*ENTRY!$O814</f>
        <v>0</v>
      </c>
      <c r="I820" s="97">
        <f>G820*ENTRY!$P814</f>
        <v>0</v>
      </c>
      <c r="J820" s="97">
        <f>G820*ENTRY!$Q814</f>
        <v>0</v>
      </c>
      <c r="K820" s="95"/>
      <c r="L820" s="109"/>
      <c r="M820" s="106"/>
      <c r="N820" s="98"/>
      <c r="O820" s="99"/>
      <c r="P820" s="99"/>
      <c r="Q820" s="99"/>
      <c r="R820" s="99"/>
      <c r="S820" s="100"/>
      <c r="T820" s="100"/>
      <c r="U820" s="100"/>
      <c r="V820" s="100"/>
      <c r="W820" s="88"/>
      <c r="X820" s="89"/>
      <c r="Y820" s="90"/>
      <c r="Z820" s="90"/>
      <c r="AA820" s="90"/>
      <c r="AB820" s="90"/>
      <c r="AC820" s="90"/>
    </row>
    <row r="821">
      <c r="A821" s="104"/>
      <c r="B821" s="101"/>
      <c r="C821" s="105"/>
      <c r="D821" s="80"/>
      <c r="E821" s="81"/>
      <c r="F821" s="82"/>
      <c r="G821" s="83"/>
      <c r="H821" s="84">
        <f>G821*ENTRY!$O815</f>
        <v>0</v>
      </c>
      <c r="I821" s="84">
        <f>G821*ENTRY!$P815</f>
        <v>0</v>
      </c>
      <c r="J821" s="84">
        <f>G821*ENTRY!$Q815</f>
        <v>0</v>
      </c>
      <c r="K821" s="82"/>
      <c r="L821" s="82"/>
      <c r="M821" s="81"/>
      <c r="N821" s="85"/>
      <c r="O821" s="86"/>
      <c r="P821" s="86"/>
      <c r="Q821" s="86"/>
      <c r="R821" s="86"/>
      <c r="S821" s="87"/>
      <c r="T821" s="87"/>
      <c r="U821" s="87"/>
      <c r="V821" s="87"/>
      <c r="W821" s="88"/>
      <c r="X821" s="89"/>
      <c r="Y821" s="90"/>
      <c r="Z821" s="90"/>
      <c r="AA821" s="90"/>
      <c r="AB821" s="90"/>
      <c r="AC821" s="90"/>
    </row>
    <row r="822">
      <c r="A822" s="104"/>
      <c r="B822" s="101"/>
      <c r="C822" s="105"/>
      <c r="D822" s="93"/>
      <c r="E822" s="106"/>
      <c r="F822" s="107"/>
      <c r="G822" s="108"/>
      <c r="H822" s="97">
        <f>G822*ENTRY!$O816</f>
        <v>0</v>
      </c>
      <c r="I822" s="97">
        <f>G822*ENTRY!$P816</f>
        <v>0</v>
      </c>
      <c r="J822" s="97">
        <f>G822*ENTRY!$Q816</f>
        <v>0</v>
      </c>
      <c r="K822" s="95"/>
      <c r="L822" s="109"/>
      <c r="M822" s="106"/>
      <c r="N822" s="98"/>
      <c r="O822" s="99"/>
      <c r="P822" s="99"/>
      <c r="Q822" s="99"/>
      <c r="R822" s="99"/>
      <c r="S822" s="100"/>
      <c r="T822" s="100"/>
      <c r="U822" s="100"/>
      <c r="V822" s="100"/>
      <c r="W822" s="88"/>
      <c r="X822" s="89"/>
      <c r="Y822" s="90"/>
      <c r="Z822" s="90"/>
      <c r="AA822" s="90"/>
      <c r="AB822" s="90"/>
      <c r="AC822" s="90"/>
    </row>
    <row r="823">
      <c r="A823" s="104"/>
      <c r="B823" s="101"/>
      <c r="C823" s="105"/>
      <c r="D823" s="80"/>
      <c r="E823" s="81"/>
      <c r="F823" s="82"/>
      <c r="G823" s="83"/>
      <c r="H823" s="84">
        <f>G823*ENTRY!$O817</f>
        <v>0</v>
      </c>
      <c r="I823" s="84">
        <f>G823*ENTRY!$P817</f>
        <v>0</v>
      </c>
      <c r="J823" s="84">
        <f>G823*ENTRY!$Q817</f>
        <v>0</v>
      </c>
      <c r="K823" s="82"/>
      <c r="L823" s="82"/>
      <c r="M823" s="81"/>
      <c r="N823" s="85"/>
      <c r="O823" s="86"/>
      <c r="P823" s="86"/>
      <c r="Q823" s="86"/>
      <c r="R823" s="86"/>
      <c r="S823" s="87"/>
      <c r="T823" s="87"/>
      <c r="U823" s="87"/>
      <c r="V823" s="87"/>
      <c r="W823" s="88"/>
      <c r="X823" s="89"/>
      <c r="Y823" s="90"/>
      <c r="Z823" s="90"/>
      <c r="AA823" s="90"/>
      <c r="AB823" s="90"/>
      <c r="AC823" s="90"/>
    </row>
    <row r="824">
      <c r="A824" s="104"/>
      <c r="B824" s="101"/>
      <c r="C824" s="105"/>
      <c r="D824" s="93"/>
      <c r="E824" s="106"/>
      <c r="F824" s="107"/>
      <c r="G824" s="108"/>
      <c r="H824" s="97">
        <f>G824*ENTRY!$O818</f>
        <v>0</v>
      </c>
      <c r="I824" s="97">
        <f>G824*ENTRY!$P818</f>
        <v>0</v>
      </c>
      <c r="J824" s="97">
        <f>G824*ENTRY!$Q818</f>
        <v>0</v>
      </c>
      <c r="K824" s="95"/>
      <c r="L824" s="109"/>
      <c r="M824" s="106"/>
      <c r="N824" s="98"/>
      <c r="O824" s="99"/>
      <c r="P824" s="99"/>
      <c r="Q824" s="99"/>
      <c r="R824" s="99"/>
      <c r="S824" s="100"/>
      <c r="T824" s="100"/>
      <c r="U824" s="100"/>
      <c r="V824" s="100"/>
      <c r="W824" s="88"/>
      <c r="X824" s="89"/>
      <c r="Y824" s="90"/>
      <c r="Z824" s="90"/>
      <c r="AA824" s="90"/>
      <c r="AB824" s="90"/>
      <c r="AC824" s="90"/>
    </row>
    <row r="825">
      <c r="A825" s="104"/>
      <c r="B825" s="101"/>
      <c r="C825" s="105"/>
      <c r="D825" s="80"/>
      <c r="E825" s="81"/>
      <c r="F825" s="82"/>
      <c r="G825" s="83"/>
      <c r="H825" s="84">
        <f>G825*ENTRY!$O819</f>
        <v>0</v>
      </c>
      <c r="I825" s="84">
        <f>G825*ENTRY!$P819</f>
        <v>0</v>
      </c>
      <c r="J825" s="84">
        <f>G825*ENTRY!$Q819</f>
        <v>0</v>
      </c>
      <c r="K825" s="82"/>
      <c r="L825" s="82"/>
      <c r="M825" s="81"/>
      <c r="N825" s="85"/>
      <c r="O825" s="86"/>
      <c r="P825" s="86"/>
      <c r="Q825" s="86"/>
      <c r="R825" s="86"/>
      <c r="S825" s="87"/>
      <c r="T825" s="87"/>
      <c r="U825" s="87"/>
      <c r="V825" s="87"/>
      <c r="W825" s="88"/>
      <c r="X825" s="89"/>
      <c r="Y825" s="90"/>
      <c r="Z825" s="90"/>
      <c r="AA825" s="90"/>
      <c r="AB825" s="90"/>
      <c r="AC825" s="90"/>
    </row>
    <row r="826">
      <c r="A826" s="104"/>
      <c r="B826" s="101"/>
      <c r="C826" s="105"/>
      <c r="D826" s="93"/>
      <c r="E826" s="106"/>
      <c r="F826" s="107"/>
      <c r="G826" s="108"/>
      <c r="H826" s="97">
        <f>G826*ENTRY!$O820</f>
        <v>0</v>
      </c>
      <c r="I826" s="97">
        <f>G826*ENTRY!$P820</f>
        <v>0</v>
      </c>
      <c r="J826" s="97">
        <f>G826*ENTRY!$Q820</f>
        <v>0</v>
      </c>
      <c r="K826" s="95"/>
      <c r="L826" s="109"/>
      <c r="M826" s="106"/>
      <c r="N826" s="98"/>
      <c r="O826" s="99"/>
      <c r="P826" s="99"/>
      <c r="Q826" s="99"/>
      <c r="R826" s="99"/>
      <c r="S826" s="100"/>
      <c r="T826" s="100"/>
      <c r="U826" s="100"/>
      <c r="V826" s="100"/>
      <c r="W826" s="88"/>
      <c r="X826" s="89"/>
      <c r="Y826" s="90"/>
      <c r="Z826" s="90"/>
      <c r="AA826" s="90"/>
      <c r="AB826" s="90"/>
      <c r="AC826" s="90"/>
    </row>
    <row r="827">
      <c r="A827" s="104"/>
      <c r="B827" s="101"/>
      <c r="C827" s="105"/>
      <c r="D827" s="80"/>
      <c r="E827" s="81"/>
      <c r="F827" s="82"/>
      <c r="G827" s="83"/>
      <c r="H827" s="84">
        <f>G827*ENTRY!$O821</f>
        <v>0</v>
      </c>
      <c r="I827" s="84">
        <f>G827*ENTRY!$P821</f>
        <v>0</v>
      </c>
      <c r="J827" s="84">
        <f>G827*ENTRY!$Q821</f>
        <v>0</v>
      </c>
      <c r="K827" s="82"/>
      <c r="L827" s="82"/>
      <c r="M827" s="81"/>
      <c r="N827" s="85"/>
      <c r="O827" s="86"/>
      <c r="P827" s="86"/>
      <c r="Q827" s="86"/>
      <c r="R827" s="86"/>
      <c r="S827" s="87"/>
      <c r="T827" s="87"/>
      <c r="U827" s="87"/>
      <c r="V827" s="87"/>
      <c r="W827" s="88"/>
      <c r="X827" s="89"/>
      <c r="Y827" s="90"/>
      <c r="Z827" s="90"/>
      <c r="AA827" s="90"/>
      <c r="AB827" s="90"/>
      <c r="AC827" s="90"/>
    </row>
    <row r="828">
      <c r="A828" s="104"/>
      <c r="B828" s="101"/>
      <c r="C828" s="105"/>
      <c r="D828" s="93"/>
      <c r="E828" s="106"/>
      <c r="F828" s="107"/>
      <c r="G828" s="108"/>
      <c r="H828" s="97">
        <f>G828*ENTRY!$O822</f>
        <v>0</v>
      </c>
      <c r="I828" s="97">
        <f>G828*ENTRY!$P822</f>
        <v>0</v>
      </c>
      <c r="J828" s="97">
        <f>G828*ENTRY!$Q822</f>
        <v>0</v>
      </c>
      <c r="K828" s="95"/>
      <c r="L828" s="109"/>
      <c r="M828" s="106"/>
      <c r="N828" s="98"/>
      <c r="O828" s="99"/>
      <c r="P828" s="99"/>
      <c r="Q828" s="99"/>
      <c r="R828" s="99"/>
      <c r="S828" s="100"/>
      <c r="T828" s="100"/>
      <c r="U828" s="100"/>
      <c r="V828" s="100"/>
      <c r="W828" s="88"/>
      <c r="X828" s="89"/>
      <c r="Y828" s="90"/>
      <c r="Z828" s="90"/>
      <c r="AA828" s="90"/>
      <c r="AB828" s="90"/>
      <c r="AC828" s="90"/>
    </row>
    <row r="829">
      <c r="A829" s="104"/>
      <c r="B829" s="101"/>
      <c r="C829" s="105"/>
      <c r="D829" s="80"/>
      <c r="E829" s="81"/>
      <c r="F829" s="82"/>
      <c r="G829" s="83"/>
      <c r="H829" s="84">
        <f>G829*ENTRY!$O823</f>
        <v>0</v>
      </c>
      <c r="I829" s="84">
        <f>G829*ENTRY!$P823</f>
        <v>0</v>
      </c>
      <c r="J829" s="84">
        <f>G829*ENTRY!$Q823</f>
        <v>0</v>
      </c>
      <c r="K829" s="82"/>
      <c r="L829" s="82"/>
      <c r="M829" s="81"/>
      <c r="N829" s="85"/>
      <c r="O829" s="86"/>
      <c r="P829" s="86"/>
      <c r="Q829" s="86"/>
      <c r="R829" s="86"/>
      <c r="S829" s="87"/>
      <c r="T829" s="87"/>
      <c r="U829" s="87"/>
      <c r="V829" s="87"/>
      <c r="W829" s="88"/>
      <c r="X829" s="89"/>
      <c r="Y829" s="90"/>
      <c r="Z829" s="90"/>
      <c r="AA829" s="90"/>
      <c r="AB829" s="90"/>
      <c r="AC829" s="90"/>
    </row>
    <row r="830">
      <c r="A830" s="104"/>
      <c r="B830" s="101"/>
      <c r="C830" s="105"/>
      <c r="D830" s="93"/>
      <c r="E830" s="106"/>
      <c r="F830" s="107"/>
      <c r="G830" s="108"/>
      <c r="H830" s="97">
        <f>G830*ENTRY!$O824</f>
        <v>0</v>
      </c>
      <c r="I830" s="97">
        <f>G830*ENTRY!$P824</f>
        <v>0</v>
      </c>
      <c r="J830" s="97">
        <f>G830*ENTRY!$Q824</f>
        <v>0</v>
      </c>
      <c r="K830" s="95"/>
      <c r="L830" s="109"/>
      <c r="M830" s="106"/>
      <c r="N830" s="98"/>
      <c r="O830" s="99"/>
      <c r="P830" s="99"/>
      <c r="Q830" s="99"/>
      <c r="R830" s="99"/>
      <c r="S830" s="100"/>
      <c r="T830" s="100"/>
      <c r="U830" s="100"/>
      <c r="V830" s="100"/>
      <c r="W830" s="88"/>
      <c r="X830" s="89"/>
      <c r="Y830" s="90"/>
      <c r="Z830" s="90"/>
      <c r="AA830" s="90"/>
      <c r="AB830" s="90"/>
      <c r="AC830" s="90"/>
    </row>
    <row r="831">
      <c r="A831" s="104"/>
      <c r="B831" s="101"/>
      <c r="C831" s="105"/>
      <c r="D831" s="80"/>
      <c r="E831" s="81"/>
      <c r="F831" s="82"/>
      <c r="G831" s="83"/>
      <c r="H831" s="84">
        <f>G831*ENTRY!$O825</f>
        <v>0</v>
      </c>
      <c r="I831" s="84">
        <f>G831*ENTRY!$P825</f>
        <v>0</v>
      </c>
      <c r="J831" s="84">
        <f>G831*ENTRY!$Q825</f>
        <v>0</v>
      </c>
      <c r="K831" s="82"/>
      <c r="L831" s="82"/>
      <c r="M831" s="81"/>
      <c r="N831" s="85"/>
      <c r="O831" s="86"/>
      <c r="P831" s="86"/>
      <c r="Q831" s="86"/>
      <c r="R831" s="86"/>
      <c r="S831" s="87"/>
      <c r="T831" s="87"/>
      <c r="U831" s="87"/>
      <c r="V831" s="87"/>
      <c r="W831" s="88"/>
      <c r="X831" s="89"/>
      <c r="Y831" s="90"/>
      <c r="Z831" s="90"/>
      <c r="AA831" s="90"/>
      <c r="AB831" s="90"/>
      <c r="AC831" s="90"/>
    </row>
    <row r="832">
      <c r="A832" s="104"/>
      <c r="B832" s="101"/>
      <c r="C832" s="105"/>
      <c r="D832" s="93"/>
      <c r="E832" s="106"/>
      <c r="F832" s="107"/>
      <c r="G832" s="108"/>
      <c r="H832" s="97">
        <f>G832*ENTRY!$O826</f>
        <v>0</v>
      </c>
      <c r="I832" s="97">
        <f>G832*ENTRY!$P826</f>
        <v>0</v>
      </c>
      <c r="J832" s="97">
        <f>G832*ENTRY!$Q826</f>
        <v>0</v>
      </c>
      <c r="K832" s="95"/>
      <c r="L832" s="109"/>
      <c r="M832" s="106"/>
      <c r="N832" s="98"/>
      <c r="O832" s="99"/>
      <c r="P832" s="99"/>
      <c r="Q832" s="99"/>
      <c r="R832" s="99"/>
      <c r="S832" s="100"/>
      <c r="T832" s="100"/>
      <c r="U832" s="100"/>
      <c r="V832" s="100"/>
      <c r="W832" s="88"/>
      <c r="X832" s="89"/>
      <c r="Y832" s="90"/>
      <c r="Z832" s="90"/>
      <c r="AA832" s="90"/>
      <c r="AB832" s="90"/>
      <c r="AC832" s="90"/>
    </row>
    <row r="833">
      <c r="A833" s="104"/>
      <c r="B833" s="101"/>
      <c r="C833" s="105"/>
      <c r="D833" s="80"/>
      <c r="E833" s="81"/>
      <c r="F833" s="82"/>
      <c r="G833" s="83"/>
      <c r="H833" s="84">
        <f>G833*ENTRY!$O827</f>
        <v>0</v>
      </c>
      <c r="I833" s="84">
        <f>G833*ENTRY!$P827</f>
        <v>0</v>
      </c>
      <c r="J833" s="84">
        <f>G833*ENTRY!$Q827</f>
        <v>0</v>
      </c>
      <c r="K833" s="82"/>
      <c r="L833" s="82"/>
      <c r="M833" s="81"/>
      <c r="N833" s="85"/>
      <c r="O833" s="86"/>
      <c r="P833" s="86"/>
      <c r="Q833" s="86"/>
      <c r="R833" s="86"/>
      <c r="S833" s="87"/>
      <c r="T833" s="87"/>
      <c r="U833" s="87"/>
      <c r="V833" s="87"/>
      <c r="W833" s="88"/>
      <c r="X833" s="89"/>
      <c r="Y833" s="90"/>
      <c r="Z833" s="90"/>
      <c r="AA833" s="90"/>
      <c r="AB833" s="90"/>
      <c r="AC833" s="90"/>
    </row>
    <row r="834">
      <c r="A834" s="104"/>
      <c r="B834" s="101"/>
      <c r="C834" s="105"/>
      <c r="D834" s="93"/>
      <c r="E834" s="106"/>
      <c r="F834" s="107"/>
      <c r="G834" s="108"/>
      <c r="H834" s="97">
        <f>G834*ENTRY!$O828</f>
        <v>0</v>
      </c>
      <c r="I834" s="97">
        <f>G834*ENTRY!$P828</f>
        <v>0</v>
      </c>
      <c r="J834" s="97">
        <f>G834*ENTRY!$Q828</f>
        <v>0</v>
      </c>
      <c r="K834" s="95"/>
      <c r="L834" s="109"/>
      <c r="M834" s="106"/>
      <c r="N834" s="98"/>
      <c r="O834" s="99"/>
      <c r="P834" s="99"/>
      <c r="Q834" s="99"/>
      <c r="R834" s="99"/>
      <c r="S834" s="100"/>
      <c r="T834" s="100"/>
      <c r="U834" s="100"/>
      <c r="V834" s="100"/>
      <c r="W834" s="88"/>
      <c r="X834" s="89"/>
      <c r="Y834" s="90"/>
      <c r="Z834" s="90"/>
      <c r="AA834" s="90"/>
      <c r="AB834" s="90"/>
      <c r="AC834" s="90"/>
    </row>
    <row r="835">
      <c r="A835" s="104"/>
      <c r="B835" s="101"/>
      <c r="C835" s="105"/>
      <c r="D835" s="80"/>
      <c r="E835" s="81"/>
      <c r="F835" s="82"/>
      <c r="G835" s="83"/>
      <c r="H835" s="84">
        <f>G835*ENTRY!$O829</f>
        <v>0</v>
      </c>
      <c r="I835" s="84">
        <f>G835*ENTRY!$P829</f>
        <v>0</v>
      </c>
      <c r="J835" s="84">
        <f>G835*ENTRY!$Q829</f>
        <v>0</v>
      </c>
      <c r="K835" s="82"/>
      <c r="L835" s="82"/>
      <c r="M835" s="81"/>
      <c r="N835" s="85"/>
      <c r="O835" s="86"/>
      <c r="P835" s="86"/>
      <c r="Q835" s="86"/>
      <c r="R835" s="86"/>
      <c r="S835" s="87"/>
      <c r="T835" s="87"/>
      <c r="U835" s="87"/>
      <c r="V835" s="87"/>
      <c r="W835" s="88"/>
      <c r="X835" s="89"/>
      <c r="Y835" s="90"/>
      <c r="Z835" s="90"/>
      <c r="AA835" s="90"/>
      <c r="AB835" s="90"/>
      <c r="AC835" s="90"/>
    </row>
    <row r="836">
      <c r="A836" s="104"/>
      <c r="B836" s="101"/>
      <c r="C836" s="105"/>
      <c r="D836" s="93"/>
      <c r="E836" s="106"/>
      <c r="F836" s="107"/>
      <c r="G836" s="108"/>
      <c r="H836" s="97">
        <f>G836*ENTRY!$O830</f>
        <v>0</v>
      </c>
      <c r="I836" s="97">
        <f>G836*ENTRY!$P830</f>
        <v>0</v>
      </c>
      <c r="J836" s="97">
        <f>G836*ENTRY!$Q830</f>
        <v>0</v>
      </c>
      <c r="K836" s="95"/>
      <c r="L836" s="109"/>
      <c r="M836" s="106"/>
      <c r="N836" s="98"/>
      <c r="O836" s="99"/>
      <c r="P836" s="99"/>
      <c r="Q836" s="99"/>
      <c r="R836" s="99"/>
      <c r="S836" s="100"/>
      <c r="T836" s="100"/>
      <c r="U836" s="100"/>
      <c r="V836" s="100"/>
      <c r="W836" s="88"/>
      <c r="X836" s="89"/>
      <c r="Y836" s="90"/>
      <c r="Z836" s="90"/>
      <c r="AA836" s="90"/>
      <c r="AB836" s="90"/>
      <c r="AC836" s="90"/>
    </row>
    <row r="837">
      <c r="A837" s="104"/>
      <c r="B837" s="101"/>
      <c r="C837" s="105"/>
      <c r="D837" s="80"/>
      <c r="E837" s="81"/>
      <c r="F837" s="82"/>
      <c r="G837" s="83"/>
      <c r="H837" s="84">
        <f>G837*ENTRY!$O831</f>
        <v>0</v>
      </c>
      <c r="I837" s="84">
        <f>G837*ENTRY!$P831</f>
        <v>0</v>
      </c>
      <c r="J837" s="84">
        <f>G837*ENTRY!$Q831</f>
        <v>0</v>
      </c>
      <c r="K837" s="82"/>
      <c r="L837" s="82"/>
      <c r="M837" s="81"/>
      <c r="N837" s="85"/>
      <c r="O837" s="86"/>
      <c r="P837" s="86"/>
      <c r="Q837" s="86"/>
      <c r="R837" s="86"/>
      <c r="S837" s="87"/>
      <c r="T837" s="87"/>
      <c r="U837" s="87"/>
      <c r="V837" s="87"/>
      <c r="W837" s="88"/>
      <c r="X837" s="89"/>
      <c r="Y837" s="90"/>
      <c r="Z837" s="90"/>
      <c r="AA837" s="90"/>
      <c r="AB837" s="90"/>
      <c r="AC837" s="90"/>
    </row>
    <row r="838">
      <c r="A838" s="104"/>
      <c r="B838" s="101"/>
      <c r="C838" s="105"/>
      <c r="D838" s="93"/>
      <c r="E838" s="106"/>
      <c r="F838" s="107"/>
      <c r="G838" s="108"/>
      <c r="H838" s="97">
        <f>G838*ENTRY!$O832</f>
        <v>0</v>
      </c>
      <c r="I838" s="97">
        <f>G838*ENTRY!$P832</f>
        <v>0</v>
      </c>
      <c r="J838" s="97">
        <f>G838*ENTRY!$Q832</f>
        <v>0</v>
      </c>
      <c r="K838" s="95"/>
      <c r="L838" s="109"/>
      <c r="M838" s="106"/>
      <c r="N838" s="98"/>
      <c r="O838" s="99"/>
      <c r="P838" s="99"/>
      <c r="Q838" s="99"/>
      <c r="R838" s="99"/>
      <c r="S838" s="100"/>
      <c r="T838" s="100"/>
      <c r="U838" s="100"/>
      <c r="V838" s="100"/>
      <c r="W838" s="88"/>
      <c r="X838" s="89"/>
      <c r="Y838" s="90"/>
      <c r="Z838" s="90"/>
      <c r="AA838" s="90"/>
      <c r="AB838" s="90"/>
      <c r="AC838" s="90"/>
    </row>
    <row r="839">
      <c r="A839" s="104"/>
      <c r="B839" s="101"/>
      <c r="C839" s="105"/>
      <c r="D839" s="80"/>
      <c r="E839" s="81"/>
      <c r="F839" s="82"/>
      <c r="G839" s="83"/>
      <c r="H839" s="84">
        <f>G839*ENTRY!$O833</f>
        <v>0</v>
      </c>
      <c r="I839" s="84">
        <f>G839*ENTRY!$P833</f>
        <v>0</v>
      </c>
      <c r="J839" s="84">
        <f>G839*ENTRY!$Q833</f>
        <v>0</v>
      </c>
      <c r="K839" s="82"/>
      <c r="L839" s="82"/>
      <c r="M839" s="81"/>
      <c r="N839" s="85"/>
      <c r="O839" s="86"/>
      <c r="P839" s="86"/>
      <c r="Q839" s="86"/>
      <c r="R839" s="86"/>
      <c r="S839" s="87"/>
      <c r="T839" s="87"/>
      <c r="U839" s="87"/>
      <c r="V839" s="87"/>
      <c r="W839" s="88"/>
      <c r="X839" s="89"/>
      <c r="Y839" s="90"/>
      <c r="Z839" s="90"/>
      <c r="AA839" s="90"/>
      <c r="AB839" s="90"/>
      <c r="AC839" s="90"/>
    </row>
    <row r="840">
      <c r="A840" s="104"/>
      <c r="B840" s="101"/>
      <c r="C840" s="105"/>
      <c r="D840" s="93"/>
      <c r="E840" s="106"/>
      <c r="F840" s="107"/>
      <c r="G840" s="108"/>
      <c r="H840" s="97">
        <f>G840*ENTRY!$O834</f>
        <v>0</v>
      </c>
      <c r="I840" s="97">
        <f>G840*ENTRY!$P834</f>
        <v>0</v>
      </c>
      <c r="J840" s="97">
        <f>G840*ENTRY!$Q834</f>
        <v>0</v>
      </c>
      <c r="K840" s="95"/>
      <c r="L840" s="109"/>
      <c r="M840" s="106"/>
      <c r="N840" s="98"/>
      <c r="O840" s="99"/>
      <c r="P840" s="99"/>
      <c r="Q840" s="99"/>
      <c r="R840" s="99"/>
      <c r="S840" s="100"/>
      <c r="T840" s="100"/>
      <c r="U840" s="100"/>
      <c r="V840" s="100"/>
      <c r="W840" s="88"/>
      <c r="X840" s="89"/>
      <c r="Y840" s="90"/>
      <c r="Z840" s="90"/>
      <c r="AA840" s="90"/>
      <c r="AB840" s="90"/>
      <c r="AC840" s="90"/>
    </row>
    <row r="841">
      <c r="A841" s="104"/>
      <c r="B841" s="101"/>
      <c r="C841" s="105"/>
      <c r="D841" s="80"/>
      <c r="E841" s="81"/>
      <c r="F841" s="82"/>
      <c r="G841" s="83"/>
      <c r="H841" s="84">
        <f>G841*ENTRY!$O835</f>
        <v>0</v>
      </c>
      <c r="I841" s="84">
        <f>G841*ENTRY!$P835</f>
        <v>0</v>
      </c>
      <c r="J841" s="84">
        <f>G841*ENTRY!$Q835</f>
        <v>0</v>
      </c>
      <c r="K841" s="82"/>
      <c r="L841" s="82"/>
      <c r="M841" s="81"/>
      <c r="N841" s="85"/>
      <c r="O841" s="86"/>
      <c r="P841" s="86"/>
      <c r="Q841" s="86"/>
      <c r="R841" s="86"/>
      <c r="S841" s="87"/>
      <c r="T841" s="87"/>
      <c r="U841" s="87"/>
      <c r="V841" s="87"/>
      <c r="W841" s="88"/>
      <c r="X841" s="89"/>
      <c r="Y841" s="90"/>
      <c r="Z841" s="90"/>
      <c r="AA841" s="90"/>
      <c r="AB841" s="90"/>
      <c r="AC841" s="90"/>
    </row>
    <row r="842">
      <c r="A842" s="104"/>
      <c r="B842" s="101"/>
      <c r="C842" s="105"/>
      <c r="D842" s="93"/>
      <c r="E842" s="106"/>
      <c r="F842" s="107"/>
      <c r="G842" s="108"/>
      <c r="H842" s="97">
        <f>G842*ENTRY!$O836</f>
        <v>0</v>
      </c>
      <c r="I842" s="97">
        <f>G842*ENTRY!$P836</f>
        <v>0</v>
      </c>
      <c r="J842" s="97">
        <f>G842*ENTRY!$Q836</f>
        <v>0</v>
      </c>
      <c r="K842" s="95"/>
      <c r="L842" s="109"/>
      <c r="M842" s="106"/>
      <c r="N842" s="98"/>
      <c r="O842" s="99"/>
      <c r="P842" s="99"/>
      <c r="Q842" s="99"/>
      <c r="R842" s="99"/>
      <c r="S842" s="100"/>
      <c r="T842" s="100"/>
      <c r="U842" s="100"/>
      <c r="V842" s="100"/>
      <c r="W842" s="88"/>
      <c r="X842" s="89"/>
      <c r="Y842" s="90"/>
      <c r="Z842" s="90"/>
      <c r="AA842" s="90"/>
      <c r="AB842" s="90"/>
      <c r="AC842" s="90"/>
    </row>
    <row r="843">
      <c r="A843" s="104"/>
      <c r="B843" s="101"/>
      <c r="C843" s="105"/>
      <c r="D843" s="80"/>
      <c r="E843" s="81"/>
      <c r="F843" s="82"/>
      <c r="G843" s="83"/>
      <c r="H843" s="84">
        <f>G843*ENTRY!$O837</f>
        <v>0</v>
      </c>
      <c r="I843" s="84">
        <f>G843*ENTRY!$P837</f>
        <v>0</v>
      </c>
      <c r="J843" s="84">
        <f>G843*ENTRY!$Q837</f>
        <v>0</v>
      </c>
      <c r="K843" s="82"/>
      <c r="L843" s="82"/>
      <c r="M843" s="81"/>
      <c r="N843" s="85"/>
      <c r="O843" s="86"/>
      <c r="P843" s="86"/>
      <c r="Q843" s="86"/>
      <c r="R843" s="86"/>
      <c r="S843" s="87"/>
      <c r="T843" s="87"/>
      <c r="U843" s="87"/>
      <c r="V843" s="87"/>
      <c r="W843" s="88"/>
      <c r="X843" s="89"/>
      <c r="Y843" s="90"/>
      <c r="Z843" s="90"/>
      <c r="AA843" s="90"/>
      <c r="AB843" s="90"/>
      <c r="AC843" s="90"/>
    </row>
    <row r="844">
      <c r="A844" s="104"/>
      <c r="B844" s="101"/>
      <c r="C844" s="105"/>
      <c r="D844" s="93"/>
      <c r="E844" s="106"/>
      <c r="F844" s="107"/>
      <c r="G844" s="108"/>
      <c r="H844" s="97">
        <f>G844*ENTRY!$O838</f>
        <v>0</v>
      </c>
      <c r="I844" s="97">
        <f>G844*ENTRY!$P838</f>
        <v>0</v>
      </c>
      <c r="J844" s="97">
        <f>G844*ENTRY!$Q838</f>
        <v>0</v>
      </c>
      <c r="K844" s="95"/>
      <c r="L844" s="109"/>
      <c r="M844" s="106"/>
      <c r="N844" s="98"/>
      <c r="O844" s="99"/>
      <c r="P844" s="99"/>
      <c r="Q844" s="99"/>
      <c r="R844" s="99"/>
      <c r="S844" s="100"/>
      <c r="T844" s="100"/>
      <c r="U844" s="100"/>
      <c r="V844" s="100"/>
      <c r="W844" s="88"/>
      <c r="X844" s="89"/>
      <c r="Y844" s="90"/>
      <c r="Z844" s="90"/>
      <c r="AA844" s="90"/>
      <c r="AB844" s="90"/>
      <c r="AC844" s="90"/>
    </row>
    <row r="845">
      <c r="A845" s="104"/>
      <c r="B845" s="101"/>
      <c r="C845" s="105"/>
      <c r="D845" s="80"/>
      <c r="E845" s="81"/>
      <c r="F845" s="82"/>
      <c r="G845" s="83"/>
      <c r="H845" s="84">
        <f>G845*ENTRY!$O839</f>
        <v>0</v>
      </c>
      <c r="I845" s="84">
        <f>G845*ENTRY!$P839</f>
        <v>0</v>
      </c>
      <c r="J845" s="84">
        <f>G845*ENTRY!$Q839</f>
        <v>0</v>
      </c>
      <c r="K845" s="82"/>
      <c r="L845" s="82"/>
      <c r="M845" s="81"/>
      <c r="N845" s="85"/>
      <c r="O845" s="86"/>
      <c r="P845" s="86"/>
      <c r="Q845" s="86"/>
      <c r="R845" s="86"/>
      <c r="S845" s="87"/>
      <c r="T845" s="87"/>
      <c r="U845" s="87"/>
      <c r="V845" s="87"/>
      <c r="W845" s="88"/>
      <c r="X845" s="89"/>
      <c r="Y845" s="90"/>
      <c r="Z845" s="90"/>
      <c r="AA845" s="90"/>
      <c r="AB845" s="90"/>
      <c r="AC845" s="90"/>
    </row>
    <row r="846">
      <c r="A846" s="104"/>
      <c r="B846" s="101"/>
      <c r="C846" s="105"/>
      <c r="D846" s="93"/>
      <c r="E846" s="106"/>
      <c r="F846" s="107"/>
      <c r="G846" s="108"/>
      <c r="H846" s="97">
        <f>G846*ENTRY!$O840</f>
        <v>0</v>
      </c>
      <c r="I846" s="97">
        <f>G846*ENTRY!$P840</f>
        <v>0</v>
      </c>
      <c r="J846" s="97">
        <f>G846*ENTRY!$Q840</f>
        <v>0</v>
      </c>
      <c r="K846" s="95"/>
      <c r="L846" s="109"/>
      <c r="M846" s="106"/>
      <c r="N846" s="98"/>
      <c r="O846" s="99"/>
      <c r="P846" s="99"/>
      <c r="Q846" s="99"/>
      <c r="R846" s="99"/>
      <c r="S846" s="100"/>
      <c r="T846" s="100"/>
      <c r="U846" s="100"/>
      <c r="V846" s="100"/>
      <c r="W846" s="88"/>
      <c r="X846" s="89"/>
      <c r="Y846" s="90"/>
      <c r="Z846" s="90"/>
      <c r="AA846" s="90"/>
      <c r="AB846" s="90"/>
      <c r="AC846" s="90"/>
    </row>
    <row r="847">
      <c r="A847" s="104"/>
      <c r="B847" s="101"/>
      <c r="C847" s="105"/>
      <c r="D847" s="80"/>
      <c r="E847" s="81"/>
      <c r="F847" s="82"/>
      <c r="G847" s="83"/>
      <c r="H847" s="84">
        <f>G847*ENTRY!$O841</f>
        <v>0</v>
      </c>
      <c r="I847" s="84">
        <f>G847*ENTRY!$P841</f>
        <v>0</v>
      </c>
      <c r="J847" s="84">
        <f>G847*ENTRY!$Q841</f>
        <v>0</v>
      </c>
      <c r="K847" s="82"/>
      <c r="L847" s="82"/>
      <c r="M847" s="81"/>
      <c r="N847" s="85"/>
      <c r="O847" s="86"/>
      <c r="P847" s="86"/>
      <c r="Q847" s="86"/>
      <c r="R847" s="86"/>
      <c r="S847" s="87"/>
      <c r="T847" s="87"/>
      <c r="U847" s="87"/>
      <c r="V847" s="87"/>
      <c r="W847" s="88"/>
      <c r="X847" s="89"/>
      <c r="Y847" s="90"/>
      <c r="Z847" s="90"/>
      <c r="AA847" s="90"/>
      <c r="AB847" s="90"/>
      <c r="AC847" s="90"/>
    </row>
    <row r="848">
      <c r="A848" s="104"/>
      <c r="B848" s="101"/>
      <c r="C848" s="105"/>
      <c r="D848" s="93"/>
      <c r="E848" s="106"/>
      <c r="F848" s="107"/>
      <c r="G848" s="108"/>
      <c r="H848" s="97">
        <f>G848*ENTRY!$O842</f>
        <v>0</v>
      </c>
      <c r="I848" s="97">
        <f>G848*ENTRY!$P842</f>
        <v>0</v>
      </c>
      <c r="J848" s="97">
        <f>G848*ENTRY!$Q842</f>
        <v>0</v>
      </c>
      <c r="K848" s="95"/>
      <c r="L848" s="109"/>
      <c r="M848" s="106"/>
      <c r="N848" s="98"/>
      <c r="O848" s="99"/>
      <c r="P848" s="99"/>
      <c r="Q848" s="99"/>
      <c r="R848" s="99"/>
      <c r="S848" s="100"/>
      <c r="T848" s="100"/>
      <c r="U848" s="100"/>
      <c r="V848" s="100"/>
      <c r="W848" s="88"/>
      <c r="X848" s="89"/>
      <c r="Y848" s="90"/>
      <c r="Z848" s="90"/>
      <c r="AA848" s="90"/>
      <c r="AB848" s="90"/>
      <c r="AC848" s="90"/>
    </row>
    <row r="849">
      <c r="A849" s="104"/>
      <c r="B849" s="101"/>
      <c r="C849" s="105"/>
      <c r="D849" s="80"/>
      <c r="E849" s="81"/>
      <c r="F849" s="82"/>
      <c r="G849" s="83"/>
      <c r="H849" s="84">
        <f>G849*ENTRY!$O843</f>
        <v>0</v>
      </c>
      <c r="I849" s="84">
        <f>G849*ENTRY!$P843</f>
        <v>0</v>
      </c>
      <c r="J849" s="84">
        <f>G849*ENTRY!$Q843</f>
        <v>0</v>
      </c>
      <c r="K849" s="82"/>
      <c r="L849" s="82"/>
      <c r="M849" s="81"/>
      <c r="N849" s="85"/>
      <c r="O849" s="86"/>
      <c r="P849" s="86"/>
      <c r="Q849" s="86"/>
      <c r="R849" s="86"/>
      <c r="S849" s="87"/>
      <c r="T849" s="87"/>
      <c r="U849" s="87"/>
      <c r="V849" s="87"/>
      <c r="W849" s="88"/>
      <c r="X849" s="89"/>
      <c r="Y849" s="90"/>
      <c r="Z849" s="90"/>
      <c r="AA849" s="90"/>
      <c r="AB849" s="90"/>
      <c r="AC849" s="90"/>
    </row>
    <row r="850">
      <c r="A850" s="104"/>
      <c r="B850" s="101"/>
      <c r="C850" s="105"/>
      <c r="D850" s="93"/>
      <c r="E850" s="106"/>
      <c r="F850" s="107"/>
      <c r="G850" s="108"/>
      <c r="H850" s="97">
        <f>G850*ENTRY!$O844</f>
        <v>0</v>
      </c>
      <c r="I850" s="97">
        <f>G850*ENTRY!$P844</f>
        <v>0</v>
      </c>
      <c r="J850" s="97">
        <f>G850*ENTRY!$Q844</f>
        <v>0</v>
      </c>
      <c r="K850" s="95"/>
      <c r="L850" s="109"/>
      <c r="M850" s="106"/>
      <c r="N850" s="98"/>
      <c r="O850" s="99"/>
      <c r="P850" s="99"/>
      <c r="Q850" s="99"/>
      <c r="R850" s="99"/>
      <c r="S850" s="100"/>
      <c r="T850" s="100"/>
      <c r="U850" s="100"/>
      <c r="V850" s="100"/>
      <c r="W850" s="88"/>
      <c r="X850" s="89"/>
      <c r="Y850" s="90"/>
      <c r="Z850" s="90"/>
      <c r="AA850" s="90"/>
      <c r="AB850" s="90"/>
      <c r="AC850" s="90"/>
    </row>
    <row r="851">
      <c r="A851" s="104"/>
      <c r="B851" s="101"/>
      <c r="C851" s="105"/>
      <c r="D851" s="80"/>
      <c r="E851" s="81"/>
      <c r="F851" s="82"/>
      <c r="G851" s="83"/>
      <c r="H851" s="84">
        <f>G851*ENTRY!$O845</f>
        <v>0</v>
      </c>
      <c r="I851" s="84">
        <f>G851*ENTRY!$P845</f>
        <v>0</v>
      </c>
      <c r="J851" s="84">
        <f>G851*ENTRY!$Q845</f>
        <v>0</v>
      </c>
      <c r="K851" s="82"/>
      <c r="L851" s="82"/>
      <c r="M851" s="81"/>
      <c r="N851" s="85"/>
      <c r="O851" s="86"/>
      <c r="P851" s="86"/>
      <c r="Q851" s="86"/>
      <c r="R851" s="86"/>
      <c r="S851" s="87"/>
      <c r="T851" s="87"/>
      <c r="U851" s="87"/>
      <c r="V851" s="87"/>
      <c r="W851" s="88"/>
      <c r="X851" s="89"/>
      <c r="Y851" s="90"/>
      <c r="Z851" s="90"/>
      <c r="AA851" s="90"/>
      <c r="AB851" s="90"/>
      <c r="AC851" s="90"/>
    </row>
    <row r="852">
      <c r="A852" s="104"/>
      <c r="B852" s="101"/>
      <c r="C852" s="105"/>
      <c r="D852" s="93"/>
      <c r="E852" s="106"/>
      <c r="F852" s="107"/>
      <c r="G852" s="108"/>
      <c r="H852" s="97">
        <f>G852*ENTRY!$O846</f>
        <v>0</v>
      </c>
      <c r="I852" s="97">
        <f>G852*ENTRY!$P846</f>
        <v>0</v>
      </c>
      <c r="J852" s="97">
        <f>G852*ENTRY!$Q846</f>
        <v>0</v>
      </c>
      <c r="K852" s="95"/>
      <c r="L852" s="109"/>
      <c r="M852" s="106"/>
      <c r="N852" s="98"/>
      <c r="O852" s="99"/>
      <c r="P852" s="99"/>
      <c r="Q852" s="99"/>
      <c r="R852" s="99"/>
      <c r="S852" s="100"/>
      <c r="T852" s="100"/>
      <c r="U852" s="100"/>
      <c r="V852" s="100"/>
      <c r="W852" s="88"/>
      <c r="X852" s="89"/>
      <c r="Y852" s="90"/>
      <c r="Z852" s="90"/>
      <c r="AA852" s="90"/>
      <c r="AB852" s="90"/>
      <c r="AC852" s="90"/>
    </row>
    <row r="853">
      <c r="A853" s="104"/>
      <c r="B853" s="101"/>
      <c r="C853" s="105"/>
      <c r="D853" s="80"/>
      <c r="E853" s="81"/>
      <c r="F853" s="82"/>
      <c r="G853" s="83"/>
      <c r="H853" s="84">
        <f>G853*ENTRY!$O847</f>
        <v>0</v>
      </c>
      <c r="I853" s="84">
        <f>G853*ENTRY!$P847</f>
        <v>0</v>
      </c>
      <c r="J853" s="84">
        <f>G853*ENTRY!$Q847</f>
        <v>0</v>
      </c>
      <c r="K853" s="82"/>
      <c r="L853" s="82"/>
      <c r="M853" s="81"/>
      <c r="N853" s="85"/>
      <c r="O853" s="86"/>
      <c r="P853" s="86"/>
      <c r="Q853" s="86"/>
      <c r="R853" s="86"/>
      <c r="S853" s="87"/>
      <c r="T853" s="87"/>
      <c r="U853" s="87"/>
      <c r="V853" s="87"/>
      <c r="W853" s="88"/>
      <c r="X853" s="89"/>
      <c r="Y853" s="90"/>
      <c r="Z853" s="90"/>
      <c r="AA853" s="90"/>
      <c r="AB853" s="90"/>
      <c r="AC853" s="90"/>
    </row>
    <row r="854">
      <c r="A854" s="104"/>
      <c r="B854" s="101"/>
      <c r="C854" s="105"/>
      <c r="D854" s="93"/>
      <c r="E854" s="106"/>
      <c r="F854" s="107"/>
      <c r="G854" s="108"/>
      <c r="H854" s="97">
        <f>G854*ENTRY!$O848</f>
        <v>0</v>
      </c>
      <c r="I854" s="97">
        <f>G854*ENTRY!$P848</f>
        <v>0</v>
      </c>
      <c r="J854" s="97">
        <f>G854*ENTRY!$Q848</f>
        <v>0</v>
      </c>
      <c r="K854" s="95"/>
      <c r="L854" s="109"/>
      <c r="M854" s="106"/>
      <c r="N854" s="98"/>
      <c r="O854" s="99"/>
      <c r="P854" s="99"/>
      <c r="Q854" s="99"/>
      <c r="R854" s="99"/>
      <c r="S854" s="100"/>
      <c r="T854" s="100"/>
      <c r="U854" s="100"/>
      <c r="V854" s="100"/>
      <c r="W854" s="88"/>
      <c r="X854" s="89"/>
      <c r="Y854" s="90"/>
      <c r="Z854" s="90"/>
      <c r="AA854" s="90"/>
      <c r="AB854" s="90"/>
      <c r="AC854" s="90"/>
    </row>
    <row r="855">
      <c r="A855" s="104"/>
      <c r="B855" s="101"/>
      <c r="C855" s="105"/>
      <c r="D855" s="80"/>
      <c r="E855" s="81"/>
      <c r="F855" s="82"/>
      <c r="G855" s="83"/>
      <c r="H855" s="84">
        <f>G855*ENTRY!$O849</f>
        <v>0</v>
      </c>
      <c r="I855" s="84">
        <f>G855*ENTRY!$P849</f>
        <v>0</v>
      </c>
      <c r="J855" s="84">
        <f>G855*ENTRY!$Q849</f>
        <v>0</v>
      </c>
      <c r="K855" s="82"/>
      <c r="L855" s="82"/>
      <c r="M855" s="81"/>
      <c r="N855" s="85"/>
      <c r="O855" s="86"/>
      <c r="P855" s="86"/>
      <c r="Q855" s="86"/>
      <c r="R855" s="86"/>
      <c r="S855" s="87"/>
      <c r="T855" s="87"/>
      <c r="U855" s="87"/>
      <c r="V855" s="87"/>
      <c r="W855" s="88"/>
      <c r="X855" s="89"/>
      <c r="Y855" s="90"/>
      <c r="Z855" s="90"/>
      <c r="AA855" s="90"/>
      <c r="AB855" s="90"/>
      <c r="AC855" s="90"/>
    </row>
    <row r="856">
      <c r="A856" s="104"/>
      <c r="B856" s="101"/>
      <c r="C856" s="105"/>
      <c r="D856" s="93"/>
      <c r="E856" s="106"/>
      <c r="F856" s="107"/>
      <c r="G856" s="108"/>
      <c r="H856" s="97">
        <f>G856*ENTRY!$O850</f>
        <v>0</v>
      </c>
      <c r="I856" s="97">
        <f>G856*ENTRY!$P850</f>
        <v>0</v>
      </c>
      <c r="J856" s="97">
        <f>G856*ENTRY!$Q850</f>
        <v>0</v>
      </c>
      <c r="K856" s="95"/>
      <c r="L856" s="109"/>
      <c r="M856" s="106"/>
      <c r="N856" s="98"/>
      <c r="O856" s="99"/>
      <c r="P856" s="99"/>
      <c r="Q856" s="99"/>
      <c r="R856" s="99"/>
      <c r="S856" s="100"/>
      <c r="T856" s="100"/>
      <c r="U856" s="100"/>
      <c r="V856" s="100"/>
      <c r="W856" s="88"/>
      <c r="X856" s="89"/>
      <c r="Y856" s="90"/>
      <c r="Z856" s="90"/>
      <c r="AA856" s="90"/>
      <c r="AB856" s="90"/>
      <c r="AC856" s="90"/>
    </row>
    <row r="857">
      <c r="A857" s="104"/>
      <c r="B857" s="101"/>
      <c r="C857" s="105"/>
      <c r="D857" s="80"/>
      <c r="E857" s="81"/>
      <c r="F857" s="82"/>
      <c r="G857" s="83"/>
      <c r="H857" s="84">
        <f>G857*ENTRY!$O851</f>
        <v>0</v>
      </c>
      <c r="I857" s="84">
        <f>G857*ENTRY!$P851</f>
        <v>0</v>
      </c>
      <c r="J857" s="84">
        <f>G857*ENTRY!$Q851</f>
        <v>0</v>
      </c>
      <c r="K857" s="82"/>
      <c r="L857" s="82"/>
      <c r="M857" s="81"/>
      <c r="N857" s="85"/>
      <c r="O857" s="86"/>
      <c r="P857" s="86"/>
      <c r="Q857" s="86"/>
      <c r="R857" s="86"/>
      <c r="S857" s="87"/>
      <c r="T857" s="87"/>
      <c r="U857" s="87"/>
      <c r="V857" s="87"/>
      <c r="W857" s="88"/>
      <c r="X857" s="89"/>
      <c r="Y857" s="90"/>
      <c r="Z857" s="90"/>
      <c r="AA857" s="90"/>
      <c r="AB857" s="90"/>
      <c r="AC857" s="90"/>
    </row>
    <row r="858">
      <c r="A858" s="104"/>
      <c r="B858" s="101"/>
      <c r="C858" s="105"/>
      <c r="D858" s="93"/>
      <c r="E858" s="106"/>
      <c r="F858" s="107"/>
      <c r="G858" s="108"/>
      <c r="H858" s="97">
        <f>G858*ENTRY!$O852</f>
        <v>0</v>
      </c>
      <c r="I858" s="97">
        <f>G858*ENTRY!$P852</f>
        <v>0</v>
      </c>
      <c r="J858" s="97">
        <f>G858*ENTRY!$Q852</f>
        <v>0</v>
      </c>
      <c r="K858" s="95"/>
      <c r="L858" s="109"/>
      <c r="M858" s="106"/>
      <c r="N858" s="98"/>
      <c r="O858" s="99"/>
      <c r="P858" s="99"/>
      <c r="Q858" s="99"/>
      <c r="R858" s="99"/>
      <c r="S858" s="100"/>
      <c r="T858" s="100"/>
      <c r="U858" s="100"/>
      <c r="V858" s="100"/>
      <c r="W858" s="88"/>
      <c r="X858" s="89"/>
      <c r="Y858" s="90"/>
      <c r="Z858" s="90"/>
      <c r="AA858" s="90"/>
      <c r="AB858" s="90"/>
      <c r="AC858" s="90"/>
    </row>
    <row r="859">
      <c r="A859" s="104"/>
      <c r="B859" s="101"/>
      <c r="C859" s="105"/>
      <c r="D859" s="80"/>
      <c r="E859" s="81"/>
      <c r="F859" s="82"/>
      <c r="G859" s="83"/>
      <c r="H859" s="84">
        <f>G859*ENTRY!$O853</f>
        <v>0</v>
      </c>
      <c r="I859" s="84">
        <f>G859*ENTRY!$P853</f>
        <v>0</v>
      </c>
      <c r="J859" s="84">
        <f>G859*ENTRY!$Q853</f>
        <v>0</v>
      </c>
      <c r="K859" s="82"/>
      <c r="L859" s="82"/>
      <c r="M859" s="81"/>
      <c r="N859" s="85"/>
      <c r="O859" s="86"/>
      <c r="P859" s="86"/>
      <c r="Q859" s="86"/>
      <c r="R859" s="86"/>
      <c r="S859" s="87"/>
      <c r="T859" s="87"/>
      <c r="U859" s="87"/>
      <c r="V859" s="87"/>
      <c r="W859" s="88"/>
      <c r="X859" s="89"/>
      <c r="Y859" s="90"/>
      <c r="Z859" s="90"/>
      <c r="AA859" s="90"/>
      <c r="AB859" s="90"/>
      <c r="AC859" s="90"/>
    </row>
    <row r="860">
      <c r="A860" s="104"/>
      <c r="B860" s="101"/>
      <c r="C860" s="105"/>
      <c r="D860" s="93"/>
      <c r="E860" s="106"/>
      <c r="F860" s="107"/>
      <c r="G860" s="108"/>
      <c r="H860" s="97">
        <f>G860*ENTRY!$O854</f>
        <v>0</v>
      </c>
      <c r="I860" s="97">
        <f>G860*ENTRY!$P854</f>
        <v>0</v>
      </c>
      <c r="J860" s="97">
        <f>G860*ENTRY!$Q854</f>
        <v>0</v>
      </c>
      <c r="K860" s="95"/>
      <c r="L860" s="109"/>
      <c r="M860" s="106"/>
      <c r="N860" s="98"/>
      <c r="O860" s="99"/>
      <c r="P860" s="99"/>
      <c r="Q860" s="99"/>
      <c r="R860" s="99"/>
      <c r="S860" s="100"/>
      <c r="T860" s="100"/>
      <c r="U860" s="100"/>
      <c r="V860" s="100"/>
      <c r="W860" s="88"/>
      <c r="X860" s="89"/>
      <c r="Y860" s="90"/>
      <c r="Z860" s="90"/>
      <c r="AA860" s="90"/>
      <c r="AB860" s="90"/>
      <c r="AC860" s="90"/>
    </row>
    <row r="861">
      <c r="A861" s="104"/>
      <c r="B861" s="101"/>
      <c r="C861" s="105"/>
      <c r="D861" s="80"/>
      <c r="E861" s="81"/>
      <c r="F861" s="82"/>
      <c r="G861" s="83"/>
      <c r="H861" s="84">
        <f>G861*ENTRY!$O855</f>
        <v>0</v>
      </c>
      <c r="I861" s="84">
        <f>G861*ENTRY!$P855</f>
        <v>0</v>
      </c>
      <c r="J861" s="84">
        <f>G861*ENTRY!$Q855</f>
        <v>0</v>
      </c>
      <c r="K861" s="82"/>
      <c r="L861" s="82"/>
      <c r="M861" s="81"/>
      <c r="N861" s="85"/>
      <c r="O861" s="86"/>
      <c r="P861" s="86"/>
      <c r="Q861" s="86"/>
      <c r="R861" s="86"/>
      <c r="S861" s="87"/>
      <c r="T861" s="87"/>
      <c r="U861" s="87"/>
      <c r="V861" s="87"/>
      <c r="W861" s="88"/>
      <c r="X861" s="89"/>
      <c r="Y861" s="90"/>
      <c r="Z861" s="90"/>
      <c r="AA861" s="90"/>
      <c r="AB861" s="90"/>
      <c r="AC861" s="90"/>
    </row>
    <row r="862">
      <c r="A862" s="104"/>
      <c r="B862" s="101"/>
      <c r="C862" s="105"/>
      <c r="D862" s="93"/>
      <c r="E862" s="106"/>
      <c r="F862" s="107"/>
      <c r="G862" s="108"/>
      <c r="H862" s="97">
        <f>G862*ENTRY!$O856</f>
        <v>0</v>
      </c>
      <c r="I862" s="97">
        <f>G862*ENTRY!$P856</f>
        <v>0</v>
      </c>
      <c r="J862" s="97">
        <f>G862*ENTRY!$Q856</f>
        <v>0</v>
      </c>
      <c r="K862" s="95"/>
      <c r="L862" s="109"/>
      <c r="M862" s="106"/>
      <c r="N862" s="98"/>
      <c r="O862" s="99"/>
      <c r="P862" s="99"/>
      <c r="Q862" s="99"/>
      <c r="R862" s="99"/>
      <c r="S862" s="100"/>
      <c r="T862" s="100"/>
      <c r="U862" s="100"/>
      <c r="V862" s="100"/>
      <c r="W862" s="88"/>
      <c r="X862" s="89"/>
      <c r="Y862" s="90"/>
      <c r="Z862" s="90"/>
      <c r="AA862" s="90"/>
      <c r="AB862" s="90"/>
      <c r="AC862" s="90"/>
    </row>
    <row r="863">
      <c r="A863" s="104"/>
      <c r="B863" s="101"/>
      <c r="C863" s="105"/>
      <c r="D863" s="80"/>
      <c r="E863" s="81"/>
      <c r="F863" s="82"/>
      <c r="G863" s="83"/>
      <c r="H863" s="84">
        <f>G863*ENTRY!$O857</f>
        <v>0</v>
      </c>
      <c r="I863" s="84">
        <f>G863*ENTRY!$P857</f>
        <v>0</v>
      </c>
      <c r="J863" s="84">
        <f>G863*ENTRY!$Q857</f>
        <v>0</v>
      </c>
      <c r="K863" s="82"/>
      <c r="L863" s="82"/>
      <c r="M863" s="81"/>
      <c r="N863" s="85"/>
      <c r="O863" s="86"/>
      <c r="P863" s="86"/>
      <c r="Q863" s="86"/>
      <c r="R863" s="86"/>
      <c r="S863" s="87"/>
      <c r="T863" s="87"/>
      <c r="U863" s="87"/>
      <c r="V863" s="87"/>
      <c r="W863" s="88"/>
      <c r="X863" s="89"/>
      <c r="Y863" s="90"/>
      <c r="Z863" s="90"/>
      <c r="AA863" s="90"/>
      <c r="AB863" s="90"/>
      <c r="AC863" s="90"/>
    </row>
    <row r="864">
      <c r="A864" s="104"/>
      <c r="B864" s="101"/>
      <c r="C864" s="105"/>
      <c r="D864" s="93"/>
      <c r="E864" s="106"/>
      <c r="F864" s="107"/>
      <c r="G864" s="108"/>
      <c r="H864" s="97">
        <f>G864*ENTRY!$O858</f>
        <v>0</v>
      </c>
      <c r="I864" s="97">
        <f>G864*ENTRY!$P858</f>
        <v>0</v>
      </c>
      <c r="J864" s="97">
        <f>G864*ENTRY!$Q858</f>
        <v>0</v>
      </c>
      <c r="K864" s="95"/>
      <c r="L864" s="109"/>
      <c r="M864" s="106"/>
      <c r="N864" s="98"/>
      <c r="O864" s="99"/>
      <c r="P864" s="99"/>
      <c r="Q864" s="99"/>
      <c r="R864" s="99"/>
      <c r="S864" s="100"/>
      <c r="T864" s="100"/>
      <c r="U864" s="100"/>
      <c r="V864" s="100"/>
      <c r="W864" s="88"/>
      <c r="X864" s="89"/>
      <c r="Y864" s="90"/>
      <c r="Z864" s="90"/>
      <c r="AA864" s="90"/>
      <c r="AB864" s="90"/>
      <c r="AC864" s="90"/>
    </row>
    <row r="865">
      <c r="A865" s="104"/>
      <c r="B865" s="101"/>
      <c r="C865" s="105"/>
      <c r="D865" s="80"/>
      <c r="E865" s="81"/>
      <c r="F865" s="82"/>
      <c r="G865" s="83"/>
      <c r="H865" s="84">
        <f>G865*ENTRY!$O859</f>
        <v>0</v>
      </c>
      <c r="I865" s="84">
        <f>G865*ENTRY!$P859</f>
        <v>0</v>
      </c>
      <c r="J865" s="84">
        <f>G865*ENTRY!$Q859</f>
        <v>0</v>
      </c>
      <c r="K865" s="82"/>
      <c r="L865" s="82"/>
      <c r="M865" s="81"/>
      <c r="N865" s="85"/>
      <c r="O865" s="86"/>
      <c r="P865" s="86"/>
      <c r="Q865" s="86"/>
      <c r="R865" s="86"/>
      <c r="S865" s="87"/>
      <c r="T865" s="87"/>
      <c r="U865" s="87"/>
      <c r="V865" s="87"/>
      <c r="W865" s="88"/>
      <c r="X865" s="89"/>
      <c r="Y865" s="90"/>
      <c r="Z865" s="90"/>
      <c r="AA865" s="90"/>
      <c r="AB865" s="90"/>
      <c r="AC865" s="90"/>
    </row>
    <row r="866">
      <c r="A866" s="104"/>
      <c r="B866" s="101"/>
      <c r="C866" s="105"/>
      <c r="D866" s="93"/>
      <c r="E866" s="106"/>
      <c r="F866" s="107"/>
      <c r="G866" s="108"/>
      <c r="H866" s="97">
        <f>G866*ENTRY!$O860</f>
        <v>0</v>
      </c>
      <c r="I866" s="97">
        <f>G866*ENTRY!$P860</f>
        <v>0</v>
      </c>
      <c r="J866" s="97">
        <f>G866*ENTRY!$Q860</f>
        <v>0</v>
      </c>
      <c r="K866" s="95"/>
      <c r="L866" s="109"/>
      <c r="M866" s="106"/>
      <c r="N866" s="98"/>
      <c r="O866" s="99"/>
      <c r="P866" s="99"/>
      <c r="Q866" s="99"/>
      <c r="R866" s="99"/>
      <c r="S866" s="100"/>
      <c r="T866" s="100"/>
      <c r="U866" s="100"/>
      <c r="V866" s="100"/>
      <c r="W866" s="88"/>
      <c r="X866" s="89"/>
      <c r="Y866" s="90"/>
      <c r="Z866" s="90"/>
      <c r="AA866" s="90"/>
      <c r="AB866" s="90"/>
      <c r="AC866" s="90"/>
    </row>
    <row r="867">
      <c r="A867" s="104"/>
      <c r="B867" s="101"/>
      <c r="C867" s="105"/>
      <c r="D867" s="80"/>
      <c r="E867" s="81"/>
      <c r="F867" s="82"/>
      <c r="G867" s="83"/>
      <c r="H867" s="84">
        <f>G867*ENTRY!$O861</f>
        <v>0</v>
      </c>
      <c r="I867" s="84">
        <f>G867*ENTRY!$P861</f>
        <v>0</v>
      </c>
      <c r="J867" s="84">
        <f>G867*ENTRY!$Q861</f>
        <v>0</v>
      </c>
      <c r="K867" s="82"/>
      <c r="L867" s="82"/>
      <c r="M867" s="81"/>
      <c r="N867" s="85"/>
      <c r="O867" s="86"/>
      <c r="P867" s="86"/>
      <c r="Q867" s="86"/>
      <c r="R867" s="86"/>
      <c r="S867" s="87"/>
      <c r="T867" s="87"/>
      <c r="U867" s="87"/>
      <c r="V867" s="87"/>
      <c r="W867" s="88"/>
      <c r="X867" s="89"/>
      <c r="Y867" s="90"/>
      <c r="Z867" s="90"/>
      <c r="AA867" s="90"/>
      <c r="AB867" s="90"/>
      <c r="AC867" s="90"/>
    </row>
    <row r="868">
      <c r="A868" s="104"/>
      <c r="B868" s="101"/>
      <c r="C868" s="105"/>
      <c r="D868" s="93"/>
      <c r="E868" s="106"/>
      <c r="F868" s="107"/>
      <c r="G868" s="108"/>
      <c r="H868" s="97">
        <f>G868*ENTRY!$O862</f>
        <v>0</v>
      </c>
      <c r="I868" s="97">
        <f>G868*ENTRY!$P862</f>
        <v>0</v>
      </c>
      <c r="J868" s="97">
        <f>G868*ENTRY!$Q862</f>
        <v>0</v>
      </c>
      <c r="K868" s="95"/>
      <c r="L868" s="109"/>
      <c r="M868" s="106"/>
      <c r="N868" s="98"/>
      <c r="O868" s="99"/>
      <c r="P868" s="99"/>
      <c r="Q868" s="99"/>
      <c r="R868" s="99"/>
      <c r="S868" s="100"/>
      <c r="T868" s="100"/>
      <c r="U868" s="100"/>
      <c r="V868" s="100"/>
      <c r="W868" s="88"/>
      <c r="X868" s="89"/>
      <c r="Y868" s="90"/>
      <c r="Z868" s="90"/>
      <c r="AA868" s="90"/>
      <c r="AB868" s="90"/>
      <c r="AC868" s="90"/>
    </row>
    <row r="869">
      <c r="A869" s="104"/>
      <c r="B869" s="101"/>
      <c r="C869" s="105"/>
      <c r="D869" s="80"/>
      <c r="E869" s="81"/>
      <c r="F869" s="82"/>
      <c r="G869" s="83"/>
      <c r="H869" s="84">
        <f>G869*ENTRY!$O863</f>
        <v>0</v>
      </c>
      <c r="I869" s="84">
        <f>G869*ENTRY!$P863</f>
        <v>0</v>
      </c>
      <c r="J869" s="84">
        <f>G869*ENTRY!$Q863</f>
        <v>0</v>
      </c>
      <c r="K869" s="82"/>
      <c r="L869" s="82"/>
      <c r="M869" s="81"/>
      <c r="N869" s="85"/>
      <c r="O869" s="86"/>
      <c r="P869" s="86"/>
      <c r="Q869" s="86"/>
      <c r="R869" s="86"/>
      <c r="S869" s="87"/>
      <c r="T869" s="87"/>
      <c r="U869" s="87"/>
      <c r="V869" s="87"/>
      <c r="W869" s="88"/>
      <c r="X869" s="89"/>
      <c r="Y869" s="90"/>
      <c r="Z869" s="90"/>
      <c r="AA869" s="90"/>
      <c r="AB869" s="90"/>
      <c r="AC869" s="90"/>
    </row>
    <row r="870">
      <c r="A870" s="104"/>
      <c r="B870" s="101"/>
      <c r="C870" s="105"/>
      <c r="D870" s="93"/>
      <c r="E870" s="106"/>
      <c r="F870" s="107"/>
      <c r="G870" s="108"/>
      <c r="H870" s="97">
        <f>G870*ENTRY!$O864</f>
        <v>0</v>
      </c>
      <c r="I870" s="97">
        <f>G870*ENTRY!$P864</f>
        <v>0</v>
      </c>
      <c r="J870" s="97">
        <f>G870*ENTRY!$Q864</f>
        <v>0</v>
      </c>
      <c r="K870" s="95"/>
      <c r="L870" s="109"/>
      <c r="M870" s="106"/>
      <c r="N870" s="98"/>
      <c r="O870" s="99"/>
      <c r="P870" s="99"/>
      <c r="Q870" s="99"/>
      <c r="R870" s="99"/>
      <c r="S870" s="100"/>
      <c r="T870" s="100"/>
      <c r="U870" s="100"/>
      <c r="V870" s="100"/>
      <c r="W870" s="88"/>
      <c r="X870" s="89"/>
      <c r="Y870" s="90"/>
      <c r="Z870" s="90"/>
      <c r="AA870" s="90"/>
      <c r="AB870" s="90"/>
      <c r="AC870" s="90"/>
    </row>
    <row r="871">
      <c r="A871" s="104"/>
      <c r="B871" s="101"/>
      <c r="C871" s="105"/>
      <c r="D871" s="80"/>
      <c r="E871" s="81"/>
      <c r="F871" s="82"/>
      <c r="G871" s="83"/>
      <c r="H871" s="84">
        <f>G871*ENTRY!$O865</f>
        <v>0</v>
      </c>
      <c r="I871" s="84">
        <f>G871*ENTRY!$P865</f>
        <v>0</v>
      </c>
      <c r="J871" s="84">
        <f>G871*ENTRY!$Q865</f>
        <v>0</v>
      </c>
      <c r="K871" s="82"/>
      <c r="L871" s="82"/>
      <c r="M871" s="81"/>
      <c r="N871" s="85"/>
      <c r="O871" s="86"/>
      <c r="P871" s="86"/>
      <c r="Q871" s="86"/>
      <c r="R871" s="86"/>
      <c r="S871" s="87"/>
      <c r="T871" s="87"/>
      <c r="U871" s="87"/>
      <c r="V871" s="87"/>
      <c r="W871" s="88"/>
      <c r="X871" s="89"/>
      <c r="Y871" s="90"/>
      <c r="Z871" s="90"/>
      <c r="AA871" s="90"/>
      <c r="AB871" s="90"/>
      <c r="AC871" s="90"/>
    </row>
    <row r="872">
      <c r="A872" s="104"/>
      <c r="B872" s="101"/>
      <c r="C872" s="105"/>
      <c r="D872" s="93"/>
      <c r="E872" s="106"/>
      <c r="F872" s="107"/>
      <c r="G872" s="108"/>
      <c r="H872" s="97">
        <f>G872*ENTRY!$O866</f>
        <v>0</v>
      </c>
      <c r="I872" s="97">
        <f>G872*ENTRY!$P866</f>
        <v>0</v>
      </c>
      <c r="J872" s="97">
        <f>G872*ENTRY!$Q866</f>
        <v>0</v>
      </c>
      <c r="K872" s="95"/>
      <c r="L872" s="109"/>
      <c r="M872" s="106"/>
      <c r="N872" s="98"/>
      <c r="O872" s="99"/>
      <c r="P872" s="99"/>
      <c r="Q872" s="99"/>
      <c r="R872" s="99"/>
      <c r="S872" s="100"/>
      <c r="T872" s="100"/>
      <c r="U872" s="100"/>
      <c r="V872" s="100"/>
      <c r="W872" s="88"/>
      <c r="X872" s="89"/>
      <c r="Y872" s="90"/>
      <c r="Z872" s="90"/>
      <c r="AA872" s="90"/>
      <c r="AB872" s="90"/>
      <c r="AC872" s="90"/>
    </row>
    <row r="873">
      <c r="A873" s="104"/>
      <c r="B873" s="101"/>
      <c r="C873" s="105"/>
      <c r="D873" s="80"/>
      <c r="E873" s="81"/>
      <c r="F873" s="82"/>
      <c r="G873" s="83"/>
      <c r="H873" s="84">
        <f>G873*ENTRY!$O867</f>
        <v>0</v>
      </c>
      <c r="I873" s="84">
        <f>G873*ENTRY!$P867</f>
        <v>0</v>
      </c>
      <c r="J873" s="84">
        <f>G873*ENTRY!$Q867</f>
        <v>0</v>
      </c>
      <c r="K873" s="82"/>
      <c r="L873" s="82"/>
      <c r="M873" s="81"/>
      <c r="N873" s="85"/>
      <c r="O873" s="86"/>
      <c r="P873" s="86"/>
      <c r="Q873" s="86"/>
      <c r="R873" s="86"/>
      <c r="S873" s="87"/>
      <c r="T873" s="87"/>
      <c r="U873" s="87"/>
      <c r="V873" s="87"/>
      <c r="W873" s="88"/>
      <c r="X873" s="89"/>
      <c r="Y873" s="90"/>
      <c r="Z873" s="90"/>
      <c r="AA873" s="90"/>
      <c r="AB873" s="90"/>
      <c r="AC873" s="90"/>
    </row>
    <row r="874">
      <c r="A874" s="104"/>
      <c r="B874" s="101"/>
      <c r="C874" s="105"/>
      <c r="D874" s="93"/>
      <c r="E874" s="106"/>
      <c r="F874" s="107"/>
      <c r="G874" s="108"/>
      <c r="H874" s="97">
        <f>G874*ENTRY!$O868</f>
        <v>0</v>
      </c>
      <c r="I874" s="97">
        <f>G874*ENTRY!$P868</f>
        <v>0</v>
      </c>
      <c r="J874" s="97">
        <f>G874*ENTRY!$Q868</f>
        <v>0</v>
      </c>
      <c r="K874" s="95"/>
      <c r="L874" s="109"/>
      <c r="M874" s="106"/>
      <c r="N874" s="98"/>
      <c r="O874" s="99"/>
      <c r="P874" s="99"/>
      <c r="Q874" s="99"/>
      <c r="R874" s="99"/>
      <c r="S874" s="100"/>
      <c r="T874" s="100"/>
      <c r="U874" s="100"/>
      <c r="V874" s="100"/>
      <c r="W874" s="88"/>
      <c r="X874" s="89"/>
      <c r="Y874" s="90"/>
      <c r="Z874" s="90"/>
      <c r="AA874" s="90"/>
      <c r="AB874" s="90"/>
      <c r="AC874" s="90"/>
    </row>
    <row r="875">
      <c r="A875" s="104"/>
      <c r="B875" s="101"/>
      <c r="C875" s="105"/>
      <c r="D875" s="80"/>
      <c r="E875" s="81"/>
      <c r="F875" s="82"/>
      <c r="G875" s="83"/>
      <c r="H875" s="84">
        <f>G875*ENTRY!$O869</f>
        <v>0</v>
      </c>
      <c r="I875" s="84">
        <f>G875*ENTRY!$P869</f>
        <v>0</v>
      </c>
      <c r="J875" s="84">
        <f>G875*ENTRY!$Q869</f>
        <v>0</v>
      </c>
      <c r="K875" s="82"/>
      <c r="L875" s="82"/>
      <c r="M875" s="81"/>
      <c r="N875" s="85"/>
      <c r="O875" s="86"/>
      <c r="P875" s="86"/>
      <c r="Q875" s="86"/>
      <c r="R875" s="86"/>
      <c r="S875" s="87"/>
      <c r="T875" s="87"/>
      <c r="U875" s="87"/>
      <c r="V875" s="87"/>
      <c r="W875" s="88"/>
      <c r="X875" s="89"/>
      <c r="Y875" s="90"/>
      <c r="Z875" s="90"/>
      <c r="AA875" s="90"/>
      <c r="AB875" s="90"/>
      <c r="AC875" s="90"/>
    </row>
    <row r="876">
      <c r="A876" s="104"/>
      <c r="B876" s="101"/>
      <c r="C876" s="105"/>
      <c r="D876" s="93"/>
      <c r="E876" s="106"/>
      <c r="F876" s="107"/>
      <c r="G876" s="108"/>
      <c r="H876" s="97">
        <f>G876*ENTRY!$O870</f>
        <v>0</v>
      </c>
      <c r="I876" s="97">
        <f>G876*ENTRY!$P870</f>
        <v>0</v>
      </c>
      <c r="J876" s="97">
        <f>G876*ENTRY!$Q870</f>
        <v>0</v>
      </c>
      <c r="K876" s="95"/>
      <c r="L876" s="109"/>
      <c r="M876" s="106"/>
      <c r="N876" s="98"/>
      <c r="O876" s="99"/>
      <c r="P876" s="99"/>
      <c r="Q876" s="99"/>
      <c r="R876" s="99"/>
      <c r="S876" s="100"/>
      <c r="T876" s="100"/>
      <c r="U876" s="100"/>
      <c r="V876" s="100"/>
      <c r="W876" s="88"/>
      <c r="X876" s="89"/>
      <c r="Y876" s="90"/>
      <c r="Z876" s="90"/>
      <c r="AA876" s="90"/>
      <c r="AB876" s="90"/>
      <c r="AC876" s="90"/>
    </row>
    <row r="877">
      <c r="A877" s="104"/>
      <c r="B877" s="101"/>
      <c r="C877" s="105"/>
      <c r="D877" s="80"/>
      <c r="E877" s="81"/>
      <c r="F877" s="82"/>
      <c r="G877" s="83"/>
      <c r="H877" s="84">
        <f>G877*ENTRY!$O871</f>
        <v>0</v>
      </c>
      <c r="I877" s="84">
        <f>G877*ENTRY!$P871</f>
        <v>0</v>
      </c>
      <c r="J877" s="84">
        <f>G877*ENTRY!$Q871</f>
        <v>0</v>
      </c>
      <c r="K877" s="82"/>
      <c r="L877" s="82"/>
      <c r="M877" s="81"/>
      <c r="N877" s="85"/>
      <c r="O877" s="86"/>
      <c r="P877" s="86"/>
      <c r="Q877" s="86"/>
      <c r="R877" s="86"/>
      <c r="S877" s="87"/>
      <c r="T877" s="87"/>
      <c r="U877" s="87"/>
      <c r="V877" s="87"/>
      <c r="W877" s="88"/>
      <c r="X877" s="89"/>
      <c r="Y877" s="90"/>
      <c r="Z877" s="90"/>
      <c r="AA877" s="90"/>
      <c r="AB877" s="90"/>
      <c r="AC877" s="90"/>
    </row>
    <row r="878">
      <c r="A878" s="104"/>
      <c r="B878" s="101"/>
      <c r="C878" s="105"/>
      <c r="D878" s="93"/>
      <c r="E878" s="106"/>
      <c r="F878" s="107"/>
      <c r="G878" s="108"/>
      <c r="H878" s="97">
        <f>G878*ENTRY!$O872</f>
        <v>0</v>
      </c>
      <c r="I878" s="97">
        <f>G878*ENTRY!$P872</f>
        <v>0</v>
      </c>
      <c r="J878" s="97">
        <f>G878*ENTRY!$Q872</f>
        <v>0</v>
      </c>
      <c r="K878" s="95"/>
      <c r="L878" s="109"/>
      <c r="M878" s="106"/>
      <c r="N878" s="98"/>
      <c r="O878" s="99"/>
      <c r="P878" s="99"/>
      <c r="Q878" s="99"/>
      <c r="R878" s="99"/>
      <c r="S878" s="100"/>
      <c r="T878" s="100"/>
      <c r="U878" s="100"/>
      <c r="V878" s="100"/>
      <c r="W878" s="88"/>
      <c r="X878" s="89"/>
      <c r="Y878" s="90"/>
      <c r="Z878" s="90"/>
      <c r="AA878" s="90"/>
      <c r="AB878" s="90"/>
      <c r="AC878" s="90"/>
    </row>
    <row r="879">
      <c r="A879" s="104"/>
      <c r="B879" s="101"/>
      <c r="C879" s="105"/>
      <c r="D879" s="80"/>
      <c r="E879" s="81"/>
      <c r="F879" s="82"/>
      <c r="G879" s="83"/>
      <c r="H879" s="84">
        <f>G879*ENTRY!$O873</f>
        <v>0</v>
      </c>
      <c r="I879" s="84">
        <f>G879*ENTRY!$P873</f>
        <v>0</v>
      </c>
      <c r="J879" s="84">
        <f>G879*ENTRY!$Q873</f>
        <v>0</v>
      </c>
      <c r="K879" s="82"/>
      <c r="L879" s="82"/>
      <c r="M879" s="81"/>
      <c r="N879" s="85"/>
      <c r="O879" s="86"/>
      <c r="P879" s="86"/>
      <c r="Q879" s="86"/>
      <c r="R879" s="86"/>
      <c r="S879" s="87"/>
      <c r="T879" s="87"/>
      <c r="U879" s="87"/>
      <c r="V879" s="87"/>
      <c r="W879" s="88"/>
      <c r="X879" s="89"/>
      <c r="Y879" s="90"/>
      <c r="Z879" s="90"/>
      <c r="AA879" s="90"/>
      <c r="AB879" s="90"/>
      <c r="AC879" s="90"/>
    </row>
    <row r="880">
      <c r="A880" s="104"/>
      <c r="B880" s="101"/>
      <c r="C880" s="105"/>
      <c r="D880" s="93"/>
      <c r="E880" s="106"/>
      <c r="F880" s="107"/>
      <c r="G880" s="108"/>
      <c r="H880" s="97">
        <f>G880*ENTRY!$O874</f>
        <v>0</v>
      </c>
      <c r="I880" s="97">
        <f>G880*ENTRY!$P874</f>
        <v>0</v>
      </c>
      <c r="J880" s="97">
        <f>G880*ENTRY!$Q874</f>
        <v>0</v>
      </c>
      <c r="K880" s="95"/>
      <c r="L880" s="109"/>
      <c r="M880" s="106"/>
      <c r="N880" s="98"/>
      <c r="O880" s="99"/>
      <c r="P880" s="99"/>
      <c r="Q880" s="99"/>
      <c r="R880" s="99"/>
      <c r="S880" s="100"/>
      <c r="T880" s="100"/>
      <c r="U880" s="100"/>
      <c r="V880" s="100"/>
      <c r="W880" s="88"/>
      <c r="X880" s="89"/>
      <c r="Y880" s="90"/>
      <c r="Z880" s="90"/>
      <c r="AA880" s="90"/>
      <c r="AB880" s="90"/>
      <c r="AC880" s="90"/>
    </row>
    <row r="881">
      <c r="A881" s="104"/>
      <c r="B881" s="101"/>
      <c r="C881" s="105"/>
      <c r="D881" s="80"/>
      <c r="E881" s="81"/>
      <c r="F881" s="82"/>
      <c r="G881" s="83"/>
      <c r="H881" s="84">
        <f>G881*ENTRY!$O875</f>
        <v>0</v>
      </c>
      <c r="I881" s="84">
        <f>G881*ENTRY!$P875</f>
        <v>0</v>
      </c>
      <c r="J881" s="84">
        <f>G881*ENTRY!$Q875</f>
        <v>0</v>
      </c>
      <c r="K881" s="82"/>
      <c r="L881" s="82"/>
      <c r="M881" s="81"/>
      <c r="N881" s="85"/>
      <c r="O881" s="86"/>
      <c r="P881" s="86"/>
      <c r="Q881" s="86"/>
      <c r="R881" s="86"/>
      <c r="S881" s="87"/>
      <c r="T881" s="87"/>
      <c r="U881" s="87"/>
      <c r="V881" s="87"/>
      <c r="W881" s="88"/>
      <c r="X881" s="89"/>
      <c r="Y881" s="90"/>
      <c r="Z881" s="90"/>
      <c r="AA881" s="90"/>
      <c r="AB881" s="90"/>
      <c r="AC881" s="90"/>
    </row>
    <row r="882">
      <c r="A882" s="104"/>
      <c r="B882" s="101"/>
      <c r="C882" s="105"/>
      <c r="D882" s="93"/>
      <c r="E882" s="106"/>
      <c r="F882" s="107"/>
      <c r="G882" s="108"/>
      <c r="H882" s="97">
        <f>G882*ENTRY!$O876</f>
        <v>0</v>
      </c>
      <c r="I882" s="97">
        <f>G882*ENTRY!$P876</f>
        <v>0</v>
      </c>
      <c r="J882" s="97">
        <f>G882*ENTRY!$Q876</f>
        <v>0</v>
      </c>
      <c r="K882" s="95"/>
      <c r="L882" s="109"/>
      <c r="M882" s="106"/>
      <c r="N882" s="98"/>
      <c r="O882" s="99"/>
      <c r="P882" s="99"/>
      <c r="Q882" s="99"/>
      <c r="R882" s="99"/>
      <c r="S882" s="100"/>
      <c r="T882" s="100"/>
      <c r="U882" s="100"/>
      <c r="V882" s="100"/>
      <c r="W882" s="88"/>
      <c r="X882" s="89"/>
      <c r="Y882" s="90"/>
      <c r="Z882" s="90"/>
      <c r="AA882" s="90"/>
      <c r="AB882" s="90"/>
      <c r="AC882" s="90"/>
    </row>
    <row r="883">
      <c r="A883" s="104"/>
      <c r="B883" s="101"/>
      <c r="C883" s="105"/>
      <c r="D883" s="80"/>
      <c r="E883" s="81"/>
      <c r="F883" s="82"/>
      <c r="G883" s="83"/>
      <c r="H883" s="84">
        <f>G883*ENTRY!$O877</f>
        <v>0</v>
      </c>
      <c r="I883" s="84">
        <f>G883*ENTRY!$P877</f>
        <v>0</v>
      </c>
      <c r="J883" s="84">
        <f>G883*ENTRY!$Q877</f>
        <v>0</v>
      </c>
      <c r="K883" s="82"/>
      <c r="L883" s="82"/>
      <c r="M883" s="81"/>
      <c r="N883" s="85"/>
      <c r="O883" s="86"/>
      <c r="P883" s="86"/>
      <c r="Q883" s="86"/>
      <c r="R883" s="86"/>
      <c r="S883" s="87"/>
      <c r="T883" s="87"/>
      <c r="U883" s="87"/>
      <c r="V883" s="87"/>
      <c r="W883" s="88"/>
      <c r="X883" s="89"/>
      <c r="Y883" s="90"/>
      <c r="Z883" s="90"/>
      <c r="AA883" s="90"/>
      <c r="AB883" s="90"/>
      <c r="AC883" s="90"/>
    </row>
    <row r="884">
      <c r="A884" s="104"/>
      <c r="B884" s="101"/>
      <c r="C884" s="105"/>
      <c r="D884" s="93"/>
      <c r="E884" s="106"/>
      <c r="F884" s="107"/>
      <c r="G884" s="108"/>
      <c r="H884" s="97">
        <f>G884*ENTRY!$O878</f>
        <v>0</v>
      </c>
      <c r="I884" s="97">
        <f>G884*ENTRY!$P878</f>
        <v>0</v>
      </c>
      <c r="J884" s="97">
        <f>G884*ENTRY!$Q878</f>
        <v>0</v>
      </c>
      <c r="K884" s="95"/>
      <c r="L884" s="109"/>
      <c r="M884" s="106"/>
      <c r="N884" s="98"/>
      <c r="O884" s="99"/>
      <c r="P884" s="99"/>
      <c r="Q884" s="99"/>
      <c r="R884" s="99"/>
      <c r="S884" s="100"/>
      <c r="T884" s="100"/>
      <c r="U884" s="100"/>
      <c r="V884" s="100"/>
      <c r="W884" s="88"/>
      <c r="X884" s="89"/>
      <c r="Y884" s="90"/>
      <c r="Z884" s="90"/>
      <c r="AA884" s="90"/>
      <c r="AB884" s="90"/>
      <c r="AC884" s="90"/>
    </row>
    <row r="885">
      <c r="A885" s="104"/>
      <c r="B885" s="101"/>
      <c r="C885" s="105"/>
      <c r="D885" s="80"/>
      <c r="E885" s="81"/>
      <c r="F885" s="82"/>
      <c r="G885" s="83"/>
      <c r="H885" s="84">
        <f>G885*ENTRY!$O879</f>
        <v>0</v>
      </c>
      <c r="I885" s="84">
        <f>G885*ENTRY!$P879</f>
        <v>0</v>
      </c>
      <c r="J885" s="84">
        <f>G885*ENTRY!$Q879</f>
        <v>0</v>
      </c>
      <c r="K885" s="82"/>
      <c r="L885" s="82"/>
      <c r="M885" s="81"/>
      <c r="N885" s="85"/>
      <c r="O885" s="86"/>
      <c r="P885" s="86"/>
      <c r="Q885" s="86"/>
      <c r="R885" s="86"/>
      <c r="S885" s="87"/>
      <c r="T885" s="87"/>
      <c r="U885" s="87"/>
      <c r="V885" s="87"/>
      <c r="W885" s="88"/>
      <c r="X885" s="89"/>
      <c r="Y885" s="90"/>
      <c r="Z885" s="90"/>
      <c r="AA885" s="90"/>
      <c r="AB885" s="90"/>
      <c r="AC885" s="90"/>
    </row>
    <row r="886">
      <c r="A886" s="104"/>
      <c r="B886" s="101"/>
      <c r="C886" s="105"/>
      <c r="D886" s="93"/>
      <c r="E886" s="106"/>
      <c r="F886" s="107"/>
      <c r="G886" s="108"/>
      <c r="H886" s="97">
        <f>G886*ENTRY!$O880</f>
        <v>0</v>
      </c>
      <c r="I886" s="97">
        <f>G886*ENTRY!$P880</f>
        <v>0</v>
      </c>
      <c r="J886" s="97">
        <f>G886*ENTRY!$Q880</f>
        <v>0</v>
      </c>
      <c r="K886" s="95"/>
      <c r="L886" s="109"/>
      <c r="M886" s="106"/>
      <c r="N886" s="98"/>
      <c r="O886" s="99"/>
      <c r="P886" s="99"/>
      <c r="Q886" s="99"/>
      <c r="R886" s="99"/>
      <c r="S886" s="100"/>
      <c r="T886" s="100"/>
      <c r="U886" s="100"/>
      <c r="V886" s="100"/>
      <c r="W886" s="88"/>
      <c r="X886" s="89"/>
      <c r="Y886" s="90"/>
      <c r="Z886" s="90"/>
      <c r="AA886" s="90"/>
      <c r="AB886" s="90"/>
      <c r="AC886" s="90"/>
    </row>
    <row r="887">
      <c r="A887" s="104"/>
      <c r="B887" s="101"/>
      <c r="C887" s="105"/>
      <c r="D887" s="80"/>
      <c r="E887" s="81"/>
      <c r="F887" s="82"/>
      <c r="G887" s="83"/>
      <c r="H887" s="84">
        <f>G887*ENTRY!$O881</f>
        <v>0</v>
      </c>
      <c r="I887" s="84">
        <f>G887*ENTRY!$P881</f>
        <v>0</v>
      </c>
      <c r="J887" s="84">
        <f>G887*ENTRY!$Q881</f>
        <v>0</v>
      </c>
      <c r="K887" s="82"/>
      <c r="L887" s="82"/>
      <c r="M887" s="81"/>
      <c r="N887" s="85"/>
      <c r="O887" s="86"/>
      <c r="P887" s="86"/>
      <c r="Q887" s="86"/>
      <c r="R887" s="86"/>
      <c r="S887" s="87"/>
      <c r="T887" s="87"/>
      <c r="U887" s="87"/>
      <c r="V887" s="87"/>
      <c r="W887" s="88"/>
      <c r="X887" s="89"/>
      <c r="Y887" s="90"/>
      <c r="Z887" s="90"/>
      <c r="AA887" s="90"/>
      <c r="AB887" s="90"/>
      <c r="AC887" s="90"/>
    </row>
    <row r="888">
      <c r="A888" s="104"/>
      <c r="B888" s="101"/>
      <c r="C888" s="105"/>
      <c r="D888" s="93"/>
      <c r="E888" s="106"/>
      <c r="F888" s="107"/>
      <c r="G888" s="108"/>
      <c r="H888" s="97">
        <f>G888*ENTRY!$O882</f>
        <v>0</v>
      </c>
      <c r="I888" s="97">
        <f>G888*ENTRY!$P882</f>
        <v>0</v>
      </c>
      <c r="J888" s="97">
        <f>G888*ENTRY!$Q882</f>
        <v>0</v>
      </c>
      <c r="K888" s="95"/>
      <c r="L888" s="109"/>
      <c r="M888" s="106"/>
      <c r="N888" s="98"/>
      <c r="O888" s="99"/>
      <c r="P888" s="99"/>
      <c r="Q888" s="99"/>
      <c r="R888" s="99"/>
      <c r="S888" s="100"/>
      <c r="T888" s="100"/>
      <c r="U888" s="100"/>
      <c r="V888" s="100"/>
      <c r="W888" s="88"/>
      <c r="X888" s="89"/>
      <c r="Y888" s="90"/>
      <c r="Z888" s="90"/>
      <c r="AA888" s="90"/>
      <c r="AB888" s="90"/>
      <c r="AC888" s="90"/>
    </row>
    <row r="889">
      <c r="A889" s="104"/>
      <c r="B889" s="101"/>
      <c r="C889" s="105"/>
      <c r="D889" s="80"/>
      <c r="E889" s="81"/>
      <c r="F889" s="82"/>
      <c r="G889" s="83"/>
      <c r="H889" s="84">
        <f>G889*ENTRY!$O883</f>
        <v>0</v>
      </c>
      <c r="I889" s="84">
        <f>G889*ENTRY!$P883</f>
        <v>0</v>
      </c>
      <c r="J889" s="84">
        <f>G889*ENTRY!$Q883</f>
        <v>0</v>
      </c>
      <c r="K889" s="82"/>
      <c r="L889" s="82"/>
      <c r="M889" s="81"/>
      <c r="N889" s="85"/>
      <c r="O889" s="86"/>
      <c r="P889" s="86"/>
      <c r="Q889" s="86"/>
      <c r="R889" s="86"/>
      <c r="S889" s="87"/>
      <c r="T889" s="87"/>
      <c r="U889" s="87"/>
      <c r="V889" s="87"/>
      <c r="W889" s="88"/>
      <c r="X889" s="89"/>
      <c r="Y889" s="90"/>
      <c r="Z889" s="90"/>
      <c r="AA889" s="90"/>
      <c r="AB889" s="90"/>
      <c r="AC889" s="90"/>
    </row>
    <row r="890">
      <c r="A890" s="104"/>
      <c r="B890" s="101"/>
      <c r="C890" s="105"/>
      <c r="D890" s="93"/>
      <c r="E890" s="106"/>
      <c r="F890" s="107"/>
      <c r="G890" s="108"/>
      <c r="H890" s="97">
        <f>G890*ENTRY!$O884</f>
        <v>0</v>
      </c>
      <c r="I890" s="97">
        <f>G890*ENTRY!$P884</f>
        <v>0</v>
      </c>
      <c r="J890" s="97">
        <f>G890*ENTRY!$Q884</f>
        <v>0</v>
      </c>
      <c r="K890" s="95"/>
      <c r="L890" s="109"/>
      <c r="M890" s="106"/>
      <c r="N890" s="98"/>
      <c r="O890" s="99"/>
      <c r="P890" s="99"/>
      <c r="Q890" s="99"/>
      <c r="R890" s="99"/>
      <c r="S890" s="100"/>
      <c r="T890" s="100"/>
      <c r="U890" s="100"/>
      <c r="V890" s="100"/>
      <c r="W890" s="88"/>
      <c r="X890" s="89"/>
      <c r="Y890" s="90"/>
      <c r="Z890" s="90"/>
      <c r="AA890" s="90"/>
      <c r="AB890" s="90"/>
      <c r="AC890" s="90"/>
    </row>
    <row r="891">
      <c r="A891" s="104"/>
      <c r="B891" s="101"/>
      <c r="C891" s="105"/>
      <c r="D891" s="80"/>
      <c r="E891" s="81"/>
      <c r="F891" s="82"/>
      <c r="G891" s="83"/>
      <c r="H891" s="84">
        <f>G891*ENTRY!$O885</f>
        <v>0</v>
      </c>
      <c r="I891" s="84">
        <f>G891*ENTRY!$P885</f>
        <v>0</v>
      </c>
      <c r="J891" s="84">
        <f>G891*ENTRY!$Q885</f>
        <v>0</v>
      </c>
      <c r="K891" s="82"/>
      <c r="L891" s="82"/>
      <c r="M891" s="81"/>
      <c r="N891" s="85"/>
      <c r="O891" s="86"/>
      <c r="P891" s="86"/>
      <c r="Q891" s="86"/>
      <c r="R891" s="86"/>
      <c r="S891" s="87"/>
      <c r="T891" s="87"/>
      <c r="U891" s="87"/>
      <c r="V891" s="87"/>
      <c r="W891" s="88"/>
      <c r="X891" s="89"/>
      <c r="Y891" s="90"/>
      <c r="Z891" s="90"/>
      <c r="AA891" s="90"/>
      <c r="AB891" s="90"/>
      <c r="AC891" s="90"/>
    </row>
    <row r="892">
      <c r="A892" s="104"/>
      <c r="B892" s="101"/>
      <c r="C892" s="105"/>
      <c r="D892" s="93"/>
      <c r="E892" s="106"/>
      <c r="F892" s="107"/>
      <c r="G892" s="108"/>
      <c r="H892" s="97">
        <f>G892*ENTRY!$O886</f>
        <v>0</v>
      </c>
      <c r="I892" s="97">
        <f>G892*ENTRY!$P886</f>
        <v>0</v>
      </c>
      <c r="J892" s="97">
        <f>G892*ENTRY!$Q886</f>
        <v>0</v>
      </c>
      <c r="K892" s="95"/>
      <c r="L892" s="109"/>
      <c r="M892" s="106"/>
      <c r="N892" s="98"/>
      <c r="O892" s="99"/>
      <c r="P892" s="99"/>
      <c r="Q892" s="99"/>
      <c r="R892" s="99"/>
      <c r="S892" s="100"/>
      <c r="T892" s="100"/>
      <c r="U892" s="100"/>
      <c r="V892" s="100"/>
      <c r="W892" s="88"/>
      <c r="X892" s="89"/>
      <c r="Y892" s="90"/>
      <c r="Z892" s="90"/>
      <c r="AA892" s="90"/>
      <c r="AB892" s="90"/>
      <c r="AC892" s="90"/>
    </row>
    <row r="893">
      <c r="A893" s="104"/>
      <c r="B893" s="101"/>
      <c r="C893" s="105"/>
      <c r="D893" s="80"/>
      <c r="E893" s="81"/>
      <c r="F893" s="82"/>
      <c r="G893" s="83"/>
      <c r="H893" s="84">
        <f>G893*ENTRY!$O887</f>
        <v>0</v>
      </c>
      <c r="I893" s="84">
        <f>G893*ENTRY!$P887</f>
        <v>0</v>
      </c>
      <c r="J893" s="84">
        <f>G893*ENTRY!$Q887</f>
        <v>0</v>
      </c>
      <c r="K893" s="82"/>
      <c r="L893" s="82"/>
      <c r="M893" s="81"/>
      <c r="N893" s="85"/>
      <c r="O893" s="86"/>
      <c r="P893" s="86"/>
      <c r="Q893" s="86"/>
      <c r="R893" s="86"/>
      <c r="S893" s="87"/>
      <c r="T893" s="87"/>
      <c r="U893" s="87"/>
      <c r="V893" s="87"/>
      <c r="W893" s="88"/>
      <c r="X893" s="89"/>
      <c r="Y893" s="90"/>
      <c r="Z893" s="90"/>
      <c r="AA893" s="90"/>
      <c r="AB893" s="90"/>
      <c r="AC893" s="90"/>
    </row>
    <row r="894">
      <c r="A894" s="104"/>
      <c r="B894" s="101"/>
      <c r="C894" s="105"/>
      <c r="D894" s="93"/>
      <c r="E894" s="106"/>
      <c r="F894" s="107"/>
      <c r="G894" s="108"/>
      <c r="H894" s="97">
        <f>G894*ENTRY!$O888</f>
        <v>0</v>
      </c>
      <c r="I894" s="97">
        <f>G894*ENTRY!$P888</f>
        <v>0</v>
      </c>
      <c r="J894" s="97">
        <f>G894*ENTRY!$Q888</f>
        <v>0</v>
      </c>
      <c r="K894" s="95"/>
      <c r="L894" s="109"/>
      <c r="M894" s="106"/>
      <c r="N894" s="98"/>
      <c r="O894" s="99"/>
      <c r="P894" s="99"/>
      <c r="Q894" s="99"/>
      <c r="R894" s="99"/>
      <c r="S894" s="100"/>
      <c r="T894" s="100"/>
      <c r="U894" s="100"/>
      <c r="V894" s="100"/>
      <c r="W894" s="88"/>
      <c r="X894" s="89"/>
      <c r="Y894" s="90"/>
      <c r="Z894" s="90"/>
      <c r="AA894" s="90"/>
      <c r="AB894" s="90"/>
      <c r="AC894" s="90"/>
    </row>
    <row r="895">
      <c r="A895" s="104"/>
      <c r="B895" s="101"/>
      <c r="C895" s="105"/>
      <c r="D895" s="80"/>
      <c r="E895" s="81"/>
      <c r="F895" s="82"/>
      <c r="G895" s="83"/>
      <c r="H895" s="84">
        <f>G895*ENTRY!$O889</f>
        <v>0</v>
      </c>
      <c r="I895" s="84">
        <f>G895*ENTRY!$P889</f>
        <v>0</v>
      </c>
      <c r="J895" s="84">
        <f>G895*ENTRY!$Q889</f>
        <v>0</v>
      </c>
      <c r="K895" s="82"/>
      <c r="L895" s="82"/>
      <c r="M895" s="81"/>
      <c r="N895" s="85"/>
      <c r="O895" s="86"/>
      <c r="P895" s="86"/>
      <c r="Q895" s="86"/>
      <c r="R895" s="86"/>
      <c r="S895" s="87"/>
      <c r="T895" s="87"/>
      <c r="U895" s="87"/>
      <c r="V895" s="87"/>
      <c r="W895" s="88"/>
      <c r="X895" s="89"/>
      <c r="Y895" s="90"/>
      <c r="Z895" s="90"/>
      <c r="AA895" s="90"/>
      <c r="AB895" s="90"/>
      <c r="AC895" s="90"/>
    </row>
    <row r="896">
      <c r="A896" s="104"/>
      <c r="B896" s="101"/>
      <c r="C896" s="105"/>
      <c r="D896" s="93"/>
      <c r="E896" s="106"/>
      <c r="F896" s="107"/>
      <c r="G896" s="108"/>
      <c r="H896" s="97">
        <f>G896*ENTRY!$O890</f>
        <v>0</v>
      </c>
      <c r="I896" s="97">
        <f>G896*ENTRY!$P890</f>
        <v>0</v>
      </c>
      <c r="J896" s="97">
        <f>G896*ENTRY!$Q890</f>
        <v>0</v>
      </c>
      <c r="K896" s="95"/>
      <c r="L896" s="109"/>
      <c r="M896" s="106"/>
      <c r="N896" s="98"/>
      <c r="O896" s="99"/>
      <c r="P896" s="99"/>
      <c r="Q896" s="99"/>
      <c r="R896" s="99"/>
      <c r="S896" s="100"/>
      <c r="T896" s="100"/>
      <c r="U896" s="100"/>
      <c r="V896" s="100"/>
      <c r="W896" s="88"/>
      <c r="X896" s="89"/>
      <c r="Y896" s="90"/>
      <c r="Z896" s="90"/>
      <c r="AA896" s="90"/>
      <c r="AB896" s="90"/>
      <c r="AC896" s="90"/>
    </row>
    <row r="897">
      <c r="A897" s="104"/>
      <c r="B897" s="101"/>
      <c r="C897" s="105"/>
      <c r="D897" s="80"/>
      <c r="E897" s="81"/>
      <c r="F897" s="82"/>
      <c r="G897" s="83"/>
      <c r="H897" s="84">
        <f>G897*ENTRY!$O891</f>
        <v>0</v>
      </c>
      <c r="I897" s="84">
        <f>G897*ENTRY!$P891</f>
        <v>0</v>
      </c>
      <c r="J897" s="84">
        <f>G897*ENTRY!$Q891</f>
        <v>0</v>
      </c>
      <c r="K897" s="82"/>
      <c r="L897" s="82"/>
      <c r="M897" s="81"/>
      <c r="N897" s="85"/>
      <c r="O897" s="86"/>
      <c r="P897" s="86"/>
      <c r="Q897" s="86"/>
      <c r="R897" s="86"/>
      <c r="S897" s="87"/>
      <c r="T897" s="87"/>
      <c r="U897" s="87"/>
      <c r="V897" s="87"/>
      <c r="W897" s="88"/>
      <c r="X897" s="89"/>
      <c r="Y897" s="90"/>
      <c r="Z897" s="90"/>
      <c r="AA897" s="90"/>
      <c r="AB897" s="90"/>
      <c r="AC897" s="90"/>
    </row>
    <row r="898">
      <c r="A898" s="104"/>
      <c r="B898" s="101"/>
      <c r="C898" s="105"/>
      <c r="D898" s="93"/>
      <c r="E898" s="106"/>
      <c r="F898" s="107"/>
      <c r="G898" s="108"/>
      <c r="H898" s="97">
        <f>G898*ENTRY!$O892</f>
        <v>0</v>
      </c>
      <c r="I898" s="97">
        <f>G898*ENTRY!$P892</f>
        <v>0</v>
      </c>
      <c r="J898" s="97">
        <f>G898*ENTRY!$Q892</f>
        <v>0</v>
      </c>
      <c r="K898" s="95"/>
      <c r="L898" s="109"/>
      <c r="M898" s="106"/>
      <c r="N898" s="98"/>
      <c r="O898" s="99"/>
      <c r="P898" s="99"/>
      <c r="Q898" s="99"/>
      <c r="R898" s="99"/>
      <c r="S898" s="100"/>
      <c r="T898" s="100"/>
      <c r="U898" s="100"/>
      <c r="V898" s="100"/>
      <c r="W898" s="88"/>
      <c r="X898" s="89"/>
      <c r="Y898" s="90"/>
      <c r="Z898" s="90"/>
      <c r="AA898" s="90"/>
      <c r="AB898" s="90"/>
      <c r="AC898" s="90"/>
    </row>
    <row r="899">
      <c r="A899" s="104"/>
      <c r="B899" s="101"/>
      <c r="C899" s="105"/>
      <c r="D899" s="80"/>
      <c r="E899" s="81"/>
      <c r="F899" s="82"/>
      <c r="G899" s="83"/>
      <c r="H899" s="84">
        <f>G899*ENTRY!$O893</f>
        <v>0</v>
      </c>
      <c r="I899" s="84">
        <f>G899*ENTRY!$P893</f>
        <v>0</v>
      </c>
      <c r="J899" s="84">
        <f>G899*ENTRY!$Q893</f>
        <v>0</v>
      </c>
      <c r="K899" s="82"/>
      <c r="L899" s="82"/>
      <c r="M899" s="81"/>
      <c r="N899" s="85"/>
      <c r="O899" s="86"/>
      <c r="P899" s="86"/>
      <c r="Q899" s="86"/>
      <c r="R899" s="86"/>
      <c r="S899" s="87"/>
      <c r="T899" s="87"/>
      <c r="U899" s="87"/>
      <c r="V899" s="87"/>
      <c r="W899" s="88"/>
      <c r="X899" s="89"/>
      <c r="Y899" s="90"/>
      <c r="Z899" s="90"/>
      <c r="AA899" s="90"/>
      <c r="AB899" s="90"/>
      <c r="AC899" s="90"/>
    </row>
    <row r="900">
      <c r="A900" s="104"/>
      <c r="B900" s="101"/>
      <c r="C900" s="105"/>
      <c r="D900" s="93"/>
      <c r="E900" s="106"/>
      <c r="F900" s="107"/>
      <c r="G900" s="108"/>
      <c r="H900" s="97">
        <f>G900*ENTRY!$O894</f>
        <v>0</v>
      </c>
      <c r="I900" s="97">
        <f>G900*ENTRY!$P894</f>
        <v>0</v>
      </c>
      <c r="J900" s="97">
        <f>G900*ENTRY!$Q894</f>
        <v>0</v>
      </c>
      <c r="K900" s="95"/>
      <c r="L900" s="109"/>
      <c r="M900" s="106"/>
      <c r="N900" s="98"/>
      <c r="O900" s="99"/>
      <c r="P900" s="99"/>
      <c r="Q900" s="99"/>
      <c r="R900" s="99"/>
      <c r="S900" s="100"/>
      <c r="T900" s="100"/>
      <c r="U900" s="100"/>
      <c r="V900" s="100"/>
      <c r="W900" s="88"/>
      <c r="X900" s="89"/>
      <c r="Y900" s="90"/>
      <c r="Z900" s="90"/>
      <c r="AA900" s="90"/>
      <c r="AB900" s="90"/>
      <c r="AC900" s="90"/>
    </row>
    <row r="901">
      <c r="A901" s="104"/>
      <c r="B901" s="101"/>
      <c r="C901" s="105"/>
      <c r="D901" s="80"/>
      <c r="E901" s="81"/>
      <c r="F901" s="82"/>
      <c r="G901" s="83"/>
      <c r="H901" s="84">
        <f>G901*ENTRY!$O895</f>
        <v>0</v>
      </c>
      <c r="I901" s="84">
        <f>G901*ENTRY!$P895</f>
        <v>0</v>
      </c>
      <c r="J901" s="84">
        <f>G901*ENTRY!$Q895</f>
        <v>0</v>
      </c>
      <c r="K901" s="82"/>
      <c r="L901" s="82"/>
      <c r="M901" s="81"/>
      <c r="N901" s="85"/>
      <c r="O901" s="86"/>
      <c r="P901" s="86"/>
      <c r="Q901" s="86"/>
      <c r="R901" s="86"/>
      <c r="S901" s="87"/>
      <c r="T901" s="87"/>
      <c r="U901" s="87"/>
      <c r="V901" s="87"/>
      <c r="W901" s="88"/>
      <c r="X901" s="89"/>
      <c r="Y901" s="90"/>
      <c r="Z901" s="90"/>
      <c r="AA901" s="90"/>
      <c r="AB901" s="90"/>
      <c r="AC901" s="90"/>
    </row>
    <row r="902">
      <c r="A902" s="104"/>
      <c r="B902" s="101"/>
      <c r="C902" s="105"/>
      <c r="D902" s="93"/>
      <c r="E902" s="106"/>
      <c r="F902" s="107"/>
      <c r="G902" s="108"/>
      <c r="H902" s="97">
        <f>G902*ENTRY!$O896</f>
        <v>0</v>
      </c>
      <c r="I902" s="97">
        <f>G902*ENTRY!$P896</f>
        <v>0</v>
      </c>
      <c r="J902" s="97">
        <f>G902*ENTRY!$Q896</f>
        <v>0</v>
      </c>
      <c r="K902" s="95"/>
      <c r="L902" s="109"/>
      <c r="M902" s="106"/>
      <c r="N902" s="98"/>
      <c r="O902" s="99"/>
      <c r="P902" s="99"/>
      <c r="Q902" s="99"/>
      <c r="R902" s="99"/>
      <c r="S902" s="100"/>
      <c r="T902" s="100"/>
      <c r="U902" s="100"/>
      <c r="V902" s="100"/>
      <c r="W902" s="88"/>
      <c r="X902" s="89"/>
      <c r="Y902" s="90"/>
      <c r="Z902" s="90"/>
      <c r="AA902" s="90"/>
      <c r="AB902" s="90"/>
      <c r="AC902" s="90"/>
    </row>
    <row r="903">
      <c r="A903" s="104"/>
      <c r="B903" s="101"/>
      <c r="C903" s="105"/>
      <c r="D903" s="80"/>
      <c r="E903" s="81"/>
      <c r="F903" s="82"/>
      <c r="G903" s="83"/>
      <c r="H903" s="84">
        <f>G903*ENTRY!$O897</f>
        <v>0</v>
      </c>
      <c r="I903" s="84">
        <f>G903*ENTRY!$P897</f>
        <v>0</v>
      </c>
      <c r="J903" s="84">
        <f>G903*ENTRY!$Q897</f>
        <v>0</v>
      </c>
      <c r="K903" s="82"/>
      <c r="L903" s="82"/>
      <c r="M903" s="81"/>
      <c r="N903" s="85"/>
      <c r="O903" s="86"/>
      <c r="P903" s="86"/>
      <c r="Q903" s="86"/>
      <c r="R903" s="86"/>
      <c r="S903" s="87"/>
      <c r="T903" s="87"/>
      <c r="U903" s="87"/>
      <c r="V903" s="87"/>
      <c r="W903" s="88"/>
      <c r="X903" s="89"/>
      <c r="Y903" s="90"/>
      <c r="Z903" s="90"/>
      <c r="AA903" s="90"/>
      <c r="AB903" s="90"/>
      <c r="AC903" s="90"/>
    </row>
    <row r="904">
      <c r="A904" s="104"/>
      <c r="B904" s="101"/>
      <c r="C904" s="105"/>
      <c r="D904" s="93"/>
      <c r="E904" s="106"/>
      <c r="F904" s="107"/>
      <c r="G904" s="108"/>
      <c r="H904" s="97">
        <f>G904*ENTRY!$O898</f>
        <v>0</v>
      </c>
      <c r="I904" s="97">
        <f>G904*ENTRY!$P898</f>
        <v>0</v>
      </c>
      <c r="J904" s="97">
        <f>G904*ENTRY!$Q898</f>
        <v>0</v>
      </c>
      <c r="K904" s="95"/>
      <c r="L904" s="109"/>
      <c r="M904" s="106"/>
      <c r="N904" s="98"/>
      <c r="O904" s="99"/>
      <c r="P904" s="99"/>
      <c r="Q904" s="99"/>
      <c r="R904" s="99"/>
      <c r="S904" s="100"/>
      <c r="T904" s="100"/>
      <c r="U904" s="100"/>
      <c r="V904" s="100"/>
      <c r="W904" s="88"/>
      <c r="X904" s="89"/>
      <c r="Y904" s="90"/>
      <c r="Z904" s="90"/>
      <c r="AA904" s="90"/>
      <c r="AB904" s="90"/>
      <c r="AC904" s="90"/>
    </row>
    <row r="905">
      <c r="A905" s="104"/>
      <c r="B905" s="101"/>
      <c r="C905" s="105"/>
      <c r="D905" s="80"/>
      <c r="E905" s="81"/>
      <c r="F905" s="82"/>
      <c r="G905" s="83"/>
      <c r="H905" s="84">
        <f>G905*ENTRY!$O899</f>
        <v>0</v>
      </c>
      <c r="I905" s="84">
        <f>G905*ENTRY!$P899</f>
        <v>0</v>
      </c>
      <c r="J905" s="84">
        <f>G905*ENTRY!$Q899</f>
        <v>0</v>
      </c>
      <c r="K905" s="82"/>
      <c r="L905" s="82"/>
      <c r="M905" s="81"/>
      <c r="N905" s="85"/>
      <c r="O905" s="86"/>
      <c r="P905" s="86"/>
      <c r="Q905" s="86"/>
      <c r="R905" s="86"/>
      <c r="S905" s="87"/>
      <c r="T905" s="87"/>
      <c r="U905" s="87"/>
      <c r="V905" s="87"/>
      <c r="W905" s="88"/>
      <c r="X905" s="89"/>
      <c r="Y905" s="90"/>
      <c r="Z905" s="90"/>
      <c r="AA905" s="90"/>
      <c r="AB905" s="90"/>
      <c r="AC905" s="90"/>
    </row>
    <row r="906">
      <c r="A906" s="104"/>
      <c r="B906" s="101"/>
      <c r="C906" s="105"/>
      <c r="D906" s="93"/>
      <c r="E906" s="106"/>
      <c r="F906" s="107"/>
      <c r="G906" s="108"/>
      <c r="H906" s="97">
        <f>G906*ENTRY!$O900</f>
        <v>0</v>
      </c>
      <c r="I906" s="97">
        <f>G906*ENTRY!$P900</f>
        <v>0</v>
      </c>
      <c r="J906" s="97">
        <f>G906*ENTRY!$Q900</f>
        <v>0</v>
      </c>
      <c r="K906" s="95"/>
      <c r="L906" s="109"/>
      <c r="M906" s="106"/>
      <c r="N906" s="98"/>
      <c r="O906" s="99"/>
      <c r="P906" s="99"/>
      <c r="Q906" s="99"/>
      <c r="R906" s="99"/>
      <c r="S906" s="100"/>
      <c r="T906" s="100"/>
      <c r="U906" s="100"/>
      <c r="V906" s="100"/>
      <c r="W906" s="88"/>
      <c r="X906" s="89"/>
      <c r="Y906" s="90"/>
      <c r="Z906" s="90"/>
      <c r="AA906" s="90"/>
      <c r="AB906" s="90"/>
      <c r="AC906" s="90"/>
    </row>
    <row r="907">
      <c r="A907" s="104"/>
      <c r="B907" s="101"/>
      <c r="C907" s="105"/>
      <c r="D907" s="80"/>
      <c r="E907" s="81"/>
      <c r="F907" s="82"/>
      <c r="G907" s="83"/>
      <c r="H907" s="84">
        <f>G907*ENTRY!$O901</f>
        <v>0</v>
      </c>
      <c r="I907" s="84">
        <f>G907*ENTRY!$P901</f>
        <v>0</v>
      </c>
      <c r="J907" s="84">
        <f>G907*ENTRY!$Q901</f>
        <v>0</v>
      </c>
      <c r="K907" s="82"/>
      <c r="L907" s="82"/>
      <c r="M907" s="81"/>
      <c r="N907" s="85"/>
      <c r="O907" s="86"/>
      <c r="P907" s="86"/>
      <c r="Q907" s="86"/>
      <c r="R907" s="86"/>
      <c r="S907" s="87"/>
      <c r="T907" s="87"/>
      <c r="U907" s="87"/>
      <c r="V907" s="87"/>
      <c r="W907" s="88"/>
      <c r="X907" s="89"/>
      <c r="Y907" s="90"/>
      <c r="Z907" s="90"/>
      <c r="AA907" s="90"/>
      <c r="AB907" s="90"/>
      <c r="AC907" s="90"/>
    </row>
    <row r="908">
      <c r="A908" s="104"/>
      <c r="B908" s="101"/>
      <c r="C908" s="105"/>
      <c r="D908" s="93"/>
      <c r="E908" s="106"/>
      <c r="F908" s="107"/>
      <c r="G908" s="108"/>
      <c r="H908" s="97">
        <f>G908*ENTRY!$O902</f>
        <v>0</v>
      </c>
      <c r="I908" s="97">
        <f>G908*ENTRY!$P902</f>
        <v>0</v>
      </c>
      <c r="J908" s="97">
        <f>G908*ENTRY!$Q902</f>
        <v>0</v>
      </c>
      <c r="K908" s="95"/>
      <c r="L908" s="109"/>
      <c r="M908" s="106"/>
      <c r="N908" s="98"/>
      <c r="O908" s="99"/>
      <c r="P908" s="99"/>
      <c r="Q908" s="99"/>
      <c r="R908" s="99"/>
      <c r="S908" s="100"/>
      <c r="T908" s="100"/>
      <c r="U908" s="100"/>
      <c r="V908" s="100"/>
      <c r="W908" s="88"/>
      <c r="X908" s="89"/>
      <c r="Y908" s="90"/>
      <c r="Z908" s="90"/>
      <c r="AA908" s="90"/>
      <c r="AB908" s="90"/>
      <c r="AC908" s="90"/>
    </row>
    <row r="909">
      <c r="A909" s="104"/>
      <c r="B909" s="101"/>
      <c r="C909" s="105"/>
      <c r="D909" s="80"/>
      <c r="E909" s="81"/>
      <c r="F909" s="82"/>
      <c r="G909" s="83"/>
      <c r="H909" s="84">
        <f>G909*ENTRY!$O903</f>
        <v>0</v>
      </c>
      <c r="I909" s="84">
        <f>G909*ENTRY!$P903</f>
        <v>0</v>
      </c>
      <c r="J909" s="84">
        <f>G909*ENTRY!$Q903</f>
        <v>0</v>
      </c>
      <c r="K909" s="82"/>
      <c r="L909" s="82"/>
      <c r="M909" s="81"/>
      <c r="N909" s="85"/>
      <c r="O909" s="86"/>
      <c r="P909" s="86"/>
      <c r="Q909" s="86"/>
      <c r="R909" s="86"/>
      <c r="S909" s="87"/>
      <c r="T909" s="87"/>
      <c r="U909" s="87"/>
      <c r="V909" s="87"/>
      <c r="W909" s="88"/>
      <c r="X909" s="89"/>
      <c r="Y909" s="90"/>
      <c r="Z909" s="90"/>
      <c r="AA909" s="90"/>
      <c r="AB909" s="90"/>
      <c r="AC909" s="90"/>
    </row>
    <row r="910">
      <c r="A910" s="104"/>
      <c r="B910" s="101"/>
      <c r="C910" s="105"/>
      <c r="D910" s="93"/>
      <c r="E910" s="106"/>
      <c r="F910" s="107"/>
      <c r="G910" s="108"/>
      <c r="H910" s="97">
        <f>G910*ENTRY!$O904</f>
        <v>0</v>
      </c>
      <c r="I910" s="97">
        <f>G910*ENTRY!$P904</f>
        <v>0</v>
      </c>
      <c r="J910" s="97">
        <f>G910*ENTRY!$Q904</f>
        <v>0</v>
      </c>
      <c r="K910" s="95"/>
      <c r="L910" s="109"/>
      <c r="M910" s="106"/>
      <c r="N910" s="98"/>
      <c r="O910" s="99"/>
      <c r="P910" s="99"/>
      <c r="Q910" s="99"/>
      <c r="R910" s="99"/>
      <c r="S910" s="100"/>
      <c r="T910" s="100"/>
      <c r="U910" s="100"/>
      <c r="V910" s="100"/>
      <c r="W910" s="88"/>
      <c r="X910" s="89"/>
      <c r="Y910" s="90"/>
      <c r="Z910" s="90"/>
      <c r="AA910" s="90"/>
      <c r="AB910" s="90"/>
      <c r="AC910" s="90"/>
    </row>
    <row r="911">
      <c r="A911" s="104"/>
      <c r="B911" s="101"/>
      <c r="C911" s="105"/>
      <c r="D911" s="80"/>
      <c r="E911" s="81"/>
      <c r="F911" s="82"/>
      <c r="G911" s="83"/>
      <c r="H911" s="84">
        <f>G911*ENTRY!$O905</f>
        <v>0</v>
      </c>
      <c r="I911" s="84">
        <f>G911*ENTRY!$P905</f>
        <v>0</v>
      </c>
      <c r="J911" s="84">
        <f>G911*ENTRY!$Q905</f>
        <v>0</v>
      </c>
      <c r="K911" s="82"/>
      <c r="L911" s="82"/>
      <c r="M911" s="81"/>
      <c r="N911" s="85"/>
      <c r="O911" s="86"/>
      <c r="P911" s="86"/>
      <c r="Q911" s="86"/>
      <c r="R911" s="86"/>
      <c r="S911" s="87"/>
      <c r="T911" s="87"/>
      <c r="U911" s="87"/>
      <c r="V911" s="87"/>
      <c r="W911" s="88"/>
      <c r="X911" s="89"/>
      <c r="Y911" s="90"/>
      <c r="Z911" s="90"/>
      <c r="AA911" s="90"/>
      <c r="AB911" s="90"/>
      <c r="AC911" s="90"/>
    </row>
    <row r="912">
      <c r="A912" s="104"/>
      <c r="B912" s="101"/>
      <c r="C912" s="105"/>
      <c r="D912" s="93"/>
      <c r="E912" s="106"/>
      <c r="F912" s="107"/>
      <c r="G912" s="108"/>
      <c r="H912" s="97">
        <f>G912*ENTRY!$O906</f>
        <v>0</v>
      </c>
      <c r="I912" s="97">
        <f>G912*ENTRY!$P906</f>
        <v>0</v>
      </c>
      <c r="J912" s="97">
        <f>G912*ENTRY!$Q906</f>
        <v>0</v>
      </c>
      <c r="K912" s="95"/>
      <c r="L912" s="109"/>
      <c r="M912" s="106"/>
      <c r="N912" s="98"/>
      <c r="O912" s="99"/>
      <c r="P912" s="99"/>
      <c r="Q912" s="99"/>
      <c r="R912" s="99"/>
      <c r="S912" s="100"/>
      <c r="T912" s="100"/>
      <c r="U912" s="100"/>
      <c r="V912" s="100"/>
      <c r="W912" s="88"/>
      <c r="X912" s="89"/>
      <c r="Y912" s="90"/>
      <c r="Z912" s="90"/>
      <c r="AA912" s="90"/>
      <c r="AB912" s="90"/>
      <c r="AC912" s="90"/>
    </row>
    <row r="913">
      <c r="A913" s="104"/>
      <c r="B913" s="101"/>
      <c r="C913" s="105"/>
      <c r="D913" s="80"/>
      <c r="E913" s="81"/>
      <c r="F913" s="82"/>
      <c r="G913" s="83"/>
      <c r="H913" s="84">
        <f>G913*ENTRY!$O907</f>
        <v>0</v>
      </c>
      <c r="I913" s="84">
        <f>G913*ENTRY!$P907</f>
        <v>0</v>
      </c>
      <c r="J913" s="84">
        <f>G913*ENTRY!$Q907</f>
        <v>0</v>
      </c>
      <c r="K913" s="82"/>
      <c r="L913" s="82"/>
      <c r="M913" s="81"/>
      <c r="N913" s="85"/>
      <c r="O913" s="86"/>
      <c r="P913" s="86"/>
      <c r="Q913" s="86"/>
      <c r="R913" s="86"/>
      <c r="S913" s="87"/>
      <c r="T913" s="87"/>
      <c r="U913" s="87"/>
      <c r="V913" s="87"/>
      <c r="W913" s="88"/>
      <c r="X913" s="89"/>
      <c r="Y913" s="90"/>
      <c r="Z913" s="90"/>
      <c r="AA913" s="90"/>
      <c r="AB913" s="90"/>
      <c r="AC913" s="90"/>
    </row>
    <row r="914">
      <c r="A914" s="104"/>
      <c r="B914" s="101"/>
      <c r="C914" s="105"/>
      <c r="D914" s="93"/>
      <c r="E914" s="106"/>
      <c r="F914" s="107"/>
      <c r="G914" s="108"/>
      <c r="H914" s="97">
        <f>G914*ENTRY!$O908</f>
        <v>0</v>
      </c>
      <c r="I914" s="97">
        <f>G914*ENTRY!$P908</f>
        <v>0</v>
      </c>
      <c r="J914" s="97">
        <f>G914*ENTRY!$Q908</f>
        <v>0</v>
      </c>
      <c r="K914" s="95"/>
      <c r="L914" s="109"/>
      <c r="M914" s="106"/>
      <c r="N914" s="98"/>
      <c r="O914" s="99"/>
      <c r="P914" s="99"/>
      <c r="Q914" s="99"/>
      <c r="R914" s="99"/>
      <c r="S914" s="100"/>
      <c r="T914" s="100"/>
      <c r="U914" s="100"/>
      <c r="V914" s="100"/>
      <c r="W914" s="88"/>
      <c r="X914" s="89"/>
      <c r="Y914" s="90"/>
      <c r="Z914" s="90"/>
      <c r="AA914" s="90"/>
      <c r="AB914" s="90"/>
      <c r="AC914" s="90"/>
    </row>
    <row r="915">
      <c r="A915" s="104"/>
      <c r="B915" s="101"/>
      <c r="C915" s="105"/>
      <c r="D915" s="80"/>
      <c r="E915" s="81"/>
      <c r="F915" s="82"/>
      <c r="G915" s="83"/>
      <c r="H915" s="84">
        <f>G915*ENTRY!$O909</f>
        <v>0</v>
      </c>
      <c r="I915" s="84">
        <f>G915*ENTRY!$P909</f>
        <v>0</v>
      </c>
      <c r="J915" s="84">
        <f>G915*ENTRY!$Q909</f>
        <v>0</v>
      </c>
      <c r="K915" s="82"/>
      <c r="L915" s="82"/>
      <c r="M915" s="81"/>
      <c r="N915" s="85"/>
      <c r="O915" s="86"/>
      <c r="P915" s="86"/>
      <c r="Q915" s="86"/>
      <c r="R915" s="86"/>
      <c r="S915" s="87"/>
      <c r="T915" s="87"/>
      <c r="U915" s="87"/>
      <c r="V915" s="87"/>
      <c r="W915" s="88"/>
      <c r="X915" s="89"/>
      <c r="Y915" s="90"/>
      <c r="Z915" s="90"/>
      <c r="AA915" s="90"/>
      <c r="AB915" s="90"/>
      <c r="AC915" s="90"/>
    </row>
    <row r="916">
      <c r="A916" s="104"/>
      <c r="B916" s="101"/>
      <c r="C916" s="105"/>
      <c r="D916" s="93"/>
      <c r="E916" s="106"/>
      <c r="F916" s="107"/>
      <c r="G916" s="108"/>
      <c r="H916" s="97">
        <f>G916*ENTRY!$O910</f>
        <v>0</v>
      </c>
      <c r="I916" s="97">
        <f>G916*ENTRY!$P910</f>
        <v>0</v>
      </c>
      <c r="J916" s="97">
        <f>G916*ENTRY!$Q910</f>
        <v>0</v>
      </c>
      <c r="K916" s="95"/>
      <c r="L916" s="109"/>
      <c r="M916" s="106"/>
      <c r="N916" s="98"/>
      <c r="O916" s="99"/>
      <c r="P916" s="99"/>
      <c r="Q916" s="99"/>
      <c r="R916" s="99"/>
      <c r="S916" s="100"/>
      <c r="T916" s="100"/>
      <c r="U916" s="100"/>
      <c r="V916" s="100"/>
      <c r="W916" s="88"/>
      <c r="X916" s="89"/>
      <c r="Y916" s="90"/>
      <c r="Z916" s="90"/>
      <c r="AA916" s="90"/>
      <c r="AB916" s="90"/>
      <c r="AC916" s="90"/>
    </row>
    <row r="917">
      <c r="A917" s="104"/>
      <c r="B917" s="101"/>
      <c r="C917" s="105"/>
      <c r="D917" s="80"/>
      <c r="E917" s="81"/>
      <c r="F917" s="82"/>
      <c r="G917" s="83"/>
      <c r="H917" s="84">
        <f>G917*ENTRY!$O911</f>
        <v>0</v>
      </c>
      <c r="I917" s="84">
        <f>G917*ENTRY!$P911</f>
        <v>0</v>
      </c>
      <c r="J917" s="84">
        <f>G917*ENTRY!$Q911</f>
        <v>0</v>
      </c>
      <c r="K917" s="82"/>
      <c r="L917" s="82"/>
      <c r="M917" s="81"/>
      <c r="N917" s="85"/>
      <c r="O917" s="86"/>
      <c r="P917" s="86"/>
      <c r="Q917" s="86"/>
      <c r="R917" s="86"/>
      <c r="S917" s="87"/>
      <c r="T917" s="87"/>
      <c r="U917" s="87"/>
      <c r="V917" s="87"/>
      <c r="W917" s="88"/>
      <c r="X917" s="89"/>
      <c r="Y917" s="90"/>
      <c r="Z917" s="90"/>
      <c r="AA917" s="90"/>
      <c r="AB917" s="90"/>
      <c r="AC917" s="90"/>
    </row>
    <row r="918">
      <c r="A918" s="104"/>
      <c r="B918" s="101"/>
      <c r="C918" s="105"/>
      <c r="D918" s="93"/>
      <c r="E918" s="106"/>
      <c r="F918" s="107"/>
      <c r="G918" s="108"/>
      <c r="H918" s="97">
        <f>G918*ENTRY!$O912</f>
        <v>0</v>
      </c>
      <c r="I918" s="97">
        <f>G918*ENTRY!$P912</f>
        <v>0</v>
      </c>
      <c r="J918" s="97">
        <f>G918*ENTRY!$Q912</f>
        <v>0</v>
      </c>
      <c r="K918" s="95"/>
      <c r="L918" s="109"/>
      <c r="M918" s="106"/>
      <c r="N918" s="98"/>
      <c r="O918" s="99"/>
      <c r="P918" s="99"/>
      <c r="Q918" s="99"/>
      <c r="R918" s="99"/>
      <c r="S918" s="100"/>
      <c r="T918" s="100"/>
      <c r="U918" s="100"/>
      <c r="V918" s="100"/>
      <c r="W918" s="88"/>
      <c r="X918" s="89"/>
      <c r="Y918" s="90"/>
      <c r="Z918" s="90"/>
      <c r="AA918" s="90"/>
      <c r="AB918" s="90"/>
      <c r="AC918" s="90"/>
    </row>
    <row r="919">
      <c r="A919" s="104"/>
      <c r="B919" s="101"/>
      <c r="C919" s="105"/>
      <c r="D919" s="80"/>
      <c r="E919" s="81"/>
      <c r="F919" s="82"/>
      <c r="G919" s="83"/>
      <c r="H919" s="84">
        <f>G919*ENTRY!$O913</f>
        <v>0</v>
      </c>
      <c r="I919" s="84">
        <f>G919*ENTRY!$P913</f>
        <v>0</v>
      </c>
      <c r="J919" s="84">
        <f>G919*ENTRY!$Q913</f>
        <v>0</v>
      </c>
      <c r="K919" s="82"/>
      <c r="L919" s="82"/>
      <c r="M919" s="81"/>
      <c r="N919" s="85"/>
      <c r="O919" s="86"/>
      <c r="P919" s="86"/>
      <c r="Q919" s="86"/>
      <c r="R919" s="86"/>
      <c r="S919" s="87"/>
      <c r="T919" s="87"/>
      <c r="U919" s="87"/>
      <c r="V919" s="87"/>
      <c r="W919" s="88"/>
      <c r="X919" s="89"/>
      <c r="Y919" s="90"/>
      <c r="Z919" s="90"/>
      <c r="AA919" s="90"/>
      <c r="AB919" s="90"/>
      <c r="AC919" s="90"/>
    </row>
    <row r="920">
      <c r="A920" s="104"/>
      <c r="B920" s="101"/>
      <c r="C920" s="105"/>
      <c r="D920" s="93"/>
      <c r="E920" s="106"/>
      <c r="F920" s="107"/>
      <c r="G920" s="108"/>
      <c r="H920" s="97">
        <f>G920*ENTRY!$O914</f>
        <v>0</v>
      </c>
      <c r="I920" s="97">
        <f>G920*ENTRY!$P914</f>
        <v>0</v>
      </c>
      <c r="J920" s="97">
        <f>G920*ENTRY!$Q914</f>
        <v>0</v>
      </c>
      <c r="K920" s="95"/>
      <c r="L920" s="109"/>
      <c r="M920" s="106"/>
      <c r="N920" s="98"/>
      <c r="O920" s="99"/>
      <c r="P920" s="99"/>
      <c r="Q920" s="99"/>
      <c r="R920" s="99"/>
      <c r="S920" s="100"/>
      <c r="T920" s="100"/>
      <c r="U920" s="100"/>
      <c r="V920" s="100"/>
      <c r="W920" s="88"/>
      <c r="X920" s="89"/>
      <c r="Y920" s="90"/>
      <c r="Z920" s="90"/>
      <c r="AA920" s="90"/>
      <c r="AB920" s="90"/>
      <c r="AC920" s="90"/>
    </row>
    <row r="921">
      <c r="A921" s="104"/>
      <c r="B921" s="101"/>
      <c r="C921" s="105"/>
      <c r="D921" s="80"/>
      <c r="E921" s="81"/>
      <c r="F921" s="82"/>
      <c r="G921" s="83"/>
      <c r="H921" s="84">
        <f>G921*ENTRY!$O915</f>
        <v>0</v>
      </c>
      <c r="I921" s="84">
        <f>G921*ENTRY!$P915</f>
        <v>0</v>
      </c>
      <c r="J921" s="84">
        <f>G921*ENTRY!$Q915</f>
        <v>0</v>
      </c>
      <c r="K921" s="82"/>
      <c r="L921" s="82"/>
      <c r="M921" s="81"/>
      <c r="N921" s="85"/>
      <c r="O921" s="86"/>
      <c r="P921" s="86"/>
      <c r="Q921" s="86"/>
      <c r="R921" s="86"/>
      <c r="S921" s="87"/>
      <c r="T921" s="87"/>
      <c r="U921" s="87"/>
      <c r="V921" s="87"/>
      <c r="W921" s="88"/>
      <c r="X921" s="89"/>
      <c r="Y921" s="90"/>
      <c r="Z921" s="90"/>
      <c r="AA921" s="90"/>
      <c r="AB921" s="90"/>
      <c r="AC921" s="90"/>
    </row>
    <row r="922">
      <c r="A922" s="104"/>
      <c r="B922" s="101"/>
      <c r="C922" s="105"/>
      <c r="D922" s="93"/>
      <c r="E922" s="106"/>
      <c r="F922" s="107"/>
      <c r="G922" s="108"/>
      <c r="H922" s="97">
        <f>G922*ENTRY!$O916</f>
        <v>0</v>
      </c>
      <c r="I922" s="97">
        <f>G922*ENTRY!$P916</f>
        <v>0</v>
      </c>
      <c r="J922" s="97">
        <f>G922*ENTRY!$Q916</f>
        <v>0</v>
      </c>
      <c r="K922" s="95"/>
      <c r="L922" s="109"/>
      <c r="M922" s="106"/>
      <c r="N922" s="98"/>
      <c r="O922" s="99"/>
      <c r="P922" s="99"/>
      <c r="Q922" s="99"/>
      <c r="R922" s="99"/>
      <c r="S922" s="100"/>
      <c r="T922" s="100"/>
      <c r="U922" s="100"/>
      <c r="V922" s="100"/>
      <c r="W922" s="88"/>
      <c r="X922" s="89"/>
      <c r="Y922" s="90"/>
      <c r="Z922" s="90"/>
      <c r="AA922" s="90"/>
      <c r="AB922" s="90"/>
      <c r="AC922" s="90"/>
    </row>
    <row r="923">
      <c r="A923" s="104"/>
      <c r="B923" s="101"/>
      <c r="C923" s="105"/>
      <c r="D923" s="80"/>
      <c r="E923" s="81"/>
      <c r="F923" s="82"/>
      <c r="G923" s="83"/>
      <c r="H923" s="84">
        <f>G923*ENTRY!$O917</f>
        <v>0</v>
      </c>
      <c r="I923" s="84">
        <f>G923*ENTRY!$P917</f>
        <v>0</v>
      </c>
      <c r="J923" s="84">
        <f>G923*ENTRY!$Q917</f>
        <v>0</v>
      </c>
      <c r="K923" s="82"/>
      <c r="L923" s="82"/>
      <c r="M923" s="81"/>
      <c r="N923" s="85"/>
      <c r="O923" s="86"/>
      <c r="P923" s="86"/>
      <c r="Q923" s="86"/>
      <c r="R923" s="86"/>
      <c r="S923" s="87"/>
      <c r="T923" s="87"/>
      <c r="U923" s="87"/>
      <c r="V923" s="87"/>
      <c r="W923" s="88"/>
      <c r="X923" s="89"/>
      <c r="Y923" s="90"/>
      <c r="Z923" s="90"/>
      <c r="AA923" s="90"/>
      <c r="AB923" s="90"/>
      <c r="AC923" s="90"/>
    </row>
    <row r="924">
      <c r="A924" s="104"/>
      <c r="B924" s="101"/>
      <c r="C924" s="105"/>
      <c r="D924" s="93"/>
      <c r="E924" s="106"/>
      <c r="F924" s="107"/>
      <c r="G924" s="108"/>
      <c r="H924" s="97">
        <f>G924*ENTRY!$O918</f>
        <v>0</v>
      </c>
      <c r="I924" s="97">
        <f>G924*ENTRY!$P918</f>
        <v>0</v>
      </c>
      <c r="J924" s="97">
        <f>G924*ENTRY!$Q918</f>
        <v>0</v>
      </c>
      <c r="K924" s="95"/>
      <c r="L924" s="109"/>
      <c r="M924" s="106"/>
      <c r="N924" s="98"/>
      <c r="O924" s="99"/>
      <c r="P924" s="99"/>
      <c r="Q924" s="99"/>
      <c r="R924" s="99"/>
      <c r="S924" s="100"/>
      <c r="T924" s="100"/>
      <c r="U924" s="100"/>
      <c r="V924" s="100"/>
      <c r="W924" s="88"/>
      <c r="X924" s="89"/>
      <c r="Y924" s="90"/>
      <c r="Z924" s="90"/>
      <c r="AA924" s="90"/>
      <c r="AB924" s="90"/>
      <c r="AC924" s="90"/>
    </row>
    <row r="925">
      <c r="A925" s="104"/>
      <c r="B925" s="101"/>
      <c r="C925" s="105"/>
      <c r="D925" s="80"/>
      <c r="E925" s="81"/>
      <c r="F925" s="82"/>
      <c r="G925" s="83"/>
      <c r="H925" s="84">
        <f>G925*ENTRY!$O919</f>
        <v>0</v>
      </c>
      <c r="I925" s="84">
        <f>G925*ENTRY!$P919</f>
        <v>0</v>
      </c>
      <c r="J925" s="84">
        <f>G925*ENTRY!$Q919</f>
        <v>0</v>
      </c>
      <c r="K925" s="82"/>
      <c r="L925" s="82"/>
      <c r="M925" s="81"/>
      <c r="N925" s="85"/>
      <c r="O925" s="86"/>
      <c r="P925" s="86"/>
      <c r="Q925" s="86"/>
      <c r="R925" s="86"/>
      <c r="S925" s="87"/>
      <c r="T925" s="87"/>
      <c r="U925" s="87"/>
      <c r="V925" s="87"/>
      <c r="W925" s="88"/>
      <c r="X925" s="89"/>
      <c r="Y925" s="90"/>
      <c r="Z925" s="90"/>
      <c r="AA925" s="90"/>
      <c r="AB925" s="90"/>
      <c r="AC925" s="90"/>
    </row>
    <row r="926">
      <c r="A926" s="104"/>
      <c r="B926" s="101"/>
      <c r="C926" s="105"/>
      <c r="D926" s="93"/>
      <c r="E926" s="106"/>
      <c r="F926" s="107"/>
      <c r="G926" s="108"/>
      <c r="H926" s="97">
        <f>G926*ENTRY!$O920</f>
        <v>0</v>
      </c>
      <c r="I926" s="97">
        <f>G926*ENTRY!$P920</f>
        <v>0</v>
      </c>
      <c r="J926" s="97">
        <f>G926*ENTRY!$Q920</f>
        <v>0</v>
      </c>
      <c r="K926" s="95"/>
      <c r="L926" s="109"/>
      <c r="M926" s="106"/>
      <c r="N926" s="98"/>
      <c r="O926" s="99"/>
      <c r="P926" s="99"/>
      <c r="Q926" s="99"/>
      <c r="R926" s="99"/>
      <c r="S926" s="100"/>
      <c r="T926" s="100"/>
      <c r="U926" s="100"/>
      <c r="V926" s="100"/>
      <c r="W926" s="88"/>
      <c r="X926" s="89"/>
      <c r="Y926" s="90"/>
      <c r="Z926" s="90"/>
      <c r="AA926" s="90"/>
      <c r="AB926" s="90"/>
      <c r="AC926" s="90"/>
    </row>
    <row r="927">
      <c r="A927" s="104"/>
      <c r="B927" s="101"/>
      <c r="C927" s="105"/>
      <c r="D927" s="80"/>
      <c r="E927" s="81"/>
      <c r="F927" s="82"/>
      <c r="G927" s="83"/>
      <c r="H927" s="84">
        <f>G927*ENTRY!$O921</f>
        <v>0</v>
      </c>
      <c r="I927" s="84">
        <f>G927*ENTRY!$P921</f>
        <v>0</v>
      </c>
      <c r="J927" s="84">
        <f>G927*ENTRY!$Q921</f>
        <v>0</v>
      </c>
      <c r="K927" s="82"/>
      <c r="L927" s="82"/>
      <c r="M927" s="81"/>
      <c r="N927" s="85"/>
      <c r="O927" s="86"/>
      <c r="P927" s="86"/>
      <c r="Q927" s="86"/>
      <c r="R927" s="86"/>
      <c r="S927" s="87"/>
      <c r="T927" s="87"/>
      <c r="U927" s="87"/>
      <c r="V927" s="87"/>
      <c r="W927" s="88"/>
      <c r="X927" s="89"/>
      <c r="Y927" s="90"/>
      <c r="Z927" s="90"/>
      <c r="AA927" s="90"/>
      <c r="AB927" s="90"/>
      <c r="AC927" s="90"/>
    </row>
    <row r="928">
      <c r="A928" s="104"/>
      <c r="B928" s="101"/>
      <c r="C928" s="105"/>
      <c r="D928" s="93"/>
      <c r="E928" s="106"/>
      <c r="F928" s="107"/>
      <c r="G928" s="108"/>
      <c r="H928" s="97">
        <f>G928*ENTRY!$O922</f>
        <v>0</v>
      </c>
      <c r="I928" s="97">
        <f>G928*ENTRY!$P922</f>
        <v>0</v>
      </c>
      <c r="J928" s="97">
        <f>G928*ENTRY!$Q922</f>
        <v>0</v>
      </c>
      <c r="K928" s="95"/>
      <c r="L928" s="109"/>
      <c r="M928" s="106"/>
      <c r="N928" s="98"/>
      <c r="O928" s="99"/>
      <c r="P928" s="99"/>
      <c r="Q928" s="99"/>
      <c r="R928" s="99"/>
      <c r="S928" s="100"/>
      <c r="T928" s="100"/>
      <c r="U928" s="100"/>
      <c r="V928" s="100"/>
      <c r="W928" s="88"/>
      <c r="X928" s="89"/>
      <c r="Y928" s="90"/>
      <c r="Z928" s="90"/>
      <c r="AA928" s="90"/>
      <c r="AB928" s="90"/>
      <c r="AC928" s="90"/>
    </row>
    <row r="929">
      <c r="A929" s="104"/>
      <c r="B929" s="101"/>
      <c r="C929" s="105"/>
      <c r="D929" s="80"/>
      <c r="E929" s="81"/>
      <c r="F929" s="82"/>
      <c r="G929" s="83"/>
      <c r="H929" s="84">
        <f>G929*ENTRY!$O923</f>
        <v>0</v>
      </c>
      <c r="I929" s="84">
        <f>G929*ENTRY!$P923</f>
        <v>0</v>
      </c>
      <c r="J929" s="84">
        <f>G929*ENTRY!$Q923</f>
        <v>0</v>
      </c>
      <c r="K929" s="82"/>
      <c r="L929" s="82"/>
      <c r="M929" s="81"/>
      <c r="N929" s="85"/>
      <c r="O929" s="86"/>
      <c r="P929" s="86"/>
      <c r="Q929" s="86"/>
      <c r="R929" s="86"/>
      <c r="S929" s="87"/>
      <c r="T929" s="87"/>
      <c r="U929" s="87"/>
      <c r="V929" s="87"/>
      <c r="W929" s="88"/>
      <c r="X929" s="89"/>
      <c r="Y929" s="90"/>
      <c r="Z929" s="90"/>
      <c r="AA929" s="90"/>
      <c r="AB929" s="90"/>
      <c r="AC929" s="90"/>
    </row>
    <row r="930">
      <c r="A930" s="104"/>
      <c r="B930" s="101"/>
      <c r="C930" s="105"/>
      <c r="D930" s="93"/>
      <c r="E930" s="106"/>
      <c r="F930" s="107"/>
      <c r="G930" s="108"/>
      <c r="H930" s="97">
        <f>G930*ENTRY!$O924</f>
        <v>0</v>
      </c>
      <c r="I930" s="97">
        <f>G930*ENTRY!$P924</f>
        <v>0</v>
      </c>
      <c r="J930" s="97">
        <f>G930*ENTRY!$Q924</f>
        <v>0</v>
      </c>
      <c r="K930" s="95"/>
      <c r="L930" s="109"/>
      <c r="M930" s="106"/>
      <c r="N930" s="98"/>
      <c r="O930" s="99"/>
      <c r="P930" s="99"/>
      <c r="Q930" s="99"/>
      <c r="R930" s="99"/>
      <c r="S930" s="100"/>
      <c r="T930" s="100"/>
      <c r="U930" s="100"/>
      <c r="V930" s="100"/>
      <c r="W930" s="88"/>
      <c r="X930" s="89"/>
      <c r="Y930" s="90"/>
      <c r="Z930" s="90"/>
      <c r="AA930" s="90"/>
      <c r="AB930" s="90"/>
      <c r="AC930" s="90"/>
    </row>
    <row r="931">
      <c r="A931" s="104"/>
      <c r="B931" s="101"/>
      <c r="C931" s="105"/>
      <c r="D931" s="80"/>
      <c r="E931" s="81"/>
      <c r="F931" s="82"/>
      <c r="G931" s="83"/>
      <c r="H931" s="84">
        <f>G931*ENTRY!$O925</f>
        <v>0</v>
      </c>
      <c r="I931" s="84">
        <f>G931*ENTRY!$P925</f>
        <v>0</v>
      </c>
      <c r="J931" s="84">
        <f>G931*ENTRY!$Q925</f>
        <v>0</v>
      </c>
      <c r="K931" s="82"/>
      <c r="L931" s="82"/>
      <c r="M931" s="81"/>
      <c r="N931" s="85"/>
      <c r="O931" s="86"/>
      <c r="P931" s="86"/>
      <c r="Q931" s="86"/>
      <c r="R931" s="86"/>
      <c r="S931" s="87"/>
      <c r="T931" s="87"/>
      <c r="U931" s="87"/>
      <c r="V931" s="87"/>
      <c r="W931" s="88"/>
      <c r="X931" s="89"/>
      <c r="Y931" s="90"/>
      <c r="Z931" s="90"/>
      <c r="AA931" s="90"/>
      <c r="AB931" s="90"/>
      <c r="AC931" s="90"/>
    </row>
    <row r="932">
      <c r="A932" s="104"/>
      <c r="B932" s="101"/>
      <c r="C932" s="105"/>
      <c r="D932" s="93"/>
      <c r="E932" s="106"/>
      <c r="F932" s="107"/>
      <c r="G932" s="108"/>
      <c r="H932" s="97">
        <f>G932*ENTRY!$O926</f>
        <v>0</v>
      </c>
      <c r="I932" s="97">
        <f>G932*ENTRY!$P926</f>
        <v>0</v>
      </c>
      <c r="J932" s="97">
        <f>G932*ENTRY!$Q926</f>
        <v>0</v>
      </c>
      <c r="K932" s="95"/>
      <c r="L932" s="109"/>
      <c r="M932" s="106"/>
      <c r="N932" s="98"/>
      <c r="O932" s="99"/>
      <c r="P932" s="99"/>
      <c r="Q932" s="99"/>
      <c r="R932" s="99"/>
      <c r="S932" s="100"/>
      <c r="T932" s="100"/>
      <c r="U932" s="100"/>
      <c r="V932" s="100"/>
      <c r="W932" s="88"/>
      <c r="X932" s="89"/>
      <c r="Y932" s="90"/>
      <c r="Z932" s="90"/>
      <c r="AA932" s="90"/>
      <c r="AB932" s="90"/>
      <c r="AC932" s="90"/>
    </row>
    <row r="933">
      <c r="A933" s="104"/>
      <c r="B933" s="101"/>
      <c r="C933" s="105"/>
      <c r="D933" s="80"/>
      <c r="E933" s="81"/>
      <c r="F933" s="82"/>
      <c r="G933" s="83"/>
      <c r="H933" s="84">
        <f>G933*ENTRY!$O927</f>
        <v>0</v>
      </c>
      <c r="I933" s="84">
        <f>G933*ENTRY!$P927</f>
        <v>0</v>
      </c>
      <c r="J933" s="84">
        <f>G933*ENTRY!$Q927</f>
        <v>0</v>
      </c>
      <c r="K933" s="82"/>
      <c r="L933" s="82"/>
      <c r="M933" s="81"/>
      <c r="N933" s="85"/>
      <c r="O933" s="86"/>
      <c r="P933" s="86"/>
      <c r="Q933" s="86"/>
      <c r="R933" s="86"/>
      <c r="S933" s="87"/>
      <c r="T933" s="87"/>
      <c r="U933" s="87"/>
      <c r="V933" s="87"/>
      <c r="W933" s="88"/>
      <c r="X933" s="89"/>
      <c r="Y933" s="90"/>
      <c r="Z933" s="90"/>
      <c r="AA933" s="90"/>
      <c r="AB933" s="90"/>
      <c r="AC933" s="90"/>
    </row>
    <row r="934">
      <c r="A934" s="104"/>
      <c r="B934" s="101"/>
      <c r="C934" s="105"/>
      <c r="D934" s="93"/>
      <c r="E934" s="106"/>
      <c r="F934" s="107"/>
      <c r="G934" s="108"/>
      <c r="H934" s="97">
        <f>G934*ENTRY!$O928</f>
        <v>0</v>
      </c>
      <c r="I934" s="97">
        <f>G934*ENTRY!$P928</f>
        <v>0</v>
      </c>
      <c r="J934" s="97">
        <f>G934*ENTRY!$Q928</f>
        <v>0</v>
      </c>
      <c r="K934" s="95"/>
      <c r="L934" s="109"/>
      <c r="M934" s="106"/>
      <c r="N934" s="98"/>
      <c r="O934" s="99"/>
      <c r="P934" s="99"/>
      <c r="Q934" s="99"/>
      <c r="R934" s="99"/>
      <c r="S934" s="100"/>
      <c r="T934" s="100"/>
      <c r="U934" s="100"/>
      <c r="V934" s="100"/>
      <c r="W934" s="88"/>
      <c r="X934" s="89"/>
      <c r="Y934" s="90"/>
      <c r="Z934" s="90"/>
      <c r="AA934" s="90"/>
      <c r="AB934" s="90"/>
      <c r="AC934" s="90"/>
    </row>
    <row r="935">
      <c r="A935" s="104"/>
      <c r="B935" s="101"/>
      <c r="C935" s="105"/>
      <c r="D935" s="80"/>
      <c r="E935" s="81"/>
      <c r="F935" s="82"/>
      <c r="G935" s="83"/>
      <c r="H935" s="84">
        <f>G935*ENTRY!$O929</f>
        <v>0</v>
      </c>
      <c r="I935" s="84">
        <f>G935*ENTRY!$P929</f>
        <v>0</v>
      </c>
      <c r="J935" s="84">
        <f>G935*ENTRY!$Q929</f>
        <v>0</v>
      </c>
      <c r="K935" s="82"/>
      <c r="L935" s="82"/>
      <c r="M935" s="81"/>
      <c r="N935" s="85"/>
      <c r="O935" s="86"/>
      <c r="P935" s="86"/>
      <c r="Q935" s="86"/>
      <c r="R935" s="86"/>
      <c r="S935" s="87"/>
      <c r="T935" s="87"/>
      <c r="U935" s="87"/>
      <c r="V935" s="87"/>
      <c r="W935" s="88"/>
      <c r="X935" s="89"/>
      <c r="Y935" s="90"/>
      <c r="Z935" s="90"/>
      <c r="AA935" s="90"/>
      <c r="AB935" s="90"/>
      <c r="AC935" s="90"/>
    </row>
    <row r="936">
      <c r="A936" s="104"/>
      <c r="B936" s="101"/>
      <c r="C936" s="105"/>
      <c r="D936" s="93"/>
      <c r="E936" s="106"/>
      <c r="F936" s="107"/>
      <c r="G936" s="108"/>
      <c r="H936" s="97">
        <f>G936*ENTRY!$O930</f>
        <v>0</v>
      </c>
      <c r="I936" s="97">
        <f>G936*ENTRY!$P930</f>
        <v>0</v>
      </c>
      <c r="J936" s="97">
        <f>G936*ENTRY!$Q930</f>
        <v>0</v>
      </c>
      <c r="K936" s="95"/>
      <c r="L936" s="109"/>
      <c r="M936" s="106"/>
      <c r="N936" s="98"/>
      <c r="O936" s="99"/>
      <c r="P936" s="99"/>
      <c r="Q936" s="99"/>
      <c r="R936" s="99"/>
      <c r="S936" s="100"/>
      <c r="T936" s="100"/>
      <c r="U936" s="100"/>
      <c r="V936" s="100"/>
      <c r="W936" s="88"/>
      <c r="X936" s="89"/>
      <c r="Y936" s="90"/>
      <c r="Z936" s="90"/>
      <c r="AA936" s="90"/>
      <c r="AB936" s="90"/>
      <c r="AC936" s="90"/>
    </row>
    <row r="937">
      <c r="A937" s="104"/>
      <c r="B937" s="101"/>
      <c r="C937" s="105"/>
      <c r="D937" s="80"/>
      <c r="E937" s="81"/>
      <c r="F937" s="82"/>
      <c r="G937" s="83"/>
      <c r="H937" s="84">
        <f>G937*ENTRY!$O931</f>
        <v>0</v>
      </c>
      <c r="I937" s="84">
        <f>G937*ENTRY!$P931</f>
        <v>0</v>
      </c>
      <c r="J937" s="84">
        <f>G937*ENTRY!$Q931</f>
        <v>0</v>
      </c>
      <c r="K937" s="82"/>
      <c r="L937" s="82"/>
      <c r="M937" s="81"/>
      <c r="N937" s="85"/>
      <c r="O937" s="86"/>
      <c r="P937" s="86"/>
      <c r="Q937" s="86"/>
      <c r="R937" s="86"/>
      <c r="S937" s="87"/>
      <c r="T937" s="87"/>
      <c r="U937" s="87"/>
      <c r="V937" s="87"/>
      <c r="W937" s="88"/>
      <c r="X937" s="89"/>
      <c r="Y937" s="90"/>
      <c r="Z937" s="90"/>
      <c r="AA937" s="90"/>
      <c r="AB937" s="90"/>
      <c r="AC937" s="90"/>
    </row>
    <row r="938">
      <c r="A938" s="104"/>
      <c r="B938" s="101"/>
      <c r="C938" s="105"/>
      <c r="D938" s="93"/>
      <c r="E938" s="106"/>
      <c r="F938" s="107"/>
      <c r="G938" s="108"/>
      <c r="H938" s="97">
        <f>G938*ENTRY!$O932</f>
        <v>0</v>
      </c>
      <c r="I938" s="97">
        <f>G938*ENTRY!$P932</f>
        <v>0</v>
      </c>
      <c r="J938" s="97">
        <f>G938*ENTRY!$Q932</f>
        <v>0</v>
      </c>
      <c r="K938" s="95"/>
      <c r="L938" s="109"/>
      <c r="M938" s="106"/>
      <c r="N938" s="98"/>
      <c r="O938" s="99"/>
      <c r="P938" s="99"/>
      <c r="Q938" s="99"/>
      <c r="R938" s="99"/>
      <c r="S938" s="100"/>
      <c r="T938" s="100"/>
      <c r="U938" s="100"/>
      <c r="V938" s="100"/>
      <c r="W938" s="88"/>
      <c r="X938" s="89"/>
      <c r="Y938" s="90"/>
      <c r="Z938" s="90"/>
      <c r="AA938" s="90"/>
      <c r="AB938" s="90"/>
      <c r="AC938" s="90"/>
    </row>
    <row r="939">
      <c r="A939" s="104"/>
      <c r="B939" s="101"/>
      <c r="C939" s="105"/>
      <c r="D939" s="80"/>
      <c r="E939" s="81"/>
      <c r="F939" s="82"/>
      <c r="G939" s="83"/>
      <c r="H939" s="84">
        <f>G939*ENTRY!$O933</f>
        <v>0</v>
      </c>
      <c r="I939" s="84">
        <f>G939*ENTRY!$P933</f>
        <v>0</v>
      </c>
      <c r="J939" s="84">
        <f>G939*ENTRY!$Q933</f>
        <v>0</v>
      </c>
      <c r="K939" s="82"/>
      <c r="L939" s="82"/>
      <c r="M939" s="81"/>
      <c r="N939" s="85"/>
      <c r="O939" s="86"/>
      <c r="P939" s="86"/>
      <c r="Q939" s="86"/>
      <c r="R939" s="86"/>
      <c r="S939" s="87"/>
      <c r="T939" s="87"/>
      <c r="U939" s="87"/>
      <c r="V939" s="87"/>
      <c r="W939" s="88"/>
      <c r="X939" s="89"/>
      <c r="Y939" s="90"/>
      <c r="Z939" s="90"/>
      <c r="AA939" s="90"/>
      <c r="AB939" s="90"/>
      <c r="AC939" s="90"/>
    </row>
    <row r="940">
      <c r="A940" s="104"/>
      <c r="B940" s="101"/>
      <c r="C940" s="105"/>
      <c r="D940" s="93"/>
      <c r="E940" s="106"/>
      <c r="F940" s="107"/>
      <c r="G940" s="108"/>
      <c r="H940" s="97">
        <f>G940*ENTRY!$O934</f>
        <v>0</v>
      </c>
      <c r="I940" s="97">
        <f>G940*ENTRY!$P934</f>
        <v>0</v>
      </c>
      <c r="J940" s="97">
        <f>G940*ENTRY!$Q934</f>
        <v>0</v>
      </c>
      <c r="K940" s="95"/>
      <c r="L940" s="109"/>
      <c r="M940" s="106"/>
      <c r="N940" s="98"/>
      <c r="O940" s="99"/>
      <c r="P940" s="99"/>
      <c r="Q940" s="99"/>
      <c r="R940" s="99"/>
      <c r="S940" s="100"/>
      <c r="T940" s="100"/>
      <c r="U940" s="100"/>
      <c r="V940" s="100"/>
      <c r="W940" s="88"/>
      <c r="X940" s="89"/>
      <c r="Y940" s="90"/>
      <c r="Z940" s="90"/>
      <c r="AA940" s="90"/>
      <c r="AB940" s="90"/>
      <c r="AC940" s="90"/>
    </row>
    <row r="941">
      <c r="A941" s="104"/>
      <c r="B941" s="101"/>
      <c r="C941" s="105"/>
      <c r="D941" s="80"/>
      <c r="E941" s="81"/>
      <c r="F941" s="82"/>
      <c r="G941" s="83"/>
      <c r="H941" s="84">
        <f>G941*ENTRY!$O935</f>
        <v>0</v>
      </c>
      <c r="I941" s="84">
        <f>G941*ENTRY!$P935</f>
        <v>0</v>
      </c>
      <c r="J941" s="84">
        <f>G941*ENTRY!$Q935</f>
        <v>0</v>
      </c>
      <c r="K941" s="82"/>
      <c r="L941" s="82"/>
      <c r="M941" s="81"/>
      <c r="N941" s="85"/>
      <c r="O941" s="86"/>
      <c r="P941" s="86"/>
      <c r="Q941" s="86"/>
      <c r="R941" s="86"/>
      <c r="S941" s="87"/>
      <c r="T941" s="87"/>
      <c r="U941" s="87"/>
      <c r="V941" s="87"/>
      <c r="W941" s="88"/>
      <c r="X941" s="89"/>
      <c r="Y941" s="90"/>
      <c r="Z941" s="90"/>
      <c r="AA941" s="90"/>
      <c r="AB941" s="90"/>
      <c r="AC941" s="90"/>
    </row>
    <row r="942">
      <c r="A942" s="104"/>
      <c r="B942" s="101"/>
      <c r="C942" s="105"/>
      <c r="D942" s="93"/>
      <c r="E942" s="106"/>
      <c r="F942" s="107"/>
      <c r="G942" s="108"/>
      <c r="H942" s="97">
        <f>G942*ENTRY!$O936</f>
        <v>0</v>
      </c>
      <c r="I942" s="97">
        <f>G942*ENTRY!$P936</f>
        <v>0</v>
      </c>
      <c r="J942" s="97">
        <f>G942*ENTRY!$Q936</f>
        <v>0</v>
      </c>
      <c r="K942" s="95"/>
      <c r="L942" s="109"/>
      <c r="M942" s="106"/>
      <c r="N942" s="98"/>
      <c r="O942" s="99"/>
      <c r="P942" s="99"/>
      <c r="Q942" s="99"/>
      <c r="R942" s="99"/>
      <c r="S942" s="100"/>
      <c r="T942" s="100"/>
      <c r="U942" s="100"/>
      <c r="V942" s="100"/>
      <c r="W942" s="88"/>
      <c r="X942" s="89"/>
      <c r="Y942" s="90"/>
      <c r="Z942" s="90"/>
      <c r="AA942" s="90"/>
      <c r="AB942" s="90"/>
      <c r="AC942" s="90"/>
    </row>
    <row r="943">
      <c r="A943" s="104"/>
      <c r="B943" s="101"/>
      <c r="C943" s="105"/>
      <c r="D943" s="80"/>
      <c r="E943" s="81"/>
      <c r="F943" s="82"/>
      <c r="G943" s="83"/>
      <c r="H943" s="84">
        <f>G943*ENTRY!$O937</f>
        <v>0</v>
      </c>
      <c r="I943" s="84">
        <f>G943*ENTRY!$P937</f>
        <v>0</v>
      </c>
      <c r="J943" s="84">
        <f>G943*ENTRY!$Q937</f>
        <v>0</v>
      </c>
      <c r="K943" s="82"/>
      <c r="L943" s="82"/>
      <c r="M943" s="81"/>
      <c r="N943" s="85"/>
      <c r="O943" s="86"/>
      <c r="P943" s="86"/>
      <c r="Q943" s="86"/>
      <c r="R943" s="86"/>
      <c r="S943" s="87"/>
      <c r="T943" s="87"/>
      <c r="U943" s="87"/>
      <c r="V943" s="87"/>
      <c r="W943" s="88"/>
      <c r="X943" s="89"/>
      <c r="Y943" s="90"/>
      <c r="Z943" s="90"/>
      <c r="AA943" s="90"/>
      <c r="AB943" s="90"/>
      <c r="AC943" s="90"/>
    </row>
    <row r="944">
      <c r="A944" s="104"/>
      <c r="B944" s="101"/>
      <c r="C944" s="105"/>
      <c r="D944" s="93"/>
      <c r="E944" s="106"/>
      <c r="F944" s="107"/>
      <c r="G944" s="108"/>
      <c r="H944" s="97">
        <f>G944*ENTRY!$O938</f>
        <v>0</v>
      </c>
      <c r="I944" s="97">
        <f>G944*ENTRY!$P938</f>
        <v>0</v>
      </c>
      <c r="J944" s="97">
        <f>G944*ENTRY!$Q938</f>
        <v>0</v>
      </c>
      <c r="K944" s="95"/>
      <c r="L944" s="109"/>
      <c r="M944" s="106"/>
      <c r="N944" s="98"/>
      <c r="O944" s="99"/>
      <c r="P944" s="99"/>
      <c r="Q944" s="99"/>
      <c r="R944" s="99"/>
      <c r="S944" s="100"/>
      <c r="T944" s="100"/>
      <c r="U944" s="100"/>
      <c r="V944" s="100"/>
      <c r="W944" s="88"/>
      <c r="X944" s="89"/>
      <c r="Y944" s="90"/>
      <c r="Z944" s="90"/>
      <c r="AA944" s="90"/>
      <c r="AB944" s="90"/>
      <c r="AC944" s="90"/>
    </row>
    <row r="945">
      <c r="A945" s="104"/>
      <c r="B945" s="101"/>
      <c r="C945" s="105"/>
      <c r="D945" s="80"/>
      <c r="E945" s="81"/>
      <c r="F945" s="82"/>
      <c r="G945" s="83"/>
      <c r="H945" s="84">
        <f>G945*ENTRY!$O939</f>
        <v>0</v>
      </c>
      <c r="I945" s="84">
        <f>G945*ENTRY!$P939</f>
        <v>0</v>
      </c>
      <c r="J945" s="84">
        <f>G945*ENTRY!$Q939</f>
        <v>0</v>
      </c>
      <c r="K945" s="82"/>
      <c r="L945" s="82"/>
      <c r="M945" s="81"/>
      <c r="N945" s="85"/>
      <c r="O945" s="86"/>
      <c r="P945" s="86"/>
      <c r="Q945" s="86"/>
      <c r="R945" s="86"/>
      <c r="S945" s="87"/>
      <c r="T945" s="87"/>
      <c r="U945" s="87"/>
      <c r="V945" s="87"/>
      <c r="W945" s="88"/>
      <c r="X945" s="89"/>
      <c r="Y945" s="90"/>
      <c r="Z945" s="90"/>
      <c r="AA945" s="90"/>
      <c r="AB945" s="90"/>
      <c r="AC945" s="90"/>
    </row>
    <row r="946">
      <c r="A946" s="104"/>
      <c r="B946" s="101"/>
      <c r="C946" s="105"/>
      <c r="D946" s="93"/>
      <c r="E946" s="106"/>
      <c r="F946" s="107"/>
      <c r="G946" s="108"/>
      <c r="H946" s="97">
        <f>G946*ENTRY!$O940</f>
        <v>0</v>
      </c>
      <c r="I946" s="97">
        <f>G946*ENTRY!$P940</f>
        <v>0</v>
      </c>
      <c r="J946" s="97">
        <f>G946*ENTRY!$Q940</f>
        <v>0</v>
      </c>
      <c r="K946" s="95"/>
      <c r="L946" s="109"/>
      <c r="M946" s="106"/>
      <c r="N946" s="98"/>
      <c r="O946" s="99"/>
      <c r="P946" s="99"/>
      <c r="Q946" s="99"/>
      <c r="R946" s="99"/>
      <c r="S946" s="100"/>
      <c r="T946" s="100"/>
      <c r="U946" s="100"/>
      <c r="V946" s="100"/>
      <c r="W946" s="88"/>
      <c r="X946" s="89"/>
      <c r="Y946" s="90"/>
      <c r="Z946" s="90"/>
      <c r="AA946" s="90"/>
      <c r="AB946" s="90"/>
      <c r="AC946" s="90"/>
    </row>
    <row r="947">
      <c r="A947" s="104"/>
      <c r="B947" s="101"/>
      <c r="C947" s="105"/>
      <c r="D947" s="80"/>
      <c r="E947" s="81"/>
      <c r="F947" s="82"/>
      <c r="G947" s="83"/>
      <c r="H947" s="84">
        <f>G947*ENTRY!$O941</f>
        <v>0</v>
      </c>
      <c r="I947" s="84">
        <f>G947*ENTRY!$P941</f>
        <v>0</v>
      </c>
      <c r="J947" s="84">
        <f>G947*ENTRY!$Q941</f>
        <v>0</v>
      </c>
      <c r="K947" s="82"/>
      <c r="L947" s="82"/>
      <c r="M947" s="81"/>
      <c r="N947" s="85"/>
      <c r="O947" s="86"/>
      <c r="P947" s="86"/>
      <c r="Q947" s="86"/>
      <c r="R947" s="86"/>
      <c r="S947" s="87"/>
      <c r="T947" s="87"/>
      <c r="U947" s="87"/>
      <c r="V947" s="87"/>
      <c r="W947" s="88"/>
      <c r="X947" s="89"/>
      <c r="Y947" s="90"/>
      <c r="Z947" s="90"/>
      <c r="AA947" s="90"/>
      <c r="AB947" s="90"/>
      <c r="AC947" s="90"/>
    </row>
    <row r="948">
      <c r="A948" s="104"/>
      <c r="B948" s="101"/>
      <c r="C948" s="105"/>
      <c r="D948" s="93"/>
      <c r="E948" s="106"/>
      <c r="F948" s="107"/>
      <c r="G948" s="108"/>
      <c r="H948" s="97">
        <f>G948*ENTRY!$O942</f>
        <v>0</v>
      </c>
      <c r="I948" s="97">
        <f>G948*ENTRY!$P942</f>
        <v>0</v>
      </c>
      <c r="J948" s="97">
        <f>G948*ENTRY!$Q942</f>
        <v>0</v>
      </c>
      <c r="K948" s="95"/>
      <c r="L948" s="109"/>
      <c r="M948" s="106"/>
      <c r="N948" s="98"/>
      <c r="O948" s="99"/>
      <c r="P948" s="99"/>
      <c r="Q948" s="99"/>
      <c r="R948" s="99"/>
      <c r="S948" s="100"/>
      <c r="T948" s="100"/>
      <c r="U948" s="100"/>
      <c r="V948" s="100"/>
      <c r="W948" s="88"/>
      <c r="X948" s="89"/>
      <c r="Y948" s="90"/>
      <c r="Z948" s="90"/>
      <c r="AA948" s="90"/>
      <c r="AB948" s="90"/>
      <c r="AC948" s="90"/>
    </row>
    <row r="949">
      <c r="A949" s="104"/>
      <c r="B949" s="101"/>
      <c r="C949" s="105"/>
      <c r="D949" s="80"/>
      <c r="E949" s="81"/>
      <c r="F949" s="82"/>
      <c r="G949" s="83"/>
      <c r="H949" s="84">
        <f>G949*ENTRY!$O943</f>
        <v>0</v>
      </c>
      <c r="I949" s="84">
        <f>G949*ENTRY!$P943</f>
        <v>0</v>
      </c>
      <c r="J949" s="84">
        <f>G949*ENTRY!$Q943</f>
        <v>0</v>
      </c>
      <c r="K949" s="82"/>
      <c r="L949" s="82"/>
      <c r="M949" s="81"/>
      <c r="N949" s="85"/>
      <c r="O949" s="86"/>
      <c r="P949" s="86"/>
      <c r="Q949" s="86"/>
      <c r="R949" s="86"/>
      <c r="S949" s="87"/>
      <c r="T949" s="87"/>
      <c r="U949" s="87"/>
      <c r="V949" s="87"/>
      <c r="W949" s="88"/>
      <c r="X949" s="89"/>
      <c r="Y949" s="90"/>
      <c r="Z949" s="90"/>
      <c r="AA949" s="90"/>
      <c r="AB949" s="90"/>
      <c r="AC949" s="90"/>
    </row>
    <row r="950">
      <c r="A950" s="104"/>
      <c r="B950" s="101"/>
      <c r="C950" s="105"/>
      <c r="D950" s="93"/>
      <c r="E950" s="106"/>
      <c r="F950" s="107"/>
      <c r="G950" s="108"/>
      <c r="H950" s="97">
        <f>G950*ENTRY!$O944</f>
        <v>0</v>
      </c>
      <c r="I950" s="97">
        <f>G950*ENTRY!$P944</f>
        <v>0</v>
      </c>
      <c r="J950" s="97">
        <f>G950*ENTRY!$Q944</f>
        <v>0</v>
      </c>
      <c r="K950" s="95"/>
      <c r="L950" s="109"/>
      <c r="M950" s="106"/>
      <c r="N950" s="98"/>
      <c r="O950" s="99"/>
      <c r="P950" s="99"/>
      <c r="Q950" s="99"/>
      <c r="R950" s="99"/>
      <c r="S950" s="100"/>
      <c r="T950" s="100"/>
      <c r="U950" s="100"/>
      <c r="V950" s="100"/>
      <c r="W950" s="88"/>
      <c r="X950" s="89"/>
      <c r="Y950" s="90"/>
      <c r="Z950" s="90"/>
      <c r="AA950" s="90"/>
      <c r="AB950" s="90"/>
      <c r="AC950" s="90"/>
    </row>
    <row r="951">
      <c r="A951" s="104"/>
      <c r="B951" s="101"/>
      <c r="C951" s="105"/>
      <c r="D951" s="80"/>
      <c r="E951" s="81"/>
      <c r="F951" s="82"/>
      <c r="G951" s="83"/>
      <c r="H951" s="84">
        <f>G951*ENTRY!$O945</f>
        <v>0</v>
      </c>
      <c r="I951" s="84">
        <f>G951*ENTRY!$P945</f>
        <v>0</v>
      </c>
      <c r="J951" s="84">
        <f>G951*ENTRY!$Q945</f>
        <v>0</v>
      </c>
      <c r="K951" s="82"/>
      <c r="L951" s="82"/>
      <c r="M951" s="81"/>
      <c r="N951" s="85"/>
      <c r="O951" s="86"/>
      <c r="P951" s="86"/>
      <c r="Q951" s="86"/>
      <c r="R951" s="86"/>
      <c r="S951" s="87"/>
      <c r="T951" s="87"/>
      <c r="U951" s="87"/>
      <c r="V951" s="87"/>
      <c r="W951" s="88"/>
      <c r="X951" s="89"/>
      <c r="Y951" s="90"/>
      <c r="Z951" s="90"/>
      <c r="AA951" s="90"/>
      <c r="AB951" s="90"/>
      <c r="AC951" s="90"/>
    </row>
    <row r="952">
      <c r="A952" s="104"/>
      <c r="B952" s="101"/>
      <c r="C952" s="105"/>
      <c r="D952" s="93"/>
      <c r="E952" s="106"/>
      <c r="F952" s="107"/>
      <c r="G952" s="108"/>
      <c r="H952" s="97">
        <f>G952*ENTRY!$O946</f>
        <v>0</v>
      </c>
      <c r="I952" s="97">
        <f>G952*ENTRY!$P946</f>
        <v>0</v>
      </c>
      <c r="J952" s="97">
        <f>G952*ENTRY!$Q946</f>
        <v>0</v>
      </c>
      <c r="K952" s="95"/>
      <c r="L952" s="109"/>
      <c r="M952" s="106"/>
      <c r="N952" s="98"/>
      <c r="O952" s="99"/>
      <c r="P952" s="99"/>
      <c r="Q952" s="99"/>
      <c r="R952" s="99"/>
      <c r="S952" s="100"/>
      <c r="T952" s="100"/>
      <c r="U952" s="100"/>
      <c r="V952" s="100"/>
      <c r="W952" s="88"/>
      <c r="X952" s="89"/>
      <c r="Y952" s="90"/>
      <c r="Z952" s="90"/>
      <c r="AA952" s="90"/>
      <c r="AB952" s="90"/>
      <c r="AC952" s="90"/>
    </row>
    <row r="953">
      <c r="A953" s="104"/>
      <c r="B953" s="101"/>
      <c r="C953" s="105"/>
      <c r="D953" s="80"/>
      <c r="E953" s="81"/>
      <c r="F953" s="82"/>
      <c r="G953" s="83"/>
      <c r="H953" s="84">
        <f>G953*ENTRY!$O947</f>
        <v>0</v>
      </c>
      <c r="I953" s="84">
        <f>G953*ENTRY!$P947</f>
        <v>0</v>
      </c>
      <c r="J953" s="84">
        <f>G953*ENTRY!$Q947</f>
        <v>0</v>
      </c>
      <c r="K953" s="82"/>
      <c r="L953" s="82"/>
      <c r="M953" s="81"/>
      <c r="N953" s="85"/>
      <c r="O953" s="86"/>
      <c r="P953" s="86"/>
      <c r="Q953" s="86"/>
      <c r="R953" s="86"/>
      <c r="S953" s="87"/>
      <c r="T953" s="87"/>
      <c r="U953" s="87"/>
      <c r="V953" s="87"/>
      <c r="W953" s="88"/>
      <c r="X953" s="89"/>
      <c r="Y953" s="90"/>
      <c r="Z953" s="90"/>
      <c r="AA953" s="90"/>
      <c r="AB953" s="90"/>
      <c r="AC953" s="90"/>
    </row>
    <row r="954">
      <c r="A954" s="104"/>
      <c r="B954" s="101"/>
      <c r="C954" s="105"/>
      <c r="D954" s="93"/>
      <c r="E954" s="106"/>
      <c r="F954" s="107"/>
      <c r="G954" s="108"/>
      <c r="H954" s="97">
        <f>G954*ENTRY!$O948</f>
        <v>0</v>
      </c>
      <c r="I954" s="97">
        <f>G954*ENTRY!$P948</f>
        <v>0</v>
      </c>
      <c r="J954" s="97">
        <f>G954*ENTRY!$Q948</f>
        <v>0</v>
      </c>
      <c r="K954" s="95"/>
      <c r="L954" s="109"/>
      <c r="M954" s="106"/>
      <c r="N954" s="98"/>
      <c r="O954" s="99"/>
      <c r="P954" s="99"/>
      <c r="Q954" s="99"/>
      <c r="R954" s="99"/>
      <c r="S954" s="100"/>
      <c r="T954" s="100"/>
      <c r="U954" s="100"/>
      <c r="V954" s="100"/>
      <c r="W954" s="88"/>
      <c r="X954" s="89"/>
      <c r="Y954" s="90"/>
      <c r="Z954" s="90"/>
      <c r="AA954" s="90"/>
      <c r="AB954" s="90"/>
      <c r="AC954" s="90"/>
    </row>
    <row r="955">
      <c r="A955" s="104"/>
      <c r="B955" s="101"/>
      <c r="C955" s="105"/>
      <c r="D955" s="80"/>
      <c r="E955" s="81"/>
      <c r="F955" s="82"/>
      <c r="G955" s="83"/>
      <c r="H955" s="84">
        <f>G955*ENTRY!$O949</f>
        <v>0</v>
      </c>
      <c r="I955" s="84">
        <f>G955*ENTRY!$P949</f>
        <v>0</v>
      </c>
      <c r="J955" s="84">
        <f>G955*ENTRY!$Q949</f>
        <v>0</v>
      </c>
      <c r="K955" s="82"/>
      <c r="L955" s="82"/>
      <c r="M955" s="81"/>
      <c r="N955" s="85"/>
      <c r="O955" s="86"/>
      <c r="P955" s="86"/>
      <c r="Q955" s="86"/>
      <c r="R955" s="86"/>
      <c r="S955" s="87"/>
      <c r="T955" s="87"/>
      <c r="U955" s="87"/>
      <c r="V955" s="87"/>
      <c r="W955" s="88"/>
      <c r="X955" s="89"/>
      <c r="Y955" s="90"/>
      <c r="Z955" s="90"/>
      <c r="AA955" s="90"/>
      <c r="AB955" s="90"/>
      <c r="AC955" s="90"/>
    </row>
    <row r="956">
      <c r="A956" s="104"/>
      <c r="B956" s="101"/>
      <c r="C956" s="105"/>
      <c r="D956" s="93"/>
      <c r="E956" s="106"/>
      <c r="F956" s="107"/>
      <c r="G956" s="108"/>
      <c r="H956" s="97">
        <f>G956*ENTRY!$O950</f>
        <v>0</v>
      </c>
      <c r="I956" s="97">
        <f>G956*ENTRY!$P950</f>
        <v>0</v>
      </c>
      <c r="J956" s="97">
        <f>G956*ENTRY!$Q950</f>
        <v>0</v>
      </c>
      <c r="K956" s="95"/>
      <c r="L956" s="109"/>
      <c r="M956" s="106"/>
      <c r="N956" s="98"/>
      <c r="O956" s="99"/>
      <c r="P956" s="99"/>
      <c r="Q956" s="99"/>
      <c r="R956" s="99"/>
      <c r="S956" s="100"/>
      <c r="T956" s="100"/>
      <c r="U956" s="100"/>
      <c r="V956" s="100"/>
      <c r="W956" s="88"/>
      <c r="X956" s="89"/>
      <c r="Y956" s="90"/>
      <c r="Z956" s="90"/>
      <c r="AA956" s="90"/>
      <c r="AB956" s="90"/>
      <c r="AC956" s="90"/>
    </row>
    <row r="957">
      <c r="A957" s="104"/>
      <c r="B957" s="101"/>
      <c r="C957" s="105"/>
      <c r="D957" s="80"/>
      <c r="E957" s="81"/>
      <c r="F957" s="82"/>
      <c r="G957" s="83"/>
      <c r="H957" s="84">
        <f>G957*ENTRY!$O951</f>
        <v>0</v>
      </c>
      <c r="I957" s="84">
        <f>G957*ENTRY!$P951</f>
        <v>0</v>
      </c>
      <c r="J957" s="84">
        <f>G957*ENTRY!$Q951</f>
        <v>0</v>
      </c>
      <c r="K957" s="82"/>
      <c r="L957" s="82"/>
      <c r="M957" s="81"/>
      <c r="N957" s="85"/>
      <c r="O957" s="86"/>
      <c r="P957" s="86"/>
      <c r="Q957" s="86"/>
      <c r="R957" s="86"/>
      <c r="S957" s="87"/>
      <c r="T957" s="87"/>
      <c r="U957" s="87"/>
      <c r="V957" s="87"/>
      <c r="W957" s="88"/>
      <c r="X957" s="89"/>
      <c r="Y957" s="90"/>
      <c r="Z957" s="90"/>
      <c r="AA957" s="90"/>
      <c r="AB957" s="90"/>
      <c r="AC957" s="90"/>
    </row>
    <row r="958">
      <c r="A958" s="104"/>
      <c r="B958" s="101"/>
      <c r="C958" s="105"/>
      <c r="D958" s="93"/>
      <c r="E958" s="106"/>
      <c r="F958" s="107"/>
      <c r="G958" s="108"/>
      <c r="H958" s="97">
        <f>G958*ENTRY!$O952</f>
        <v>0</v>
      </c>
      <c r="I958" s="97">
        <f>G958*ENTRY!$P952</f>
        <v>0</v>
      </c>
      <c r="J958" s="97">
        <f>G958*ENTRY!$Q952</f>
        <v>0</v>
      </c>
      <c r="K958" s="95"/>
      <c r="L958" s="109"/>
      <c r="M958" s="106"/>
      <c r="N958" s="98"/>
      <c r="O958" s="99"/>
      <c r="P958" s="99"/>
      <c r="Q958" s="99"/>
      <c r="R958" s="99"/>
      <c r="S958" s="100"/>
      <c r="T958" s="100"/>
      <c r="U958" s="100"/>
      <c r="V958" s="100"/>
      <c r="W958" s="88"/>
      <c r="X958" s="89"/>
      <c r="Y958" s="90"/>
      <c r="Z958" s="90"/>
      <c r="AA958" s="90"/>
      <c r="AB958" s="90"/>
      <c r="AC958" s="90"/>
    </row>
    <row r="959">
      <c r="A959" s="104"/>
      <c r="B959" s="101"/>
      <c r="C959" s="105"/>
      <c r="D959" s="80"/>
      <c r="E959" s="81"/>
      <c r="F959" s="82"/>
      <c r="G959" s="83"/>
      <c r="H959" s="84">
        <f>G959*ENTRY!$O953</f>
        <v>0</v>
      </c>
      <c r="I959" s="84">
        <f>G959*ENTRY!$P953</f>
        <v>0</v>
      </c>
      <c r="J959" s="84">
        <f>G959*ENTRY!$Q953</f>
        <v>0</v>
      </c>
      <c r="K959" s="82"/>
      <c r="L959" s="82"/>
      <c r="M959" s="81"/>
      <c r="N959" s="85"/>
      <c r="O959" s="86"/>
      <c r="P959" s="86"/>
      <c r="Q959" s="86"/>
      <c r="R959" s="86"/>
      <c r="S959" s="87"/>
      <c r="T959" s="87"/>
      <c r="U959" s="87"/>
      <c r="V959" s="87"/>
      <c r="W959" s="88"/>
      <c r="X959" s="89"/>
      <c r="Y959" s="90"/>
      <c r="Z959" s="90"/>
      <c r="AA959" s="90"/>
      <c r="AB959" s="90"/>
      <c r="AC959" s="90"/>
    </row>
    <row r="960">
      <c r="A960" s="104"/>
      <c r="B960" s="101"/>
      <c r="C960" s="105"/>
      <c r="D960" s="93"/>
      <c r="E960" s="106"/>
      <c r="F960" s="107"/>
      <c r="G960" s="108"/>
      <c r="H960" s="97">
        <f>G960*ENTRY!$O954</f>
        <v>0</v>
      </c>
      <c r="I960" s="97">
        <f>G960*ENTRY!$P954</f>
        <v>0</v>
      </c>
      <c r="J960" s="97">
        <f>G960*ENTRY!$Q954</f>
        <v>0</v>
      </c>
      <c r="K960" s="95"/>
      <c r="L960" s="109"/>
      <c r="M960" s="106"/>
      <c r="N960" s="98"/>
      <c r="O960" s="99"/>
      <c r="P960" s="99"/>
      <c r="Q960" s="99"/>
      <c r="R960" s="99"/>
      <c r="S960" s="100"/>
      <c r="T960" s="100"/>
      <c r="U960" s="100"/>
      <c r="V960" s="100"/>
      <c r="W960" s="88"/>
      <c r="X960" s="89"/>
      <c r="Y960" s="90"/>
      <c r="Z960" s="90"/>
      <c r="AA960" s="90"/>
      <c r="AB960" s="90"/>
      <c r="AC960" s="90"/>
    </row>
    <row r="961">
      <c r="A961" s="104"/>
      <c r="B961" s="101"/>
      <c r="C961" s="105"/>
      <c r="D961" s="80"/>
      <c r="E961" s="81"/>
      <c r="F961" s="82"/>
      <c r="G961" s="83"/>
      <c r="H961" s="84">
        <f>G961*ENTRY!$O955</f>
        <v>0</v>
      </c>
      <c r="I961" s="84">
        <f>G961*ENTRY!$P955</f>
        <v>0</v>
      </c>
      <c r="J961" s="84">
        <f>G961*ENTRY!$Q955</f>
        <v>0</v>
      </c>
      <c r="K961" s="82"/>
      <c r="L961" s="82"/>
      <c r="M961" s="81"/>
      <c r="N961" s="85"/>
      <c r="O961" s="86"/>
      <c r="P961" s="86"/>
      <c r="Q961" s="86"/>
      <c r="R961" s="86"/>
      <c r="S961" s="87"/>
      <c r="T961" s="87"/>
      <c r="U961" s="87"/>
      <c r="V961" s="87"/>
      <c r="W961" s="88"/>
      <c r="X961" s="89"/>
      <c r="Y961" s="90"/>
      <c r="Z961" s="90"/>
      <c r="AA961" s="90"/>
      <c r="AB961" s="90"/>
      <c r="AC961" s="90"/>
    </row>
    <row r="962">
      <c r="A962" s="104"/>
      <c r="B962" s="101"/>
      <c r="C962" s="105"/>
      <c r="D962" s="93"/>
      <c r="E962" s="106"/>
      <c r="F962" s="107"/>
      <c r="G962" s="108"/>
      <c r="H962" s="97">
        <f>G962*ENTRY!$O956</f>
        <v>0</v>
      </c>
      <c r="I962" s="97">
        <f>G962*ENTRY!$P956</f>
        <v>0</v>
      </c>
      <c r="J962" s="97">
        <f>G962*ENTRY!$Q956</f>
        <v>0</v>
      </c>
      <c r="K962" s="95"/>
      <c r="L962" s="109"/>
      <c r="M962" s="106"/>
      <c r="N962" s="98"/>
      <c r="O962" s="99"/>
      <c r="P962" s="99"/>
      <c r="Q962" s="99"/>
      <c r="R962" s="99"/>
      <c r="S962" s="100"/>
      <c r="T962" s="100"/>
      <c r="U962" s="100"/>
      <c r="V962" s="100"/>
      <c r="W962" s="88"/>
      <c r="X962" s="89"/>
      <c r="Y962" s="90"/>
      <c r="Z962" s="90"/>
      <c r="AA962" s="90"/>
      <c r="AB962" s="90"/>
      <c r="AC962" s="90"/>
    </row>
    <row r="963">
      <c r="A963" s="104"/>
      <c r="B963" s="101"/>
      <c r="C963" s="105"/>
      <c r="D963" s="80"/>
      <c r="E963" s="81"/>
      <c r="F963" s="82"/>
      <c r="G963" s="83"/>
      <c r="H963" s="84">
        <f>G963*ENTRY!$O957</f>
        <v>0</v>
      </c>
      <c r="I963" s="84">
        <f>G963*ENTRY!$P957</f>
        <v>0</v>
      </c>
      <c r="J963" s="84">
        <f>G963*ENTRY!$Q957</f>
        <v>0</v>
      </c>
      <c r="K963" s="82"/>
      <c r="L963" s="82"/>
      <c r="M963" s="81"/>
      <c r="N963" s="85"/>
      <c r="O963" s="86"/>
      <c r="P963" s="86"/>
      <c r="Q963" s="86"/>
      <c r="R963" s="86"/>
      <c r="S963" s="87"/>
      <c r="T963" s="87"/>
      <c r="U963" s="87"/>
      <c r="V963" s="87"/>
      <c r="W963" s="88"/>
      <c r="X963" s="89"/>
      <c r="Y963" s="90"/>
      <c r="Z963" s="90"/>
      <c r="AA963" s="90"/>
      <c r="AB963" s="90"/>
      <c r="AC963" s="90"/>
    </row>
    <row r="964">
      <c r="A964" s="104"/>
      <c r="B964" s="101"/>
      <c r="C964" s="105"/>
      <c r="D964" s="93"/>
      <c r="E964" s="106"/>
      <c r="F964" s="107"/>
      <c r="G964" s="108"/>
      <c r="H964" s="97">
        <f>G964*ENTRY!$O958</f>
        <v>0</v>
      </c>
      <c r="I964" s="97">
        <f>G964*ENTRY!$P958</f>
        <v>0</v>
      </c>
      <c r="J964" s="97">
        <f>G964*ENTRY!$Q958</f>
        <v>0</v>
      </c>
      <c r="K964" s="95"/>
      <c r="L964" s="109"/>
      <c r="M964" s="106"/>
      <c r="N964" s="98"/>
      <c r="O964" s="99"/>
      <c r="P964" s="99"/>
      <c r="Q964" s="99"/>
      <c r="R964" s="99"/>
      <c r="S964" s="100"/>
      <c r="T964" s="100"/>
      <c r="U964" s="100"/>
      <c r="V964" s="100"/>
      <c r="W964" s="88"/>
      <c r="X964" s="89"/>
      <c r="Y964" s="90"/>
      <c r="Z964" s="90"/>
      <c r="AA964" s="90"/>
      <c r="AB964" s="90"/>
      <c r="AC964" s="90"/>
    </row>
    <row r="965">
      <c r="A965" s="104"/>
      <c r="B965" s="101"/>
      <c r="C965" s="105"/>
      <c r="D965" s="80"/>
      <c r="E965" s="81"/>
      <c r="F965" s="82"/>
      <c r="G965" s="83"/>
      <c r="H965" s="84">
        <f>G965*ENTRY!$O959</f>
        <v>0</v>
      </c>
      <c r="I965" s="84">
        <f>G965*ENTRY!$P959</f>
        <v>0</v>
      </c>
      <c r="J965" s="84">
        <f>G965*ENTRY!$Q959</f>
        <v>0</v>
      </c>
      <c r="K965" s="82"/>
      <c r="L965" s="82"/>
      <c r="M965" s="81"/>
      <c r="N965" s="85"/>
      <c r="O965" s="86"/>
      <c r="P965" s="86"/>
      <c r="Q965" s="86"/>
      <c r="R965" s="86"/>
      <c r="S965" s="87"/>
      <c r="T965" s="87"/>
      <c r="U965" s="87"/>
      <c r="V965" s="87"/>
      <c r="W965" s="88"/>
      <c r="X965" s="89"/>
      <c r="Y965" s="90"/>
      <c r="Z965" s="90"/>
      <c r="AA965" s="90"/>
      <c r="AB965" s="90"/>
      <c r="AC965" s="90"/>
    </row>
    <row r="966">
      <c r="A966" s="104"/>
      <c r="B966" s="101"/>
      <c r="C966" s="105"/>
      <c r="D966" s="93"/>
      <c r="E966" s="106"/>
      <c r="F966" s="107"/>
      <c r="G966" s="108"/>
      <c r="H966" s="97">
        <f>G966*ENTRY!$O960</f>
        <v>0</v>
      </c>
      <c r="I966" s="97">
        <f>G966*ENTRY!$P960</f>
        <v>0</v>
      </c>
      <c r="J966" s="97">
        <f>G966*ENTRY!$Q960</f>
        <v>0</v>
      </c>
      <c r="K966" s="95"/>
      <c r="L966" s="109"/>
      <c r="M966" s="106"/>
      <c r="N966" s="98"/>
      <c r="O966" s="99"/>
      <c r="P966" s="99"/>
      <c r="Q966" s="99"/>
      <c r="R966" s="99"/>
      <c r="S966" s="100"/>
      <c r="T966" s="100"/>
      <c r="U966" s="100"/>
      <c r="V966" s="100"/>
      <c r="W966" s="88"/>
      <c r="X966" s="89"/>
      <c r="Y966" s="90"/>
      <c r="Z966" s="90"/>
      <c r="AA966" s="90"/>
      <c r="AB966" s="90"/>
      <c r="AC966" s="90"/>
    </row>
    <row r="967">
      <c r="A967" s="104"/>
      <c r="B967" s="101"/>
      <c r="C967" s="105"/>
      <c r="D967" s="80"/>
      <c r="E967" s="81"/>
      <c r="F967" s="82"/>
      <c r="G967" s="83"/>
      <c r="H967" s="84">
        <f>G967*ENTRY!$O961</f>
        <v>0</v>
      </c>
      <c r="I967" s="84">
        <f>G967*ENTRY!$P961</f>
        <v>0</v>
      </c>
      <c r="J967" s="84">
        <f>G967*ENTRY!$Q961</f>
        <v>0</v>
      </c>
      <c r="K967" s="82"/>
      <c r="L967" s="82"/>
      <c r="M967" s="81"/>
      <c r="N967" s="85"/>
      <c r="O967" s="86"/>
      <c r="P967" s="86"/>
      <c r="Q967" s="86"/>
      <c r="R967" s="86"/>
      <c r="S967" s="87"/>
      <c r="T967" s="87"/>
      <c r="U967" s="87"/>
      <c r="V967" s="87"/>
      <c r="W967" s="88"/>
      <c r="X967" s="89"/>
      <c r="Y967" s="90"/>
      <c r="Z967" s="90"/>
      <c r="AA967" s="90"/>
      <c r="AB967" s="90"/>
      <c r="AC967" s="90"/>
    </row>
    <row r="968">
      <c r="A968" s="104"/>
      <c r="B968" s="101"/>
      <c r="C968" s="105"/>
      <c r="D968" s="93"/>
      <c r="E968" s="106"/>
      <c r="F968" s="107"/>
      <c r="G968" s="108"/>
      <c r="H968" s="97">
        <f>G968*ENTRY!$O962</f>
        <v>0</v>
      </c>
      <c r="I968" s="97">
        <f>G968*ENTRY!$P962</f>
        <v>0</v>
      </c>
      <c r="J968" s="97">
        <f>G968*ENTRY!$Q962</f>
        <v>0</v>
      </c>
      <c r="K968" s="95"/>
      <c r="L968" s="109"/>
      <c r="M968" s="106"/>
      <c r="N968" s="98"/>
      <c r="O968" s="99"/>
      <c r="P968" s="99"/>
      <c r="Q968" s="99"/>
      <c r="R968" s="99"/>
      <c r="S968" s="100"/>
      <c r="T968" s="100"/>
      <c r="U968" s="100"/>
      <c r="V968" s="100"/>
      <c r="W968" s="88"/>
      <c r="X968" s="89"/>
      <c r="Y968" s="90"/>
      <c r="Z968" s="90"/>
      <c r="AA968" s="90"/>
      <c r="AB968" s="90"/>
      <c r="AC968" s="90"/>
    </row>
    <row r="969">
      <c r="A969" s="104"/>
      <c r="B969" s="101"/>
      <c r="C969" s="105"/>
      <c r="D969" s="80"/>
      <c r="E969" s="81"/>
      <c r="F969" s="82"/>
      <c r="G969" s="83"/>
      <c r="H969" s="84">
        <f>G969*ENTRY!$O963</f>
        <v>0</v>
      </c>
      <c r="I969" s="84">
        <f>G969*ENTRY!$P963</f>
        <v>0</v>
      </c>
      <c r="J969" s="84">
        <f>G969*ENTRY!$Q963</f>
        <v>0</v>
      </c>
      <c r="K969" s="82"/>
      <c r="L969" s="82"/>
      <c r="M969" s="81"/>
      <c r="N969" s="85"/>
      <c r="O969" s="86"/>
      <c r="P969" s="86"/>
      <c r="Q969" s="86"/>
      <c r="R969" s="86"/>
      <c r="S969" s="87"/>
      <c r="T969" s="87"/>
      <c r="U969" s="87"/>
      <c r="V969" s="87"/>
      <c r="W969" s="88"/>
      <c r="X969" s="89"/>
      <c r="Y969" s="90"/>
      <c r="Z969" s="90"/>
      <c r="AA969" s="90"/>
      <c r="AB969" s="90"/>
      <c r="AC969" s="90"/>
    </row>
    <row r="970">
      <c r="A970" s="104"/>
      <c r="B970" s="101"/>
      <c r="C970" s="105"/>
      <c r="D970" s="93"/>
      <c r="E970" s="106"/>
      <c r="F970" s="107"/>
      <c r="G970" s="108"/>
      <c r="H970" s="97">
        <f>G970*ENTRY!$O964</f>
        <v>0</v>
      </c>
      <c r="I970" s="97">
        <f>G970*ENTRY!$P964</f>
        <v>0</v>
      </c>
      <c r="J970" s="97">
        <f>G970*ENTRY!$Q964</f>
        <v>0</v>
      </c>
      <c r="K970" s="95"/>
      <c r="L970" s="109"/>
      <c r="M970" s="106"/>
      <c r="N970" s="98"/>
      <c r="O970" s="99"/>
      <c r="P970" s="99"/>
      <c r="Q970" s="99"/>
      <c r="R970" s="99"/>
      <c r="S970" s="100"/>
      <c r="T970" s="100"/>
      <c r="U970" s="100"/>
      <c r="V970" s="100"/>
      <c r="W970" s="88"/>
      <c r="X970" s="89"/>
      <c r="Y970" s="90"/>
      <c r="Z970" s="90"/>
      <c r="AA970" s="90"/>
      <c r="AB970" s="90"/>
      <c r="AC970" s="90"/>
    </row>
    <row r="971">
      <c r="A971" s="104"/>
      <c r="B971" s="101"/>
      <c r="C971" s="105"/>
      <c r="D971" s="80"/>
      <c r="E971" s="81"/>
      <c r="F971" s="82"/>
      <c r="G971" s="83"/>
      <c r="H971" s="84">
        <f>G971*ENTRY!$O965</f>
        <v>0</v>
      </c>
      <c r="I971" s="84">
        <f>G971*ENTRY!$P965</f>
        <v>0</v>
      </c>
      <c r="J971" s="84">
        <f>G971*ENTRY!$Q965</f>
        <v>0</v>
      </c>
      <c r="K971" s="82"/>
      <c r="L971" s="82"/>
      <c r="M971" s="81"/>
      <c r="N971" s="85"/>
      <c r="O971" s="86"/>
      <c r="P971" s="86"/>
      <c r="Q971" s="86"/>
      <c r="R971" s="86"/>
      <c r="S971" s="87"/>
      <c r="T971" s="87"/>
      <c r="U971" s="87"/>
      <c r="V971" s="87"/>
      <c r="W971" s="88"/>
      <c r="X971" s="89"/>
      <c r="Y971" s="90"/>
      <c r="Z971" s="90"/>
      <c r="AA971" s="90"/>
      <c r="AB971" s="90"/>
      <c r="AC971" s="90"/>
    </row>
    <row r="972">
      <c r="A972" s="104"/>
      <c r="B972" s="101"/>
      <c r="C972" s="105"/>
      <c r="D972" s="93"/>
      <c r="E972" s="106"/>
      <c r="F972" s="107"/>
      <c r="G972" s="108"/>
      <c r="H972" s="97">
        <f>G972*ENTRY!$O966</f>
        <v>0</v>
      </c>
      <c r="I972" s="97">
        <f>G972*ENTRY!$P966</f>
        <v>0</v>
      </c>
      <c r="J972" s="97">
        <f>G972*ENTRY!$Q966</f>
        <v>0</v>
      </c>
      <c r="K972" s="95"/>
      <c r="L972" s="109"/>
      <c r="M972" s="106"/>
      <c r="N972" s="98"/>
      <c r="O972" s="99"/>
      <c r="P972" s="99"/>
      <c r="Q972" s="99"/>
      <c r="R972" s="99"/>
      <c r="S972" s="100"/>
      <c r="T972" s="100"/>
      <c r="U972" s="100"/>
      <c r="V972" s="100"/>
      <c r="W972" s="88"/>
      <c r="X972" s="89"/>
      <c r="Y972" s="90"/>
      <c r="Z972" s="90"/>
      <c r="AA972" s="90"/>
      <c r="AB972" s="90"/>
      <c r="AC972" s="90"/>
    </row>
    <row r="973">
      <c r="A973" s="104"/>
      <c r="B973" s="101"/>
      <c r="C973" s="105"/>
      <c r="D973" s="80"/>
      <c r="E973" s="81"/>
      <c r="F973" s="82"/>
      <c r="G973" s="83"/>
      <c r="H973" s="84">
        <f>G973*ENTRY!$O967</f>
        <v>0</v>
      </c>
      <c r="I973" s="84">
        <f>G973*ENTRY!$P967</f>
        <v>0</v>
      </c>
      <c r="J973" s="84">
        <f>G973*ENTRY!$Q967</f>
        <v>0</v>
      </c>
      <c r="K973" s="82"/>
      <c r="L973" s="82"/>
      <c r="M973" s="81"/>
      <c r="N973" s="85"/>
      <c r="O973" s="86"/>
      <c r="P973" s="86"/>
      <c r="Q973" s="86"/>
      <c r="R973" s="86"/>
      <c r="S973" s="87"/>
      <c r="T973" s="87"/>
      <c r="U973" s="87"/>
      <c r="V973" s="87"/>
      <c r="W973" s="88"/>
      <c r="X973" s="89"/>
      <c r="Y973" s="90"/>
      <c r="Z973" s="90"/>
      <c r="AA973" s="90"/>
      <c r="AB973" s="90"/>
      <c r="AC973" s="90"/>
    </row>
    <row r="974">
      <c r="A974" s="104"/>
      <c r="B974" s="101"/>
      <c r="C974" s="105"/>
      <c r="D974" s="93"/>
      <c r="E974" s="106"/>
      <c r="F974" s="107"/>
      <c r="G974" s="108"/>
      <c r="H974" s="97">
        <f>G974*ENTRY!$O968</f>
        <v>0</v>
      </c>
      <c r="I974" s="97">
        <f>G974*ENTRY!$P968</f>
        <v>0</v>
      </c>
      <c r="J974" s="97">
        <f>G974*ENTRY!$Q968</f>
        <v>0</v>
      </c>
      <c r="K974" s="95"/>
      <c r="L974" s="109"/>
      <c r="M974" s="106"/>
      <c r="N974" s="98"/>
      <c r="O974" s="99"/>
      <c r="P974" s="99"/>
      <c r="Q974" s="99"/>
      <c r="R974" s="99"/>
      <c r="S974" s="100"/>
      <c r="T974" s="100"/>
      <c r="U974" s="100"/>
      <c r="V974" s="100"/>
      <c r="W974" s="88"/>
      <c r="X974" s="89"/>
      <c r="Y974" s="90"/>
      <c r="Z974" s="90"/>
      <c r="AA974" s="90"/>
      <c r="AB974" s="90"/>
      <c r="AC974" s="90"/>
    </row>
    <row r="975">
      <c r="A975" s="104"/>
      <c r="B975" s="101"/>
      <c r="C975" s="105"/>
      <c r="D975" s="80"/>
      <c r="E975" s="81"/>
      <c r="F975" s="82"/>
      <c r="G975" s="83"/>
      <c r="H975" s="84">
        <f>G975*ENTRY!$O969</f>
        <v>0</v>
      </c>
      <c r="I975" s="84">
        <f>G975*ENTRY!$P969</f>
        <v>0</v>
      </c>
      <c r="J975" s="84">
        <f>G975*ENTRY!$Q969</f>
        <v>0</v>
      </c>
      <c r="K975" s="82"/>
      <c r="L975" s="82"/>
      <c r="M975" s="81"/>
      <c r="N975" s="85"/>
      <c r="O975" s="86"/>
      <c r="P975" s="86"/>
      <c r="Q975" s="86"/>
      <c r="R975" s="86"/>
      <c r="S975" s="87"/>
      <c r="T975" s="87"/>
      <c r="U975" s="87"/>
      <c r="V975" s="87"/>
      <c r="W975" s="88"/>
      <c r="X975" s="89"/>
      <c r="Y975" s="90"/>
      <c r="Z975" s="90"/>
      <c r="AA975" s="90"/>
      <c r="AB975" s="90"/>
      <c r="AC975" s="90"/>
    </row>
    <row r="976">
      <c r="A976" s="104"/>
      <c r="B976" s="101"/>
      <c r="C976" s="105"/>
      <c r="D976" s="93"/>
      <c r="E976" s="106"/>
      <c r="F976" s="107"/>
      <c r="G976" s="108"/>
      <c r="H976" s="97">
        <f>G976*ENTRY!$O970</f>
        <v>0</v>
      </c>
      <c r="I976" s="97">
        <f>G976*ENTRY!$P970</f>
        <v>0</v>
      </c>
      <c r="J976" s="97">
        <f>G976*ENTRY!$Q970</f>
        <v>0</v>
      </c>
      <c r="K976" s="95"/>
      <c r="L976" s="109"/>
      <c r="M976" s="106"/>
      <c r="N976" s="98"/>
      <c r="O976" s="99"/>
      <c r="P976" s="99"/>
      <c r="Q976" s="99"/>
      <c r="R976" s="99"/>
      <c r="S976" s="100"/>
      <c r="T976" s="100"/>
      <c r="U976" s="100"/>
      <c r="V976" s="100"/>
      <c r="W976" s="88"/>
      <c r="X976" s="89"/>
      <c r="Y976" s="90"/>
      <c r="Z976" s="90"/>
      <c r="AA976" s="90"/>
      <c r="AB976" s="90"/>
      <c r="AC976" s="90"/>
    </row>
    <row r="977">
      <c r="A977" s="104"/>
      <c r="B977" s="101"/>
      <c r="C977" s="105"/>
      <c r="D977" s="80"/>
      <c r="E977" s="81"/>
      <c r="F977" s="82"/>
      <c r="G977" s="83"/>
      <c r="H977" s="84">
        <f>G977*ENTRY!$O971</f>
        <v>0</v>
      </c>
      <c r="I977" s="84">
        <f>G977*ENTRY!$P971</f>
        <v>0</v>
      </c>
      <c r="J977" s="84">
        <f>G977*ENTRY!$Q971</f>
        <v>0</v>
      </c>
      <c r="K977" s="82"/>
      <c r="L977" s="82"/>
      <c r="M977" s="81"/>
      <c r="N977" s="85"/>
      <c r="O977" s="86"/>
      <c r="P977" s="86"/>
      <c r="Q977" s="86"/>
      <c r="R977" s="86"/>
      <c r="S977" s="87"/>
      <c r="T977" s="87"/>
      <c r="U977" s="87"/>
      <c r="V977" s="87"/>
      <c r="W977" s="88"/>
      <c r="X977" s="89"/>
      <c r="Y977" s="90"/>
      <c r="Z977" s="90"/>
      <c r="AA977" s="90"/>
      <c r="AB977" s="90"/>
      <c r="AC977" s="90"/>
    </row>
    <row r="978">
      <c r="A978" s="104"/>
      <c r="B978" s="101"/>
      <c r="C978" s="105"/>
      <c r="D978" s="93"/>
      <c r="E978" s="106"/>
      <c r="F978" s="107"/>
      <c r="G978" s="108"/>
      <c r="H978" s="97">
        <f>G978*ENTRY!$O972</f>
        <v>0</v>
      </c>
      <c r="I978" s="97">
        <f>G978*ENTRY!$P972</f>
        <v>0</v>
      </c>
      <c r="J978" s="97">
        <f>G978*ENTRY!$Q972</f>
        <v>0</v>
      </c>
      <c r="K978" s="95"/>
      <c r="L978" s="109"/>
      <c r="M978" s="106"/>
      <c r="N978" s="98"/>
      <c r="O978" s="99"/>
      <c r="P978" s="99"/>
      <c r="Q978" s="99"/>
      <c r="R978" s="99"/>
      <c r="S978" s="100"/>
      <c r="T978" s="100"/>
      <c r="U978" s="100"/>
      <c r="V978" s="100"/>
      <c r="W978" s="88"/>
      <c r="X978" s="89"/>
      <c r="Y978" s="90"/>
      <c r="Z978" s="90"/>
      <c r="AA978" s="90"/>
      <c r="AB978" s="90"/>
      <c r="AC978" s="90"/>
    </row>
    <row r="979">
      <c r="A979" s="104"/>
      <c r="B979" s="101"/>
      <c r="C979" s="105"/>
      <c r="D979" s="80"/>
      <c r="E979" s="81"/>
      <c r="F979" s="82"/>
      <c r="G979" s="83"/>
      <c r="H979" s="84">
        <f>G979*ENTRY!$O973</f>
        <v>0</v>
      </c>
      <c r="I979" s="84">
        <f>G979*ENTRY!$P973</f>
        <v>0</v>
      </c>
      <c r="J979" s="84">
        <f>G979*ENTRY!$Q973</f>
        <v>0</v>
      </c>
      <c r="K979" s="82"/>
      <c r="L979" s="82"/>
      <c r="M979" s="81"/>
      <c r="N979" s="85"/>
      <c r="O979" s="86"/>
      <c r="P979" s="86"/>
      <c r="Q979" s="86"/>
      <c r="R979" s="86"/>
      <c r="S979" s="87"/>
      <c r="T979" s="87"/>
      <c r="U979" s="87"/>
      <c r="V979" s="87"/>
      <c r="W979" s="88"/>
      <c r="X979" s="89"/>
      <c r="Y979" s="90"/>
      <c r="Z979" s="90"/>
      <c r="AA979" s="90"/>
      <c r="AB979" s="90"/>
      <c r="AC979" s="90"/>
    </row>
    <row r="980">
      <c r="A980" s="104"/>
      <c r="B980" s="101"/>
      <c r="C980" s="105"/>
      <c r="D980" s="93"/>
      <c r="E980" s="106"/>
      <c r="F980" s="107"/>
      <c r="G980" s="108"/>
      <c r="H980" s="97">
        <f>G980*ENTRY!$O974</f>
        <v>0</v>
      </c>
      <c r="I980" s="97">
        <f>G980*ENTRY!$P974</f>
        <v>0</v>
      </c>
      <c r="J980" s="97">
        <f>G980*ENTRY!$Q974</f>
        <v>0</v>
      </c>
      <c r="K980" s="95"/>
      <c r="L980" s="109"/>
      <c r="M980" s="106"/>
      <c r="N980" s="98"/>
      <c r="O980" s="99"/>
      <c r="P980" s="99"/>
      <c r="Q980" s="99"/>
      <c r="R980" s="99"/>
      <c r="S980" s="100"/>
      <c r="T980" s="100"/>
      <c r="U980" s="100"/>
      <c r="V980" s="100"/>
      <c r="W980" s="88"/>
      <c r="X980" s="89"/>
      <c r="Y980" s="90"/>
      <c r="Z980" s="90"/>
      <c r="AA980" s="90"/>
      <c r="AB980" s="90"/>
      <c r="AC980" s="90"/>
    </row>
    <row r="981">
      <c r="A981" s="104"/>
      <c r="B981" s="101"/>
      <c r="C981" s="105"/>
      <c r="D981" s="80"/>
      <c r="E981" s="81"/>
      <c r="F981" s="82"/>
      <c r="G981" s="83"/>
      <c r="H981" s="84">
        <f>G981*ENTRY!$O975</f>
        <v>0</v>
      </c>
      <c r="I981" s="84">
        <f>G981*ENTRY!$P975</f>
        <v>0</v>
      </c>
      <c r="J981" s="84">
        <f>G981*ENTRY!$Q975</f>
        <v>0</v>
      </c>
      <c r="K981" s="82"/>
      <c r="L981" s="82"/>
      <c r="M981" s="81"/>
      <c r="N981" s="85"/>
      <c r="O981" s="86"/>
      <c r="P981" s="86"/>
      <c r="Q981" s="86"/>
      <c r="R981" s="86"/>
      <c r="S981" s="87"/>
      <c r="T981" s="87"/>
      <c r="U981" s="87"/>
      <c r="V981" s="87"/>
      <c r="W981" s="88"/>
      <c r="X981" s="89"/>
      <c r="Y981" s="90"/>
      <c r="Z981" s="90"/>
      <c r="AA981" s="90"/>
      <c r="AB981" s="90"/>
      <c r="AC981" s="90"/>
    </row>
    <row r="982">
      <c r="A982" s="104"/>
      <c r="B982" s="101"/>
      <c r="C982" s="105"/>
      <c r="D982" s="93"/>
      <c r="E982" s="106"/>
      <c r="F982" s="107"/>
      <c r="G982" s="108"/>
      <c r="H982" s="97">
        <f>G982*ENTRY!$O976</f>
        <v>0</v>
      </c>
      <c r="I982" s="97">
        <f>G982*ENTRY!$P976</f>
        <v>0</v>
      </c>
      <c r="J982" s="97">
        <f>G982*ENTRY!$Q976</f>
        <v>0</v>
      </c>
      <c r="K982" s="95"/>
      <c r="L982" s="109"/>
      <c r="M982" s="106"/>
      <c r="N982" s="98"/>
      <c r="O982" s="99"/>
      <c r="P982" s="99"/>
      <c r="Q982" s="99"/>
      <c r="R982" s="99"/>
      <c r="S982" s="100"/>
      <c r="T982" s="100"/>
      <c r="U982" s="100"/>
      <c r="V982" s="100"/>
      <c r="W982" s="88"/>
      <c r="X982" s="89"/>
      <c r="Y982" s="90"/>
      <c r="Z982" s="90"/>
      <c r="AA982" s="90"/>
      <c r="AB982" s="90"/>
      <c r="AC982" s="90"/>
    </row>
    <row r="983">
      <c r="A983" s="104"/>
      <c r="B983" s="101"/>
      <c r="C983" s="105"/>
      <c r="D983" s="80"/>
      <c r="E983" s="81"/>
      <c r="F983" s="82"/>
      <c r="G983" s="83"/>
      <c r="H983" s="84">
        <f>G983*ENTRY!$O977</f>
        <v>0</v>
      </c>
      <c r="I983" s="84">
        <f>G983*ENTRY!$P977</f>
        <v>0</v>
      </c>
      <c r="J983" s="84">
        <f>G983*ENTRY!$Q977</f>
        <v>0</v>
      </c>
      <c r="K983" s="82"/>
      <c r="L983" s="82"/>
      <c r="M983" s="81"/>
      <c r="N983" s="85"/>
      <c r="O983" s="86"/>
      <c r="P983" s="86"/>
      <c r="Q983" s="86"/>
      <c r="R983" s="86"/>
      <c r="S983" s="87"/>
      <c r="T983" s="87"/>
      <c r="U983" s="87"/>
      <c r="V983" s="87"/>
      <c r="W983" s="88"/>
      <c r="X983" s="89"/>
      <c r="Y983" s="90"/>
      <c r="Z983" s="90"/>
      <c r="AA983" s="90"/>
      <c r="AB983" s="90"/>
      <c r="AC983" s="90"/>
    </row>
    <row r="984">
      <c r="A984" s="104"/>
      <c r="B984" s="101"/>
      <c r="C984" s="105"/>
      <c r="D984" s="93"/>
      <c r="E984" s="106"/>
      <c r="F984" s="107"/>
      <c r="G984" s="108"/>
      <c r="H984" s="97">
        <f>G984*ENTRY!$O978</f>
        <v>0</v>
      </c>
      <c r="I984" s="97">
        <f>G984*ENTRY!$P978</f>
        <v>0</v>
      </c>
      <c r="J984" s="97">
        <f>G984*ENTRY!$Q978</f>
        <v>0</v>
      </c>
      <c r="K984" s="95"/>
      <c r="L984" s="109"/>
      <c r="M984" s="106"/>
      <c r="N984" s="98"/>
      <c r="O984" s="99"/>
      <c r="P984" s="99"/>
      <c r="Q984" s="99"/>
      <c r="R984" s="99"/>
      <c r="S984" s="100"/>
      <c r="T984" s="100"/>
      <c r="U984" s="100"/>
      <c r="V984" s="100"/>
      <c r="W984" s="88"/>
      <c r="X984" s="89"/>
      <c r="Y984" s="90"/>
      <c r="Z984" s="90"/>
      <c r="AA984" s="90"/>
      <c r="AB984" s="90"/>
      <c r="AC984" s="90"/>
    </row>
    <row r="985">
      <c r="A985" s="104"/>
      <c r="B985" s="101"/>
      <c r="C985" s="105"/>
      <c r="D985" s="80"/>
      <c r="E985" s="81"/>
      <c r="F985" s="82"/>
      <c r="G985" s="83"/>
      <c r="H985" s="84">
        <f>G985*ENTRY!$O979</f>
        <v>0</v>
      </c>
      <c r="I985" s="84">
        <f>G985*ENTRY!$P979</f>
        <v>0</v>
      </c>
      <c r="J985" s="84">
        <f>G985*ENTRY!$Q979</f>
        <v>0</v>
      </c>
      <c r="K985" s="82"/>
      <c r="L985" s="82"/>
      <c r="M985" s="81"/>
      <c r="N985" s="85"/>
      <c r="O985" s="86"/>
      <c r="P985" s="86"/>
      <c r="Q985" s="86"/>
      <c r="R985" s="86"/>
      <c r="S985" s="87"/>
      <c r="T985" s="87"/>
      <c r="U985" s="87"/>
      <c r="V985" s="87"/>
      <c r="W985" s="88"/>
      <c r="X985" s="89"/>
      <c r="Y985" s="90"/>
      <c r="Z985" s="90"/>
      <c r="AA985" s="90"/>
      <c r="AB985" s="90"/>
      <c r="AC985" s="90"/>
    </row>
    <row r="986">
      <c r="A986" s="104"/>
      <c r="B986" s="101"/>
      <c r="C986" s="105"/>
      <c r="D986" s="93"/>
      <c r="E986" s="106"/>
      <c r="F986" s="107"/>
      <c r="G986" s="108"/>
      <c r="H986" s="97">
        <f>G986*ENTRY!$O980</f>
        <v>0</v>
      </c>
      <c r="I986" s="97">
        <f>G986*ENTRY!$P980</f>
        <v>0</v>
      </c>
      <c r="J986" s="97">
        <f>G986*ENTRY!$Q980</f>
        <v>0</v>
      </c>
      <c r="K986" s="95"/>
      <c r="L986" s="109"/>
      <c r="M986" s="106"/>
      <c r="N986" s="98"/>
      <c r="O986" s="99"/>
      <c r="P986" s="99"/>
      <c r="Q986" s="99"/>
      <c r="R986" s="99"/>
      <c r="S986" s="100"/>
      <c r="T986" s="100"/>
      <c r="U986" s="100"/>
      <c r="V986" s="100"/>
      <c r="W986" s="88"/>
      <c r="X986" s="89"/>
      <c r="Y986" s="90"/>
      <c r="Z986" s="90"/>
      <c r="AA986" s="90"/>
      <c r="AB986" s="90"/>
      <c r="AC986" s="90"/>
    </row>
    <row r="987">
      <c r="A987" s="104"/>
      <c r="B987" s="101"/>
      <c r="C987" s="105"/>
      <c r="D987" s="80"/>
      <c r="E987" s="81"/>
      <c r="F987" s="82"/>
      <c r="G987" s="83"/>
      <c r="H987" s="84">
        <f>G987*ENTRY!$O981</f>
        <v>0</v>
      </c>
      <c r="I987" s="84">
        <f>G987*ENTRY!$P981</f>
        <v>0</v>
      </c>
      <c r="J987" s="84">
        <f>G987*ENTRY!$Q981</f>
        <v>0</v>
      </c>
      <c r="K987" s="82"/>
      <c r="L987" s="82"/>
      <c r="M987" s="81"/>
      <c r="N987" s="85"/>
      <c r="O987" s="86"/>
      <c r="P987" s="86"/>
      <c r="Q987" s="86"/>
      <c r="R987" s="86"/>
      <c r="S987" s="87"/>
      <c r="T987" s="87"/>
      <c r="U987" s="87"/>
      <c r="V987" s="87"/>
      <c r="W987" s="88"/>
      <c r="X987" s="89"/>
      <c r="Y987" s="90"/>
      <c r="Z987" s="90"/>
      <c r="AA987" s="90"/>
      <c r="AB987" s="90"/>
      <c r="AC987" s="90"/>
    </row>
    <row r="988">
      <c r="A988" s="104"/>
      <c r="B988" s="101"/>
      <c r="C988" s="105"/>
      <c r="D988" s="93"/>
      <c r="E988" s="106"/>
      <c r="F988" s="107"/>
      <c r="G988" s="108"/>
      <c r="H988" s="97">
        <f>G988*ENTRY!$O982</f>
        <v>0</v>
      </c>
      <c r="I988" s="97">
        <f>G988*ENTRY!$P982</f>
        <v>0</v>
      </c>
      <c r="J988" s="97">
        <f>G988*ENTRY!$Q982</f>
        <v>0</v>
      </c>
      <c r="K988" s="95"/>
      <c r="L988" s="109"/>
      <c r="M988" s="106"/>
      <c r="N988" s="98"/>
      <c r="O988" s="99"/>
      <c r="P988" s="99"/>
      <c r="Q988" s="99"/>
      <c r="R988" s="99"/>
      <c r="S988" s="100"/>
      <c r="T988" s="100"/>
      <c r="U988" s="100"/>
      <c r="V988" s="100"/>
      <c r="W988" s="88"/>
      <c r="X988" s="89"/>
      <c r="Y988" s="90"/>
      <c r="Z988" s="90"/>
      <c r="AA988" s="90"/>
      <c r="AB988" s="90"/>
      <c r="AC988" s="90"/>
    </row>
    <row r="989">
      <c r="A989" s="104"/>
      <c r="B989" s="101"/>
      <c r="C989" s="105"/>
      <c r="D989" s="80"/>
      <c r="E989" s="81"/>
      <c r="F989" s="82"/>
      <c r="G989" s="83"/>
      <c r="H989" s="84">
        <f>G989*ENTRY!$O983</f>
        <v>0</v>
      </c>
      <c r="I989" s="84">
        <f>G989*ENTRY!$P983</f>
        <v>0</v>
      </c>
      <c r="J989" s="84">
        <f>G989*ENTRY!$Q983</f>
        <v>0</v>
      </c>
      <c r="K989" s="82"/>
      <c r="L989" s="82"/>
      <c r="M989" s="81"/>
      <c r="N989" s="85"/>
      <c r="O989" s="86"/>
      <c r="P989" s="86"/>
      <c r="Q989" s="86"/>
      <c r="R989" s="86"/>
      <c r="S989" s="87"/>
      <c r="T989" s="87"/>
      <c r="U989" s="87"/>
      <c r="V989" s="87"/>
      <c r="W989" s="88"/>
      <c r="X989" s="89"/>
      <c r="Y989" s="90"/>
      <c r="Z989" s="90"/>
      <c r="AA989" s="90"/>
      <c r="AB989" s="90"/>
      <c r="AC989" s="90"/>
    </row>
    <row r="990">
      <c r="A990" s="104"/>
      <c r="B990" s="101"/>
      <c r="C990" s="105"/>
      <c r="D990" s="93"/>
      <c r="E990" s="106"/>
      <c r="F990" s="107"/>
      <c r="G990" s="108"/>
      <c r="H990" s="97">
        <f>G990*ENTRY!$O984</f>
        <v>0</v>
      </c>
      <c r="I990" s="97">
        <f>G990*ENTRY!$P984</f>
        <v>0</v>
      </c>
      <c r="J990" s="97">
        <f>G990*ENTRY!$Q984</f>
        <v>0</v>
      </c>
      <c r="K990" s="95"/>
      <c r="L990" s="109"/>
      <c r="M990" s="106"/>
      <c r="N990" s="98"/>
      <c r="O990" s="99"/>
      <c r="P990" s="99"/>
      <c r="Q990" s="99"/>
      <c r="R990" s="99"/>
      <c r="S990" s="100"/>
      <c r="T990" s="100"/>
      <c r="U990" s="100"/>
      <c r="V990" s="100"/>
      <c r="W990" s="88"/>
      <c r="X990" s="89"/>
      <c r="Y990" s="90"/>
      <c r="Z990" s="90"/>
      <c r="AA990" s="90"/>
      <c r="AB990" s="90"/>
      <c r="AC990" s="90"/>
    </row>
    <row r="991">
      <c r="A991" s="104"/>
      <c r="B991" s="101"/>
      <c r="C991" s="105"/>
      <c r="D991" s="80"/>
      <c r="E991" s="81"/>
      <c r="F991" s="82"/>
      <c r="G991" s="83"/>
      <c r="H991" s="84">
        <f>G991*ENTRY!$O985</f>
        <v>0</v>
      </c>
      <c r="I991" s="84">
        <f>G991*ENTRY!$P985</f>
        <v>0</v>
      </c>
      <c r="J991" s="84">
        <f>G991*ENTRY!$Q985</f>
        <v>0</v>
      </c>
      <c r="K991" s="82"/>
      <c r="L991" s="82"/>
      <c r="M991" s="81"/>
      <c r="N991" s="85"/>
      <c r="O991" s="86"/>
      <c r="P991" s="86"/>
      <c r="Q991" s="86"/>
      <c r="R991" s="86"/>
      <c r="S991" s="87"/>
      <c r="T991" s="87"/>
      <c r="U991" s="87"/>
      <c r="V991" s="87"/>
      <c r="W991" s="88"/>
      <c r="X991" s="89"/>
      <c r="Y991" s="90"/>
      <c r="Z991" s="90"/>
      <c r="AA991" s="90"/>
      <c r="AB991" s="90"/>
      <c r="AC991" s="90"/>
    </row>
    <row r="992">
      <c r="A992" s="104"/>
      <c r="B992" s="101"/>
      <c r="C992" s="105"/>
      <c r="D992" s="93"/>
      <c r="E992" s="106"/>
      <c r="F992" s="107"/>
      <c r="G992" s="108"/>
      <c r="H992" s="97">
        <f>G992*ENTRY!$O986</f>
        <v>0</v>
      </c>
      <c r="I992" s="97">
        <f>G992*ENTRY!$P986</f>
        <v>0</v>
      </c>
      <c r="J992" s="97">
        <f>G992*ENTRY!$Q986</f>
        <v>0</v>
      </c>
      <c r="K992" s="95"/>
      <c r="L992" s="109"/>
      <c r="M992" s="106"/>
      <c r="N992" s="98"/>
      <c r="O992" s="99"/>
      <c r="P992" s="99"/>
      <c r="Q992" s="99"/>
      <c r="R992" s="99"/>
      <c r="S992" s="100"/>
      <c r="T992" s="100"/>
      <c r="U992" s="100"/>
      <c r="V992" s="100"/>
      <c r="W992" s="88"/>
      <c r="X992" s="89"/>
      <c r="Y992" s="90"/>
      <c r="Z992" s="90"/>
      <c r="AA992" s="90"/>
      <c r="AB992" s="90"/>
      <c r="AC992" s="90"/>
    </row>
    <row r="993">
      <c r="A993" s="104"/>
      <c r="B993" s="101"/>
      <c r="C993" s="105"/>
      <c r="D993" s="80"/>
      <c r="E993" s="81"/>
      <c r="F993" s="82"/>
      <c r="G993" s="83"/>
      <c r="H993" s="84">
        <f>G993*ENTRY!$O987</f>
        <v>0</v>
      </c>
      <c r="I993" s="84">
        <f>G993*ENTRY!$P987</f>
        <v>0</v>
      </c>
      <c r="J993" s="84">
        <f>G993*ENTRY!$Q987</f>
        <v>0</v>
      </c>
      <c r="K993" s="82"/>
      <c r="L993" s="82"/>
      <c r="M993" s="81"/>
      <c r="N993" s="85"/>
      <c r="O993" s="86"/>
      <c r="P993" s="86"/>
      <c r="Q993" s="86"/>
      <c r="R993" s="86"/>
      <c r="S993" s="87"/>
      <c r="T993" s="87"/>
      <c r="U993" s="87"/>
      <c r="V993" s="87"/>
      <c r="W993" s="88"/>
      <c r="X993" s="89"/>
      <c r="Y993" s="90"/>
      <c r="Z993" s="90"/>
      <c r="AA993" s="90"/>
      <c r="AB993" s="90"/>
      <c r="AC993" s="90"/>
    </row>
    <row r="994">
      <c r="A994" s="104"/>
      <c r="B994" s="101"/>
      <c r="C994" s="105"/>
      <c r="D994" s="93"/>
      <c r="E994" s="106"/>
      <c r="F994" s="107"/>
      <c r="G994" s="108"/>
      <c r="H994" s="97">
        <f>G994*ENTRY!$O988</f>
        <v>0</v>
      </c>
      <c r="I994" s="97">
        <f>G994*ENTRY!$P988</f>
        <v>0</v>
      </c>
      <c r="J994" s="97">
        <f>G994*ENTRY!$Q988</f>
        <v>0</v>
      </c>
      <c r="K994" s="95"/>
      <c r="L994" s="109"/>
      <c r="M994" s="106"/>
      <c r="N994" s="98"/>
      <c r="O994" s="99"/>
      <c r="P994" s="99"/>
      <c r="Q994" s="99"/>
      <c r="R994" s="99"/>
      <c r="S994" s="100"/>
      <c r="T994" s="100"/>
      <c r="U994" s="100"/>
      <c r="V994" s="100"/>
      <c r="W994" s="88"/>
      <c r="X994" s="89"/>
      <c r="Y994" s="90"/>
      <c r="Z994" s="90"/>
      <c r="AA994" s="90"/>
      <c r="AB994" s="90"/>
      <c r="AC994" s="90"/>
    </row>
    <row r="995">
      <c r="A995" s="104"/>
      <c r="B995" s="101"/>
      <c r="C995" s="105"/>
      <c r="D995" s="80"/>
      <c r="E995" s="81"/>
      <c r="F995" s="82"/>
      <c r="G995" s="83"/>
      <c r="H995" s="84">
        <f>G995*ENTRY!$O989</f>
        <v>0</v>
      </c>
      <c r="I995" s="84">
        <f>G995*ENTRY!$P989</f>
        <v>0</v>
      </c>
      <c r="J995" s="84">
        <f>G995*ENTRY!$Q989</f>
        <v>0</v>
      </c>
      <c r="K995" s="82"/>
      <c r="L995" s="82"/>
      <c r="M995" s="81"/>
      <c r="N995" s="85"/>
      <c r="O995" s="86"/>
      <c r="P995" s="86"/>
      <c r="Q995" s="86"/>
      <c r="R995" s="86"/>
      <c r="S995" s="87"/>
      <c r="T995" s="87"/>
      <c r="U995" s="87"/>
      <c r="V995" s="87"/>
      <c r="W995" s="88"/>
      <c r="X995" s="89"/>
      <c r="Y995" s="90"/>
      <c r="Z995" s="90"/>
      <c r="AA995" s="90"/>
      <c r="AB995" s="90"/>
      <c r="AC995" s="90"/>
    </row>
    <row r="996">
      <c r="A996" s="104"/>
      <c r="B996" s="101"/>
      <c r="C996" s="105"/>
      <c r="D996" s="93"/>
      <c r="E996" s="106"/>
      <c r="F996" s="107"/>
      <c r="G996" s="108"/>
      <c r="H996" s="97">
        <f>G996*ENTRY!$O990</f>
        <v>0</v>
      </c>
      <c r="I996" s="97">
        <f>G996*ENTRY!$P990</f>
        <v>0</v>
      </c>
      <c r="J996" s="97">
        <f>G996*ENTRY!$Q990</f>
        <v>0</v>
      </c>
      <c r="K996" s="95"/>
      <c r="L996" s="109"/>
      <c r="M996" s="106"/>
      <c r="N996" s="98"/>
      <c r="O996" s="99"/>
      <c r="P996" s="99"/>
      <c r="Q996" s="99"/>
      <c r="R996" s="99"/>
      <c r="S996" s="100"/>
      <c r="T996" s="100"/>
      <c r="U996" s="100"/>
      <c r="V996" s="100"/>
      <c r="W996" s="88"/>
      <c r="X996" s="89"/>
      <c r="Y996" s="90"/>
      <c r="Z996" s="90"/>
      <c r="AA996" s="90"/>
      <c r="AB996" s="90"/>
      <c r="AC996" s="90"/>
    </row>
    <row r="997">
      <c r="A997" s="104"/>
      <c r="B997" s="101"/>
      <c r="C997" s="105"/>
      <c r="D997" s="80"/>
      <c r="E997" s="81"/>
      <c r="F997" s="82"/>
      <c r="G997" s="83"/>
      <c r="H997" s="84">
        <f>G997*ENTRY!$O991</f>
        <v>0</v>
      </c>
      <c r="I997" s="84">
        <f>G997*ENTRY!$P991</f>
        <v>0</v>
      </c>
      <c r="J997" s="84">
        <f>G997*ENTRY!$Q991</f>
        <v>0</v>
      </c>
      <c r="K997" s="82"/>
      <c r="L997" s="82"/>
      <c r="M997" s="81"/>
      <c r="N997" s="85"/>
      <c r="O997" s="86"/>
      <c r="P997" s="86"/>
      <c r="Q997" s="86"/>
      <c r="R997" s="86"/>
      <c r="S997" s="87"/>
      <c r="T997" s="87"/>
      <c r="U997" s="87"/>
      <c r="V997" s="87"/>
      <c r="W997" s="88"/>
      <c r="X997" s="89"/>
      <c r="Y997" s="90"/>
      <c r="Z997" s="90"/>
      <c r="AA997" s="90"/>
      <c r="AB997" s="90"/>
      <c r="AC997" s="90"/>
    </row>
    <row r="998">
      <c r="A998" s="104"/>
      <c r="B998" s="101"/>
      <c r="C998" s="105"/>
      <c r="D998" s="93"/>
      <c r="E998" s="106"/>
      <c r="F998" s="107"/>
      <c r="G998" s="108"/>
      <c r="H998" s="97">
        <f>G998*ENTRY!$O992</f>
        <v>0</v>
      </c>
      <c r="I998" s="97">
        <f>G998*ENTRY!$P992</f>
        <v>0</v>
      </c>
      <c r="J998" s="97">
        <f>G998*ENTRY!$Q992</f>
        <v>0</v>
      </c>
      <c r="K998" s="95"/>
      <c r="L998" s="109"/>
      <c r="M998" s="106"/>
      <c r="N998" s="98"/>
      <c r="O998" s="99"/>
      <c r="P998" s="99"/>
      <c r="Q998" s="99"/>
      <c r="R998" s="99"/>
      <c r="S998" s="100"/>
      <c r="T998" s="100"/>
      <c r="U998" s="100"/>
      <c r="V998" s="100"/>
      <c r="W998" s="88"/>
      <c r="X998" s="89"/>
      <c r="Y998" s="90"/>
      <c r="Z998" s="90"/>
      <c r="AA998" s="90"/>
      <c r="AB998" s="90"/>
      <c r="AC998" s="90"/>
    </row>
    <row r="999">
      <c r="A999" s="104"/>
      <c r="B999" s="101"/>
      <c r="C999" s="105"/>
      <c r="D999" s="80"/>
      <c r="E999" s="81"/>
      <c r="F999" s="82"/>
      <c r="G999" s="83"/>
      <c r="H999" s="84">
        <f>G999*ENTRY!$O993</f>
        <v>0</v>
      </c>
      <c r="I999" s="84">
        <f>G999*ENTRY!$P993</f>
        <v>0</v>
      </c>
      <c r="J999" s="84">
        <f>G999*ENTRY!$Q993</f>
        <v>0</v>
      </c>
      <c r="K999" s="82"/>
      <c r="L999" s="82"/>
      <c r="M999" s="81"/>
      <c r="N999" s="85"/>
      <c r="O999" s="86"/>
      <c r="P999" s="86"/>
      <c r="Q999" s="86"/>
      <c r="R999" s="86"/>
      <c r="S999" s="87"/>
      <c r="T999" s="87"/>
      <c r="U999" s="87"/>
      <c r="V999" s="87"/>
      <c r="W999" s="88"/>
      <c r="X999" s="89"/>
      <c r="Y999" s="90"/>
      <c r="Z999" s="90"/>
      <c r="AA999" s="90"/>
      <c r="AB999" s="90"/>
      <c r="AC999" s="90"/>
    </row>
    <row r="1000">
      <c r="A1000" s="104"/>
      <c r="B1000" s="101"/>
      <c r="C1000" s="105"/>
      <c r="D1000" s="93"/>
      <c r="E1000" s="106"/>
      <c r="F1000" s="107"/>
      <c r="G1000" s="108"/>
      <c r="H1000" s="97">
        <f>G1000*ENTRY!$O994</f>
        <v>0</v>
      </c>
      <c r="I1000" s="97">
        <f>G1000*ENTRY!$P994</f>
        <v>0</v>
      </c>
      <c r="J1000" s="97">
        <f>G1000*ENTRY!$Q994</f>
        <v>0</v>
      </c>
      <c r="K1000" s="95"/>
      <c r="L1000" s="109"/>
      <c r="M1000" s="106"/>
      <c r="N1000" s="98"/>
      <c r="O1000" s="99"/>
      <c r="P1000" s="99"/>
      <c r="Q1000" s="99"/>
      <c r="R1000" s="99"/>
      <c r="S1000" s="100"/>
      <c r="T1000" s="100"/>
      <c r="U1000" s="100"/>
      <c r="V1000" s="100"/>
      <c r="W1000" s="88"/>
      <c r="X1000" s="89"/>
      <c r="Y1000" s="90"/>
      <c r="Z1000" s="90"/>
      <c r="AA1000" s="90"/>
      <c r="AB1000" s="90"/>
      <c r="AC1000" s="90"/>
    </row>
    <row r="1001">
      <c r="A1001" s="104"/>
      <c r="B1001" s="101"/>
      <c r="C1001" s="105"/>
      <c r="D1001" s="80"/>
      <c r="E1001" s="81"/>
      <c r="F1001" s="82"/>
      <c r="G1001" s="83"/>
      <c r="H1001" s="84">
        <f>G1001*ENTRY!$O995</f>
        <v>0</v>
      </c>
      <c r="I1001" s="84">
        <f>G1001*ENTRY!$P995</f>
        <v>0</v>
      </c>
      <c r="J1001" s="84">
        <f>G1001*ENTRY!$Q995</f>
        <v>0</v>
      </c>
      <c r="K1001" s="82"/>
      <c r="L1001" s="82"/>
      <c r="M1001" s="81"/>
      <c r="N1001" s="85"/>
      <c r="O1001" s="86"/>
      <c r="P1001" s="86"/>
      <c r="Q1001" s="86"/>
      <c r="R1001" s="86"/>
      <c r="S1001" s="87"/>
      <c r="T1001" s="87"/>
      <c r="U1001" s="87"/>
      <c r="V1001" s="87"/>
      <c r="W1001" s="88"/>
      <c r="X1001" s="89"/>
      <c r="Y1001" s="90"/>
      <c r="Z1001" s="90"/>
      <c r="AA1001" s="90"/>
      <c r="AB1001" s="90"/>
      <c r="AC1001" s="90"/>
    </row>
    <row r="1002">
      <c r="A1002" s="104"/>
      <c r="B1002" s="101"/>
      <c r="C1002" s="105"/>
      <c r="D1002" s="93"/>
      <c r="E1002" s="106"/>
      <c r="F1002" s="107"/>
      <c r="G1002" s="108"/>
      <c r="H1002" s="97">
        <f>G1002*ENTRY!$O996</f>
        <v>0</v>
      </c>
      <c r="I1002" s="97">
        <f>G1002*ENTRY!$P996</f>
        <v>0</v>
      </c>
      <c r="J1002" s="97">
        <f>G1002*ENTRY!$Q996</f>
        <v>0</v>
      </c>
      <c r="K1002" s="95"/>
      <c r="L1002" s="109"/>
      <c r="M1002" s="106"/>
      <c r="N1002" s="98"/>
      <c r="O1002" s="99"/>
      <c r="P1002" s="99"/>
      <c r="Q1002" s="99"/>
      <c r="R1002" s="99"/>
      <c r="S1002" s="100"/>
      <c r="T1002" s="100"/>
      <c r="U1002" s="100"/>
      <c r="V1002" s="100"/>
      <c r="W1002" s="88"/>
      <c r="X1002" s="89"/>
      <c r="Y1002" s="90"/>
      <c r="Z1002" s="90"/>
      <c r="AA1002" s="90"/>
      <c r="AB1002" s="90"/>
      <c r="AC1002" s="90"/>
    </row>
    <row r="1003">
      <c r="A1003" s="104"/>
      <c r="B1003" s="101"/>
      <c r="C1003" s="105"/>
      <c r="D1003" s="80"/>
      <c r="E1003" s="81"/>
      <c r="F1003" s="82"/>
      <c r="G1003" s="83"/>
      <c r="H1003" s="84">
        <f>G1003*ENTRY!$O997</f>
        <v>0</v>
      </c>
      <c r="I1003" s="84">
        <f>G1003*ENTRY!$P997</f>
        <v>0</v>
      </c>
      <c r="J1003" s="84">
        <f>G1003*ENTRY!$Q997</f>
        <v>0</v>
      </c>
      <c r="K1003" s="82"/>
      <c r="L1003" s="82"/>
      <c r="M1003" s="81"/>
      <c r="N1003" s="85"/>
      <c r="O1003" s="86"/>
      <c r="P1003" s="86"/>
      <c r="Q1003" s="86"/>
      <c r="R1003" s="86"/>
      <c r="S1003" s="87"/>
      <c r="T1003" s="87"/>
      <c r="U1003" s="87"/>
      <c r="V1003" s="87"/>
      <c r="W1003" s="88"/>
      <c r="X1003" s="89"/>
      <c r="Y1003" s="90"/>
      <c r="Z1003" s="90"/>
      <c r="AA1003" s="90"/>
      <c r="AB1003" s="90"/>
      <c r="AC1003" s="90"/>
    </row>
    <row r="1004">
      <c r="A1004" s="104"/>
      <c r="B1004" s="101"/>
      <c r="C1004" s="105"/>
      <c r="D1004" s="93"/>
      <c r="E1004" s="106"/>
      <c r="F1004" s="107"/>
      <c r="G1004" s="108"/>
      <c r="H1004" s="97">
        <f>G1004*ENTRY!$O998</f>
        <v>0</v>
      </c>
      <c r="I1004" s="97">
        <f>G1004*ENTRY!$P998</f>
        <v>0</v>
      </c>
      <c r="J1004" s="97">
        <f>G1004*ENTRY!$Q998</f>
        <v>0</v>
      </c>
      <c r="K1004" s="95"/>
      <c r="L1004" s="109"/>
      <c r="M1004" s="106"/>
      <c r="N1004" s="98"/>
      <c r="O1004" s="99"/>
      <c r="P1004" s="99"/>
      <c r="Q1004" s="99"/>
      <c r="R1004" s="99"/>
      <c r="S1004" s="100"/>
      <c r="T1004" s="100"/>
      <c r="U1004" s="100"/>
      <c r="V1004" s="100"/>
      <c r="W1004" s="88"/>
      <c r="X1004" s="89"/>
      <c r="Y1004" s="90"/>
      <c r="Z1004" s="90"/>
      <c r="AA1004" s="90"/>
      <c r="AB1004" s="90"/>
      <c r="AC1004" s="90"/>
    </row>
    <row r="1005">
      <c r="A1005" s="104"/>
      <c r="B1005" s="101"/>
      <c r="C1005" s="105"/>
      <c r="D1005" s="80"/>
      <c r="E1005" s="81"/>
      <c r="F1005" s="82"/>
      <c r="G1005" s="83"/>
      <c r="H1005" s="84">
        <f>G1005*ENTRY!$O999</f>
        <v>0</v>
      </c>
      <c r="I1005" s="84">
        <f>G1005*ENTRY!$P999</f>
        <v>0</v>
      </c>
      <c r="J1005" s="84">
        <f>G1005*ENTRY!$Q999</f>
        <v>0</v>
      </c>
      <c r="K1005" s="82"/>
      <c r="L1005" s="82"/>
      <c r="M1005" s="81"/>
      <c r="N1005" s="85"/>
      <c r="O1005" s="86"/>
      <c r="P1005" s="86"/>
      <c r="Q1005" s="86"/>
      <c r="R1005" s="86"/>
      <c r="S1005" s="87"/>
      <c r="T1005" s="87"/>
      <c r="U1005" s="87"/>
      <c r="V1005" s="87"/>
      <c r="W1005" s="88"/>
      <c r="X1005" s="89"/>
      <c r="Y1005" s="90"/>
      <c r="Z1005" s="90"/>
      <c r="AA1005" s="90"/>
      <c r="AB1005" s="90"/>
      <c r="AC1005" s="90"/>
    </row>
    <row r="1006">
      <c r="A1006" s="104"/>
      <c r="B1006" s="101"/>
      <c r="C1006" s="105"/>
      <c r="D1006" s="93"/>
      <c r="E1006" s="106"/>
      <c r="F1006" s="107"/>
      <c r="G1006" s="108"/>
      <c r="H1006" s="97">
        <f>G1006*ENTRY!$O1000</f>
        <v>0</v>
      </c>
      <c r="I1006" s="97">
        <f>G1006*ENTRY!$P1000</f>
        <v>0</v>
      </c>
      <c r="J1006" s="97">
        <f>G1006*ENTRY!$Q1000</f>
        <v>0</v>
      </c>
      <c r="K1006" s="95"/>
      <c r="L1006" s="109"/>
      <c r="M1006" s="106"/>
      <c r="N1006" s="98"/>
      <c r="O1006" s="99"/>
      <c r="P1006" s="99"/>
      <c r="Q1006" s="99"/>
      <c r="R1006" s="99"/>
      <c r="S1006" s="100"/>
      <c r="T1006" s="100"/>
      <c r="U1006" s="100"/>
      <c r="V1006" s="100"/>
      <c r="W1006" s="88"/>
      <c r="X1006" s="89"/>
      <c r="Y1006" s="90"/>
      <c r="Z1006" s="90"/>
      <c r="AA1006" s="90"/>
      <c r="AB1006" s="90"/>
      <c r="AC1006" s="90"/>
    </row>
    <row r="1007">
      <c r="A1007" s="104"/>
      <c r="B1007" s="101"/>
      <c r="C1007" s="105"/>
      <c r="D1007" s="80"/>
      <c r="E1007" s="81"/>
      <c r="F1007" s="82"/>
      <c r="G1007" s="83"/>
      <c r="H1007" s="84">
        <f>G1007*ENTRY!$O1001</f>
        <v>0</v>
      </c>
      <c r="I1007" s="84">
        <f>G1007*ENTRY!$P1001</f>
        <v>0</v>
      </c>
      <c r="J1007" s="84">
        <f>G1007*ENTRY!$Q1001</f>
        <v>0</v>
      </c>
      <c r="K1007" s="82"/>
      <c r="L1007" s="82"/>
      <c r="M1007" s="81"/>
      <c r="N1007" s="85"/>
      <c r="O1007" s="86"/>
      <c r="P1007" s="86"/>
      <c r="Q1007" s="86"/>
      <c r="R1007" s="86"/>
      <c r="S1007" s="87"/>
      <c r="T1007" s="87"/>
      <c r="U1007" s="87"/>
      <c r="V1007" s="87"/>
      <c r="W1007" s="88"/>
      <c r="X1007" s="89"/>
      <c r="Y1007" s="90"/>
      <c r="Z1007" s="90"/>
      <c r="AA1007" s="90"/>
      <c r="AB1007" s="90"/>
      <c r="AC1007" s="90"/>
    </row>
    <row r="1008">
      <c r="A1008" s="104"/>
      <c r="B1008" s="101"/>
      <c r="C1008" s="105"/>
      <c r="D1008" s="93"/>
      <c r="E1008" s="106"/>
      <c r="F1008" s="107"/>
      <c r="G1008" s="108"/>
      <c r="H1008" s="97">
        <f>G1008*ENTRY!$O1002</f>
        <v>0</v>
      </c>
      <c r="I1008" s="97">
        <f>G1008*ENTRY!$P1002</f>
        <v>0</v>
      </c>
      <c r="J1008" s="97">
        <f>G1008*ENTRY!$Q1002</f>
        <v>0</v>
      </c>
      <c r="K1008" s="95"/>
      <c r="L1008" s="109"/>
      <c r="M1008" s="106"/>
      <c r="N1008" s="98"/>
      <c r="O1008" s="99"/>
      <c r="P1008" s="99"/>
      <c r="Q1008" s="99"/>
      <c r="R1008" s="99"/>
      <c r="S1008" s="100"/>
      <c r="T1008" s="100"/>
      <c r="U1008" s="100"/>
      <c r="V1008" s="100"/>
      <c r="W1008" s="88"/>
      <c r="X1008" s="89"/>
      <c r="Y1008" s="90"/>
      <c r="Z1008" s="90"/>
      <c r="AA1008" s="90"/>
      <c r="AB1008" s="90"/>
      <c r="AC1008" s="90"/>
    </row>
    <row r="1009">
      <c r="A1009" s="104"/>
      <c r="B1009" s="101"/>
      <c r="C1009" s="105"/>
      <c r="D1009" s="80"/>
      <c r="E1009" s="81"/>
      <c r="F1009" s="82"/>
      <c r="G1009" s="83"/>
      <c r="H1009" s="84">
        <f>G1009*ENTRY!$O1003</f>
        <v>0</v>
      </c>
      <c r="I1009" s="84">
        <f>G1009*ENTRY!$P1003</f>
        <v>0</v>
      </c>
      <c r="J1009" s="84">
        <f>G1009*ENTRY!$Q1003</f>
        <v>0</v>
      </c>
      <c r="K1009" s="82"/>
      <c r="L1009" s="82"/>
      <c r="M1009" s="81"/>
      <c r="N1009" s="85"/>
      <c r="O1009" s="86"/>
      <c r="P1009" s="86"/>
      <c r="Q1009" s="86"/>
      <c r="R1009" s="86"/>
      <c r="S1009" s="87"/>
      <c r="T1009" s="87"/>
      <c r="U1009" s="87"/>
      <c r="V1009" s="87"/>
      <c r="W1009" s="88"/>
      <c r="X1009" s="89"/>
      <c r="Y1009" s="90"/>
      <c r="Z1009" s="90"/>
      <c r="AA1009" s="90"/>
      <c r="AB1009" s="90"/>
      <c r="AC1009" s="90"/>
    </row>
    <row r="1010">
      <c r="A1010" s="104"/>
      <c r="B1010" s="101"/>
      <c r="C1010" s="105"/>
      <c r="D1010" s="93"/>
      <c r="E1010" s="106"/>
      <c r="F1010" s="107"/>
      <c r="G1010" s="108"/>
      <c r="H1010" s="97">
        <f>G1010*ENTRY!$O1004</f>
        <v>0</v>
      </c>
      <c r="I1010" s="97">
        <f>G1010*ENTRY!$P1004</f>
        <v>0</v>
      </c>
      <c r="J1010" s="97">
        <f>G1010*ENTRY!$Q1004</f>
        <v>0</v>
      </c>
      <c r="K1010" s="95"/>
      <c r="L1010" s="109"/>
      <c r="M1010" s="106"/>
      <c r="N1010" s="98"/>
      <c r="O1010" s="99"/>
      <c r="P1010" s="99"/>
      <c r="Q1010" s="99"/>
      <c r="R1010" s="99"/>
      <c r="S1010" s="100"/>
      <c r="T1010" s="100"/>
      <c r="U1010" s="100"/>
      <c r="V1010" s="100"/>
      <c r="W1010" s="88"/>
      <c r="X1010" s="89"/>
      <c r="Y1010" s="90"/>
      <c r="Z1010" s="90"/>
      <c r="AA1010" s="90"/>
      <c r="AB1010" s="90"/>
      <c r="AC1010" s="90"/>
    </row>
    <row r="1011">
      <c r="A1011" s="104"/>
      <c r="B1011" s="101"/>
      <c r="C1011" s="105"/>
      <c r="D1011" s="80"/>
      <c r="E1011" s="81"/>
      <c r="F1011" s="82"/>
      <c r="G1011" s="83"/>
      <c r="H1011" s="84">
        <f>G1011*ENTRY!$O1005</f>
        <v>0</v>
      </c>
      <c r="I1011" s="84">
        <f>G1011*ENTRY!$P1005</f>
        <v>0</v>
      </c>
      <c r="J1011" s="84">
        <f>G1011*ENTRY!$Q1005</f>
        <v>0</v>
      </c>
      <c r="K1011" s="82"/>
      <c r="L1011" s="82"/>
      <c r="M1011" s="81"/>
      <c r="N1011" s="85"/>
      <c r="O1011" s="86"/>
      <c r="P1011" s="86"/>
      <c r="Q1011" s="86"/>
      <c r="R1011" s="86"/>
      <c r="S1011" s="87"/>
      <c r="T1011" s="87"/>
      <c r="U1011" s="87"/>
      <c r="V1011" s="87"/>
      <c r="W1011" s="88"/>
      <c r="X1011" s="89"/>
      <c r="Y1011" s="90"/>
      <c r="Z1011" s="90"/>
      <c r="AA1011" s="90"/>
      <c r="AB1011" s="90"/>
      <c r="AC1011" s="90"/>
    </row>
    <row r="1012">
      <c r="A1012" s="104"/>
      <c r="B1012" s="101"/>
      <c r="C1012" s="105"/>
      <c r="D1012" s="93"/>
      <c r="E1012" s="106"/>
      <c r="F1012" s="107"/>
      <c r="G1012" s="108"/>
      <c r="H1012" s="97">
        <f>G1012*ENTRY!$O1006</f>
        <v>0</v>
      </c>
      <c r="I1012" s="97">
        <f>G1012*ENTRY!$P1006</f>
        <v>0</v>
      </c>
      <c r="J1012" s="97">
        <f>G1012*ENTRY!$Q1006</f>
        <v>0</v>
      </c>
      <c r="K1012" s="95"/>
      <c r="L1012" s="109"/>
      <c r="M1012" s="106"/>
      <c r="N1012" s="98"/>
      <c r="O1012" s="99"/>
      <c r="P1012" s="99"/>
      <c r="Q1012" s="99"/>
      <c r="R1012" s="99"/>
      <c r="S1012" s="100"/>
      <c r="T1012" s="100"/>
      <c r="U1012" s="100"/>
      <c r="V1012" s="100"/>
      <c r="W1012" s="88"/>
      <c r="X1012" s="89"/>
      <c r="Y1012" s="90"/>
      <c r="Z1012" s="90"/>
      <c r="AA1012" s="90"/>
      <c r="AB1012" s="90"/>
      <c r="AC1012" s="90"/>
    </row>
    <row r="1013">
      <c r="A1013" s="104"/>
      <c r="B1013" s="101"/>
      <c r="C1013" s="105"/>
      <c r="D1013" s="80"/>
      <c r="E1013" s="81"/>
      <c r="F1013" s="82"/>
      <c r="G1013" s="83"/>
      <c r="H1013" s="84">
        <f>G1013*ENTRY!$O1007</f>
        <v>0</v>
      </c>
      <c r="I1013" s="84">
        <f>G1013*ENTRY!$P1007</f>
        <v>0</v>
      </c>
      <c r="J1013" s="84">
        <f>G1013*ENTRY!$Q1007</f>
        <v>0</v>
      </c>
      <c r="K1013" s="82"/>
      <c r="L1013" s="82"/>
      <c r="M1013" s="81"/>
      <c r="N1013" s="85"/>
      <c r="O1013" s="86"/>
      <c r="P1013" s="86"/>
      <c r="Q1013" s="86"/>
      <c r="R1013" s="86"/>
      <c r="S1013" s="87"/>
      <c r="T1013" s="87"/>
      <c r="U1013" s="87"/>
      <c r="V1013" s="87"/>
      <c r="W1013" s="88"/>
      <c r="X1013" s="89"/>
      <c r="Y1013" s="90"/>
      <c r="Z1013" s="90"/>
      <c r="AA1013" s="90"/>
      <c r="AB1013" s="90"/>
      <c r="AC1013" s="90"/>
    </row>
    <row r="1014">
      <c r="A1014" s="104"/>
      <c r="B1014" s="101"/>
      <c r="C1014" s="105"/>
      <c r="D1014" s="93"/>
      <c r="E1014" s="106"/>
      <c r="F1014" s="107"/>
      <c r="G1014" s="108"/>
      <c r="H1014" s="97">
        <f>G1014*ENTRY!$O1008</f>
        <v>0</v>
      </c>
      <c r="I1014" s="97">
        <f>G1014*ENTRY!$P1008</f>
        <v>0</v>
      </c>
      <c r="J1014" s="97">
        <f>G1014*ENTRY!$Q1008</f>
        <v>0</v>
      </c>
      <c r="K1014" s="95"/>
      <c r="L1014" s="109"/>
      <c r="M1014" s="106"/>
      <c r="N1014" s="98"/>
      <c r="O1014" s="99"/>
      <c r="P1014" s="99"/>
      <c r="Q1014" s="99"/>
      <c r="R1014" s="99"/>
      <c r="S1014" s="100"/>
      <c r="T1014" s="100"/>
      <c r="U1014" s="100"/>
      <c r="V1014" s="100"/>
      <c r="W1014" s="88"/>
      <c r="X1014" s="89"/>
      <c r="Y1014" s="90"/>
      <c r="Z1014" s="90"/>
      <c r="AA1014" s="90"/>
      <c r="AB1014" s="90"/>
      <c r="AC1014" s="90"/>
    </row>
    <row r="1015">
      <c r="A1015" s="104"/>
      <c r="B1015" s="101"/>
      <c r="C1015" s="105"/>
      <c r="D1015" s="80"/>
      <c r="E1015" s="81"/>
      <c r="F1015" s="82"/>
      <c r="G1015" s="83"/>
      <c r="H1015" s="84">
        <f>G1015*ENTRY!$O1009</f>
        <v>0</v>
      </c>
      <c r="I1015" s="84">
        <f>G1015*ENTRY!$P1009</f>
        <v>0</v>
      </c>
      <c r="J1015" s="84">
        <f>G1015*ENTRY!$Q1009</f>
        <v>0</v>
      </c>
      <c r="K1015" s="82"/>
      <c r="L1015" s="82"/>
      <c r="M1015" s="81"/>
      <c r="N1015" s="85"/>
      <c r="O1015" s="86"/>
      <c r="P1015" s="86"/>
      <c r="Q1015" s="86"/>
      <c r="R1015" s="86"/>
      <c r="S1015" s="87"/>
      <c r="T1015" s="87"/>
      <c r="U1015" s="87"/>
      <c r="V1015" s="87"/>
      <c r="W1015" s="88"/>
      <c r="X1015" s="89"/>
      <c r="Y1015" s="90"/>
      <c r="Z1015" s="90"/>
      <c r="AA1015" s="90"/>
      <c r="AB1015" s="90"/>
      <c r="AC1015" s="90"/>
    </row>
    <row r="1016">
      <c r="A1016" s="104"/>
      <c r="B1016" s="104"/>
      <c r="C1016" s="104"/>
      <c r="D1016" s="110"/>
      <c r="E1016" s="110"/>
      <c r="F1016" s="111"/>
      <c r="G1016" s="112"/>
      <c r="H1016" s="112"/>
      <c r="I1016" s="112"/>
      <c r="J1016" s="112"/>
      <c r="K1016" s="111"/>
      <c r="L1016" s="111"/>
      <c r="M1016" s="110"/>
      <c r="N1016" s="104"/>
      <c r="O1016" s="104"/>
      <c r="P1016" s="104"/>
      <c r="Q1016" s="104"/>
      <c r="R1016" s="104"/>
      <c r="S1016" s="104"/>
      <c r="T1016" s="104"/>
      <c r="U1016" s="104"/>
      <c r="V1016" s="104"/>
      <c r="W1016" s="104"/>
      <c r="X1016" s="113"/>
      <c r="Y1016" s="90"/>
      <c r="Z1016" s="90"/>
      <c r="AA1016" s="90"/>
      <c r="AB1016" s="90"/>
      <c r="AC1016" s="90"/>
    </row>
    <row r="1017">
      <c r="A1017" s="104"/>
      <c r="B1017" s="104"/>
      <c r="C1017" s="104"/>
      <c r="D1017" s="110"/>
      <c r="E1017" s="110"/>
      <c r="F1017" s="111"/>
      <c r="G1017" s="112"/>
      <c r="H1017" s="112"/>
      <c r="I1017" s="112"/>
      <c r="J1017" s="112"/>
      <c r="K1017" s="111"/>
      <c r="L1017" s="111"/>
      <c r="M1017" s="110"/>
      <c r="N1017" s="104"/>
      <c r="O1017" s="104"/>
      <c r="P1017" s="104"/>
      <c r="Q1017" s="104"/>
      <c r="R1017" s="104"/>
      <c r="S1017" s="104"/>
      <c r="T1017" s="104"/>
      <c r="U1017" s="104"/>
      <c r="V1017" s="104"/>
      <c r="W1017" s="104"/>
      <c r="X1017" s="113"/>
      <c r="Y1017" s="90"/>
      <c r="Z1017" s="90"/>
      <c r="AA1017" s="90"/>
      <c r="AB1017" s="90"/>
      <c r="AC1017" s="90"/>
    </row>
    <row r="1018">
      <c r="A1018" s="104"/>
      <c r="B1018" s="104"/>
      <c r="C1018" s="104"/>
      <c r="D1018" s="110"/>
      <c r="E1018" s="110"/>
      <c r="F1018" s="111"/>
      <c r="G1018" s="112"/>
      <c r="H1018" s="112"/>
      <c r="I1018" s="112"/>
      <c r="J1018" s="112"/>
      <c r="K1018" s="111"/>
      <c r="L1018" s="111"/>
      <c r="M1018" s="110"/>
      <c r="N1018" s="104"/>
      <c r="O1018" s="104"/>
      <c r="P1018" s="104"/>
      <c r="Q1018" s="104"/>
      <c r="R1018" s="104"/>
      <c r="S1018" s="104"/>
      <c r="T1018" s="104"/>
      <c r="U1018" s="104"/>
      <c r="V1018" s="104"/>
      <c r="W1018" s="104"/>
      <c r="X1018" s="113"/>
      <c r="Y1018" s="90"/>
      <c r="Z1018" s="90"/>
      <c r="AA1018" s="90"/>
      <c r="AB1018" s="90"/>
      <c r="AC1018" s="90"/>
    </row>
    <row r="1019">
      <c r="A1019" s="104"/>
      <c r="B1019" s="104"/>
      <c r="C1019" s="104"/>
      <c r="D1019" s="110"/>
      <c r="E1019" s="110"/>
      <c r="F1019" s="111"/>
      <c r="G1019" s="112"/>
      <c r="H1019" s="112"/>
      <c r="I1019" s="112"/>
      <c r="J1019" s="112"/>
      <c r="K1019" s="111"/>
      <c r="L1019" s="111"/>
      <c r="M1019" s="110"/>
      <c r="N1019" s="104"/>
      <c r="O1019" s="104"/>
      <c r="P1019" s="104"/>
      <c r="Q1019" s="104"/>
      <c r="R1019" s="104"/>
      <c r="S1019" s="104"/>
      <c r="T1019" s="104"/>
      <c r="U1019" s="104"/>
      <c r="V1019" s="104"/>
      <c r="W1019" s="104"/>
      <c r="X1019" s="113"/>
      <c r="Y1019" s="90"/>
      <c r="Z1019" s="90"/>
      <c r="AA1019" s="90"/>
      <c r="AB1019" s="90"/>
      <c r="AC1019" s="90"/>
    </row>
    <row r="1020">
      <c r="A1020" s="104"/>
      <c r="B1020" s="104"/>
      <c r="C1020" s="104"/>
      <c r="D1020" s="110"/>
      <c r="E1020" s="110"/>
      <c r="F1020" s="111"/>
      <c r="G1020" s="112"/>
      <c r="H1020" s="112"/>
      <c r="I1020" s="112"/>
      <c r="J1020" s="112"/>
      <c r="K1020" s="111"/>
      <c r="L1020" s="111"/>
      <c r="M1020" s="110"/>
      <c r="N1020" s="104"/>
      <c r="O1020" s="104"/>
      <c r="P1020" s="104"/>
      <c r="Q1020" s="104"/>
      <c r="R1020" s="104"/>
      <c r="S1020" s="104"/>
      <c r="T1020" s="104"/>
      <c r="U1020" s="104"/>
      <c r="V1020" s="104"/>
      <c r="W1020" s="104"/>
      <c r="X1020" s="113"/>
      <c r="Y1020" s="90"/>
      <c r="Z1020" s="90"/>
      <c r="AA1020" s="90"/>
      <c r="AB1020" s="90"/>
      <c r="AC1020" s="90"/>
    </row>
    <row r="1021">
      <c r="A1021" s="104"/>
      <c r="B1021" s="104"/>
      <c r="C1021" s="104"/>
      <c r="D1021" s="110"/>
      <c r="E1021" s="110"/>
      <c r="F1021" s="111"/>
      <c r="G1021" s="112"/>
      <c r="H1021" s="112"/>
      <c r="I1021" s="112"/>
      <c r="J1021" s="112"/>
      <c r="K1021" s="111"/>
      <c r="L1021" s="111"/>
      <c r="M1021" s="110"/>
      <c r="N1021" s="104"/>
      <c r="O1021" s="104"/>
      <c r="P1021" s="104"/>
      <c r="Q1021" s="104"/>
      <c r="R1021" s="104"/>
      <c r="S1021" s="104"/>
      <c r="T1021" s="104"/>
      <c r="U1021" s="104"/>
      <c r="V1021" s="104"/>
      <c r="W1021" s="104"/>
      <c r="X1021" s="113"/>
      <c r="Y1021" s="90"/>
      <c r="Z1021" s="90"/>
      <c r="AA1021" s="90"/>
      <c r="AB1021" s="90"/>
      <c r="AC1021" s="90"/>
    </row>
    <row r="1022">
      <c r="A1022" s="104"/>
      <c r="B1022" s="104"/>
      <c r="C1022" s="104"/>
      <c r="D1022" s="110"/>
      <c r="E1022" s="110"/>
      <c r="F1022" s="111"/>
      <c r="G1022" s="112"/>
      <c r="H1022" s="112"/>
      <c r="I1022" s="112"/>
      <c r="J1022" s="112"/>
      <c r="K1022" s="111"/>
      <c r="L1022" s="111"/>
      <c r="M1022" s="110"/>
      <c r="N1022" s="104"/>
      <c r="O1022" s="104"/>
      <c r="P1022" s="104"/>
      <c r="Q1022" s="104"/>
      <c r="R1022" s="104"/>
      <c r="S1022" s="104"/>
      <c r="T1022" s="104"/>
      <c r="U1022" s="104"/>
      <c r="V1022" s="104"/>
      <c r="W1022" s="104"/>
      <c r="X1022" s="113"/>
      <c r="Y1022" s="90"/>
      <c r="Z1022" s="90"/>
      <c r="AA1022" s="90"/>
      <c r="AB1022" s="90"/>
      <c r="AC1022" s="90"/>
    </row>
    <row r="1023">
      <c r="A1023" s="104"/>
      <c r="B1023" s="104"/>
      <c r="C1023" s="104"/>
      <c r="D1023" s="110"/>
      <c r="E1023" s="110"/>
      <c r="F1023" s="111"/>
      <c r="G1023" s="112"/>
      <c r="H1023" s="112"/>
      <c r="I1023" s="112"/>
      <c r="J1023" s="112"/>
      <c r="K1023" s="111"/>
      <c r="L1023" s="111"/>
      <c r="M1023" s="110"/>
      <c r="N1023" s="104"/>
      <c r="O1023" s="104"/>
      <c r="P1023" s="104"/>
      <c r="Q1023" s="104"/>
      <c r="R1023" s="104"/>
      <c r="S1023" s="104"/>
      <c r="T1023" s="104"/>
      <c r="U1023" s="104"/>
      <c r="V1023" s="104"/>
      <c r="W1023" s="104"/>
      <c r="X1023" s="113"/>
      <c r="Y1023" s="90"/>
      <c r="Z1023" s="90"/>
      <c r="AA1023" s="90"/>
      <c r="AB1023" s="90"/>
      <c r="AC1023" s="90"/>
    </row>
    <row r="1024">
      <c r="A1024" s="104"/>
      <c r="B1024" s="104"/>
      <c r="C1024" s="104"/>
      <c r="D1024" s="110"/>
      <c r="E1024" s="110"/>
      <c r="F1024" s="111"/>
      <c r="G1024" s="112"/>
      <c r="H1024" s="112"/>
      <c r="I1024" s="112"/>
      <c r="J1024" s="112"/>
      <c r="K1024" s="111"/>
      <c r="L1024" s="111"/>
      <c r="M1024" s="110"/>
      <c r="N1024" s="104"/>
      <c r="O1024" s="104"/>
      <c r="P1024" s="104"/>
      <c r="Q1024" s="104"/>
      <c r="R1024" s="104"/>
      <c r="S1024" s="104"/>
      <c r="T1024" s="104"/>
      <c r="U1024" s="104"/>
      <c r="V1024" s="104"/>
      <c r="W1024" s="104"/>
      <c r="X1024" s="113"/>
      <c r="Y1024" s="90"/>
      <c r="Z1024" s="90"/>
      <c r="AA1024" s="90"/>
      <c r="AB1024" s="90"/>
      <c r="AC1024" s="90"/>
    </row>
    <row r="1025">
      <c r="A1025" s="104"/>
      <c r="B1025" s="104"/>
      <c r="C1025" s="104"/>
      <c r="D1025" s="110"/>
      <c r="E1025" s="110"/>
      <c r="F1025" s="111"/>
      <c r="G1025" s="112"/>
      <c r="H1025" s="112"/>
      <c r="I1025" s="112"/>
      <c r="J1025" s="112"/>
      <c r="K1025" s="111"/>
      <c r="L1025" s="111"/>
      <c r="M1025" s="110"/>
      <c r="N1025" s="104"/>
      <c r="O1025" s="104"/>
      <c r="P1025" s="104"/>
      <c r="Q1025" s="104"/>
      <c r="R1025" s="104"/>
      <c r="S1025" s="104"/>
      <c r="T1025" s="104"/>
      <c r="U1025" s="104"/>
      <c r="V1025" s="104"/>
      <c r="W1025" s="104"/>
      <c r="X1025" s="113"/>
      <c r="Y1025" s="90"/>
      <c r="Z1025" s="90"/>
      <c r="AA1025" s="90"/>
      <c r="AB1025" s="90"/>
      <c r="AC1025" s="90"/>
    </row>
    <row r="1026">
      <c r="A1026" s="104"/>
      <c r="B1026" s="104"/>
      <c r="C1026" s="104"/>
      <c r="D1026" s="110"/>
      <c r="E1026" s="110"/>
      <c r="F1026" s="111"/>
      <c r="G1026" s="112"/>
      <c r="H1026" s="112"/>
      <c r="I1026" s="112"/>
      <c r="J1026" s="112"/>
      <c r="K1026" s="111"/>
      <c r="L1026" s="111"/>
      <c r="M1026" s="110"/>
      <c r="N1026" s="104"/>
      <c r="O1026" s="104"/>
      <c r="P1026" s="104"/>
      <c r="Q1026" s="104"/>
      <c r="R1026" s="104"/>
      <c r="S1026" s="104"/>
      <c r="T1026" s="104"/>
      <c r="U1026" s="104"/>
      <c r="V1026" s="104"/>
      <c r="W1026" s="104"/>
      <c r="X1026" s="113"/>
      <c r="Y1026" s="90"/>
      <c r="Z1026" s="90"/>
      <c r="AA1026" s="90"/>
      <c r="AB1026" s="90"/>
      <c r="AC1026" s="90"/>
    </row>
  </sheetData>
  <mergeCells count="22">
    <mergeCell ref="B1:X1"/>
    <mergeCell ref="B2:B5"/>
    <mergeCell ref="C2:K2"/>
    <mergeCell ref="M2:X4"/>
    <mergeCell ref="C3:J4"/>
    <mergeCell ref="K3:K4"/>
    <mergeCell ref="L3:L4"/>
    <mergeCell ref="G6:G7"/>
    <mergeCell ref="H6:H7"/>
    <mergeCell ref="I6:I7"/>
    <mergeCell ref="J6:J7"/>
    <mergeCell ref="K6:K7"/>
    <mergeCell ref="L6:L7"/>
    <mergeCell ref="M6:M7"/>
    <mergeCell ref="N6:S6"/>
    <mergeCell ref="C5:T5"/>
    <mergeCell ref="U5:V5"/>
    <mergeCell ref="B6:B7"/>
    <mergeCell ref="C6:C7"/>
    <mergeCell ref="D6:D7"/>
    <mergeCell ref="E6:E7"/>
    <mergeCell ref="F6:F7"/>
  </mergeCells>
  <dataValidations>
    <dataValidation type="list" allowBlank="1" showErrorMessage="1" sqref="C9:C1015">
      <formula1>JOURNAL!$A$9:$A$96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4" width="14.38"/>
  </cols>
  <sheetData>
    <row r="1">
      <c r="A1" s="2"/>
      <c r="B1" s="2"/>
      <c r="C1" s="2"/>
      <c r="D1" s="2"/>
      <c r="E1" s="2"/>
      <c r="F1" s="2"/>
      <c r="G1" s="2"/>
    </row>
    <row r="2">
      <c r="A2" s="114" t="s">
        <v>126</v>
      </c>
      <c r="B2" s="9"/>
      <c r="C2" s="9"/>
      <c r="D2" s="115"/>
      <c r="E2" s="116">
        <f>IFERROR(__xludf.DUMMYFUNCTION("SUM( FILTER(JOURNAL!X9:X1015, ISNUMBER(JOURNAL!X9:X1015)) )"),0.015051871641791037)</f>
        <v>0.01505187164</v>
      </c>
      <c r="F2" s="117">
        <f>JOURNAL!T6</f>
        <v>633.4594293</v>
      </c>
      <c r="G2" s="118"/>
    </row>
    <row r="3">
      <c r="A3" s="48"/>
      <c r="B3" s="49"/>
      <c r="C3" s="49"/>
      <c r="D3" s="119"/>
      <c r="G3" s="118"/>
    </row>
    <row r="4">
      <c r="A4" s="1" t="s">
        <v>127</v>
      </c>
      <c r="D4" s="120">
        <f>F2-(SUM(D9:D62))</f>
        <v>628.4594293</v>
      </c>
      <c r="E4" s="121">
        <f t="shared" ref="E4:F4" si="1">SUM(E9:E62)</f>
        <v>4.5</v>
      </c>
      <c r="F4" s="121">
        <f t="shared" si="1"/>
        <v>0.5</v>
      </c>
      <c r="G4" s="2"/>
    </row>
    <row r="5">
      <c r="A5" s="2"/>
      <c r="B5" s="2"/>
      <c r="C5" s="2"/>
      <c r="D5" s="2"/>
      <c r="E5" s="2"/>
      <c r="F5" s="2"/>
      <c r="G5" s="2"/>
    </row>
    <row r="6">
      <c r="A6" s="122" t="s">
        <v>128</v>
      </c>
      <c r="B6" s="123" t="s">
        <v>0</v>
      </c>
      <c r="C6" s="123" t="s">
        <v>129</v>
      </c>
      <c r="D6" s="124" t="s">
        <v>130</v>
      </c>
      <c r="E6" s="125" t="s">
        <v>131</v>
      </c>
      <c r="F6" s="126" t="s">
        <v>132</v>
      </c>
      <c r="G6" s="127" t="s">
        <v>133</v>
      </c>
    </row>
    <row r="7">
      <c r="A7" s="128"/>
      <c r="B7" s="129"/>
      <c r="C7" s="129"/>
      <c r="D7" s="130"/>
      <c r="E7" s="131">
        <v>0.9</v>
      </c>
      <c r="F7" s="132">
        <v>0.1</v>
      </c>
      <c r="G7" s="133"/>
    </row>
    <row r="8" ht="3.0" customHeight="1">
      <c r="A8" s="2"/>
      <c r="B8" s="2"/>
      <c r="C8" s="2"/>
      <c r="D8" s="2"/>
      <c r="E8" s="2"/>
      <c r="F8" s="2"/>
      <c r="G8" s="2"/>
    </row>
    <row r="9">
      <c r="A9" s="134">
        <v>1.0</v>
      </c>
      <c r="B9" s="135">
        <f>CAPITAL!$C$5</f>
        <v>150000</v>
      </c>
      <c r="C9" s="136">
        <v>45986.0</v>
      </c>
      <c r="D9" s="135">
        <v>5.0</v>
      </c>
      <c r="E9" s="137">
        <f t="shared" ref="E9:E63" si="2">D9*$E$7</f>
        <v>4.5</v>
      </c>
      <c r="F9" s="137">
        <f t="shared" ref="F9:F63" si="3">D9*$F$7</f>
        <v>0.5</v>
      </c>
      <c r="G9" s="135" t="s">
        <v>134</v>
      </c>
    </row>
    <row r="10">
      <c r="A10" s="138">
        <v>2.0</v>
      </c>
      <c r="B10" s="139">
        <f>CAPITAL!$C$5</f>
        <v>150000</v>
      </c>
      <c r="C10" s="140"/>
      <c r="D10" s="139"/>
      <c r="E10" s="141">
        <f t="shared" si="2"/>
        <v>0</v>
      </c>
      <c r="F10" s="141">
        <f t="shared" si="3"/>
        <v>0</v>
      </c>
      <c r="G10" s="139"/>
    </row>
    <row r="11">
      <c r="A11" s="134">
        <v>3.0</v>
      </c>
      <c r="B11" s="135">
        <f>CAPITAL!$C$5</f>
        <v>150000</v>
      </c>
      <c r="C11" s="136"/>
      <c r="D11" s="135"/>
      <c r="E11" s="137">
        <f t="shared" si="2"/>
        <v>0</v>
      </c>
      <c r="F11" s="137">
        <f t="shared" si="3"/>
        <v>0</v>
      </c>
      <c r="G11" s="135"/>
    </row>
    <row r="12">
      <c r="A12" s="138">
        <v>4.0</v>
      </c>
      <c r="B12" s="139">
        <f>CAPITAL!$C$5</f>
        <v>150000</v>
      </c>
      <c r="C12" s="140"/>
      <c r="D12" s="139"/>
      <c r="E12" s="141">
        <f t="shared" si="2"/>
        <v>0</v>
      </c>
      <c r="F12" s="141">
        <f t="shared" si="3"/>
        <v>0</v>
      </c>
      <c r="G12" s="142"/>
    </row>
    <row r="13">
      <c r="A13" s="134">
        <v>5.0</v>
      </c>
      <c r="B13" s="135">
        <f>CAPITAL!$C$5</f>
        <v>150000</v>
      </c>
      <c r="C13" s="136"/>
      <c r="D13" s="135"/>
      <c r="E13" s="137">
        <f t="shared" si="2"/>
        <v>0</v>
      </c>
      <c r="F13" s="137">
        <f t="shared" si="3"/>
        <v>0</v>
      </c>
      <c r="G13" s="137"/>
    </row>
    <row r="14">
      <c r="A14" s="138">
        <v>6.0</v>
      </c>
      <c r="B14" s="139">
        <f>CAPITAL!$C$5</f>
        <v>150000</v>
      </c>
      <c r="C14" s="140"/>
      <c r="D14" s="139"/>
      <c r="E14" s="141">
        <f t="shared" si="2"/>
        <v>0</v>
      </c>
      <c r="F14" s="141">
        <f t="shared" si="3"/>
        <v>0</v>
      </c>
      <c r="G14" s="139"/>
    </row>
    <row r="15">
      <c r="A15" s="134">
        <v>7.0</v>
      </c>
      <c r="B15" s="135">
        <f>CAPITAL!$C$5</f>
        <v>150000</v>
      </c>
      <c r="C15" s="136"/>
      <c r="D15" s="135"/>
      <c r="E15" s="137">
        <f t="shared" si="2"/>
        <v>0</v>
      </c>
      <c r="F15" s="137">
        <f t="shared" si="3"/>
        <v>0</v>
      </c>
      <c r="G15" s="137"/>
    </row>
    <row r="16">
      <c r="A16" s="138">
        <v>8.0</v>
      </c>
      <c r="B16" s="139">
        <f>CAPITAL!$C$5</f>
        <v>150000</v>
      </c>
      <c r="C16" s="140"/>
      <c r="D16" s="141"/>
      <c r="E16" s="141">
        <f t="shared" si="2"/>
        <v>0</v>
      </c>
      <c r="F16" s="141">
        <f t="shared" si="3"/>
        <v>0</v>
      </c>
      <c r="G16" s="141"/>
    </row>
    <row r="17">
      <c r="A17" s="134">
        <v>9.0</v>
      </c>
      <c r="B17" s="135">
        <f>CAPITAL!$C$5</f>
        <v>150000</v>
      </c>
      <c r="C17" s="136"/>
      <c r="D17" s="137"/>
      <c r="E17" s="137">
        <f t="shared" si="2"/>
        <v>0</v>
      </c>
      <c r="F17" s="137">
        <f t="shared" si="3"/>
        <v>0</v>
      </c>
      <c r="G17" s="137"/>
    </row>
    <row r="18">
      <c r="A18" s="138">
        <v>10.0</v>
      </c>
      <c r="B18" s="139">
        <f>CAPITAL!$C$5</f>
        <v>150000</v>
      </c>
      <c r="C18" s="140"/>
      <c r="D18" s="139"/>
      <c r="E18" s="141">
        <f t="shared" si="2"/>
        <v>0</v>
      </c>
      <c r="F18" s="141">
        <f t="shared" si="3"/>
        <v>0</v>
      </c>
      <c r="G18" s="139"/>
    </row>
    <row r="19">
      <c r="A19" s="134">
        <v>11.0</v>
      </c>
      <c r="B19" s="135">
        <f>CAPITAL!$C$5</f>
        <v>150000</v>
      </c>
      <c r="C19" s="136"/>
      <c r="D19" s="135"/>
      <c r="E19" s="137">
        <f t="shared" si="2"/>
        <v>0</v>
      </c>
      <c r="F19" s="137">
        <f t="shared" si="3"/>
        <v>0</v>
      </c>
      <c r="G19" s="137"/>
    </row>
    <row r="20">
      <c r="A20" s="138">
        <v>12.0</v>
      </c>
      <c r="B20" s="139">
        <f>CAPITAL!$C$5</f>
        <v>150000</v>
      </c>
      <c r="C20" s="140"/>
      <c r="D20" s="141"/>
      <c r="E20" s="141">
        <f t="shared" si="2"/>
        <v>0</v>
      </c>
      <c r="F20" s="141">
        <f t="shared" si="3"/>
        <v>0</v>
      </c>
      <c r="G20" s="141"/>
    </row>
    <row r="21">
      <c r="A21" s="134">
        <v>13.0</v>
      </c>
      <c r="B21" s="135">
        <f>CAPITAL!$C$5</f>
        <v>150000</v>
      </c>
      <c r="C21" s="136"/>
      <c r="D21" s="137"/>
      <c r="E21" s="137">
        <f t="shared" si="2"/>
        <v>0</v>
      </c>
      <c r="F21" s="137">
        <f t="shared" si="3"/>
        <v>0</v>
      </c>
      <c r="G21" s="137"/>
    </row>
    <row r="22">
      <c r="A22" s="138">
        <v>14.0</v>
      </c>
      <c r="B22" s="139">
        <f>CAPITAL!$C$5</f>
        <v>150000</v>
      </c>
      <c r="C22" s="140"/>
      <c r="D22" s="139"/>
      <c r="E22" s="141">
        <f t="shared" si="2"/>
        <v>0</v>
      </c>
      <c r="F22" s="141">
        <f t="shared" si="3"/>
        <v>0</v>
      </c>
      <c r="G22" s="139"/>
    </row>
    <row r="23">
      <c r="A23" s="134">
        <v>15.0</v>
      </c>
      <c r="B23" s="135">
        <f>CAPITAL!$C$5</f>
        <v>150000</v>
      </c>
      <c r="C23" s="136"/>
      <c r="D23" s="135"/>
      <c r="E23" s="137">
        <f t="shared" si="2"/>
        <v>0</v>
      </c>
      <c r="F23" s="137">
        <f t="shared" si="3"/>
        <v>0</v>
      </c>
      <c r="G23" s="137"/>
    </row>
    <row r="24">
      <c r="A24" s="138">
        <v>16.0</v>
      </c>
      <c r="B24" s="139">
        <f>CAPITAL!$C$5</f>
        <v>150000</v>
      </c>
      <c r="C24" s="140"/>
      <c r="D24" s="141"/>
      <c r="E24" s="141">
        <f t="shared" si="2"/>
        <v>0</v>
      </c>
      <c r="F24" s="141">
        <f t="shared" si="3"/>
        <v>0</v>
      </c>
      <c r="G24" s="141"/>
    </row>
    <row r="25">
      <c r="A25" s="134">
        <v>17.0</v>
      </c>
      <c r="B25" s="135">
        <f>CAPITAL!$C$5</f>
        <v>150000</v>
      </c>
      <c r="C25" s="136"/>
      <c r="D25" s="137"/>
      <c r="E25" s="137">
        <f t="shared" si="2"/>
        <v>0</v>
      </c>
      <c r="F25" s="137">
        <f t="shared" si="3"/>
        <v>0</v>
      </c>
      <c r="G25" s="137"/>
    </row>
    <row r="26">
      <c r="A26" s="138">
        <v>18.0</v>
      </c>
      <c r="B26" s="139">
        <f>CAPITAL!$C$5</f>
        <v>150000</v>
      </c>
      <c r="C26" s="140"/>
      <c r="D26" s="139"/>
      <c r="E26" s="141">
        <f t="shared" si="2"/>
        <v>0</v>
      </c>
      <c r="F26" s="141">
        <f t="shared" si="3"/>
        <v>0</v>
      </c>
      <c r="G26" s="139"/>
    </row>
    <row r="27">
      <c r="A27" s="134">
        <v>19.0</v>
      </c>
      <c r="B27" s="135">
        <f>CAPITAL!$C$5</f>
        <v>150000</v>
      </c>
      <c r="C27" s="136"/>
      <c r="D27" s="135"/>
      <c r="E27" s="137">
        <f t="shared" si="2"/>
        <v>0</v>
      </c>
      <c r="F27" s="137">
        <f t="shared" si="3"/>
        <v>0</v>
      </c>
      <c r="G27" s="137"/>
    </row>
    <row r="28">
      <c r="A28" s="138">
        <v>20.0</v>
      </c>
      <c r="B28" s="139">
        <f>CAPITAL!$C$5</f>
        <v>150000</v>
      </c>
      <c r="C28" s="140"/>
      <c r="D28" s="141"/>
      <c r="E28" s="141">
        <f t="shared" si="2"/>
        <v>0</v>
      </c>
      <c r="F28" s="141">
        <f t="shared" si="3"/>
        <v>0</v>
      </c>
      <c r="G28" s="141"/>
    </row>
    <row r="29">
      <c r="A29" s="134">
        <v>21.0</v>
      </c>
      <c r="B29" s="135">
        <f>CAPITAL!$C$5</f>
        <v>150000</v>
      </c>
      <c r="C29" s="136"/>
      <c r="D29" s="137"/>
      <c r="E29" s="137">
        <f t="shared" si="2"/>
        <v>0</v>
      </c>
      <c r="F29" s="137">
        <f t="shared" si="3"/>
        <v>0</v>
      </c>
      <c r="G29" s="137"/>
    </row>
    <row r="30">
      <c r="A30" s="138">
        <v>22.0</v>
      </c>
      <c r="B30" s="139">
        <f>CAPITAL!$C$5</f>
        <v>150000</v>
      </c>
      <c r="C30" s="140"/>
      <c r="D30" s="139"/>
      <c r="E30" s="141">
        <f t="shared" si="2"/>
        <v>0</v>
      </c>
      <c r="F30" s="141">
        <f t="shared" si="3"/>
        <v>0</v>
      </c>
      <c r="G30" s="139"/>
    </row>
    <row r="31">
      <c r="A31" s="134">
        <v>23.0</v>
      </c>
      <c r="B31" s="135">
        <f>CAPITAL!$C$5</f>
        <v>150000</v>
      </c>
      <c r="C31" s="136"/>
      <c r="D31" s="135"/>
      <c r="E31" s="137">
        <f t="shared" si="2"/>
        <v>0</v>
      </c>
      <c r="F31" s="137">
        <f t="shared" si="3"/>
        <v>0</v>
      </c>
      <c r="G31" s="137"/>
    </row>
    <row r="32">
      <c r="A32" s="138">
        <v>24.0</v>
      </c>
      <c r="B32" s="139">
        <f>CAPITAL!$C$5</f>
        <v>150000</v>
      </c>
      <c r="C32" s="140"/>
      <c r="D32" s="141"/>
      <c r="E32" s="141">
        <f t="shared" si="2"/>
        <v>0</v>
      </c>
      <c r="F32" s="141">
        <f t="shared" si="3"/>
        <v>0</v>
      </c>
      <c r="G32" s="141"/>
    </row>
    <row r="33">
      <c r="A33" s="134">
        <v>25.0</v>
      </c>
      <c r="B33" s="135">
        <f>CAPITAL!$C$5</f>
        <v>150000</v>
      </c>
      <c r="C33" s="136"/>
      <c r="D33" s="137"/>
      <c r="E33" s="137">
        <f t="shared" si="2"/>
        <v>0</v>
      </c>
      <c r="F33" s="137">
        <f t="shared" si="3"/>
        <v>0</v>
      </c>
      <c r="G33" s="137"/>
    </row>
    <row r="34">
      <c r="A34" s="138">
        <v>26.0</v>
      </c>
      <c r="B34" s="139">
        <f>CAPITAL!$C$5</f>
        <v>150000</v>
      </c>
      <c r="C34" s="140"/>
      <c r="D34" s="139"/>
      <c r="E34" s="141">
        <f t="shared" si="2"/>
        <v>0</v>
      </c>
      <c r="F34" s="141">
        <f t="shared" si="3"/>
        <v>0</v>
      </c>
      <c r="G34" s="139"/>
    </row>
    <row r="35">
      <c r="A35" s="134">
        <v>27.0</v>
      </c>
      <c r="B35" s="135">
        <f>CAPITAL!$C$5</f>
        <v>150000</v>
      </c>
      <c r="C35" s="136"/>
      <c r="D35" s="135"/>
      <c r="E35" s="137">
        <f t="shared" si="2"/>
        <v>0</v>
      </c>
      <c r="F35" s="137">
        <f t="shared" si="3"/>
        <v>0</v>
      </c>
      <c r="G35" s="137"/>
    </row>
    <row r="36">
      <c r="A36" s="138">
        <v>28.0</v>
      </c>
      <c r="B36" s="139">
        <f>CAPITAL!$C$5</f>
        <v>150000</v>
      </c>
      <c r="C36" s="140"/>
      <c r="D36" s="141"/>
      <c r="E36" s="141">
        <f t="shared" si="2"/>
        <v>0</v>
      </c>
      <c r="F36" s="141">
        <f t="shared" si="3"/>
        <v>0</v>
      </c>
      <c r="G36" s="141"/>
    </row>
    <row r="37">
      <c r="A37" s="134">
        <v>29.0</v>
      </c>
      <c r="B37" s="135">
        <f>CAPITAL!$C$5</f>
        <v>150000</v>
      </c>
      <c r="C37" s="136"/>
      <c r="D37" s="137"/>
      <c r="E37" s="137">
        <f t="shared" si="2"/>
        <v>0</v>
      </c>
      <c r="F37" s="137">
        <f t="shared" si="3"/>
        <v>0</v>
      </c>
      <c r="G37" s="137"/>
    </row>
    <row r="38">
      <c r="A38" s="138">
        <v>30.0</v>
      </c>
      <c r="B38" s="139">
        <f>CAPITAL!$C$5</f>
        <v>150000</v>
      </c>
      <c r="C38" s="140"/>
      <c r="D38" s="139"/>
      <c r="E38" s="141">
        <f t="shared" si="2"/>
        <v>0</v>
      </c>
      <c r="F38" s="141">
        <f t="shared" si="3"/>
        <v>0</v>
      </c>
      <c r="G38" s="139"/>
    </row>
    <row r="39">
      <c r="A39" s="134">
        <v>31.0</v>
      </c>
      <c r="B39" s="135">
        <f>CAPITAL!$C$5</f>
        <v>150000</v>
      </c>
      <c r="C39" s="136"/>
      <c r="D39" s="135"/>
      <c r="E39" s="137">
        <f t="shared" si="2"/>
        <v>0</v>
      </c>
      <c r="F39" s="137">
        <f t="shared" si="3"/>
        <v>0</v>
      </c>
      <c r="G39" s="137"/>
    </row>
    <row r="40">
      <c r="A40" s="138">
        <v>32.0</v>
      </c>
      <c r="B40" s="139">
        <f>CAPITAL!$C$5</f>
        <v>150000</v>
      </c>
      <c r="C40" s="140"/>
      <c r="D40" s="141"/>
      <c r="E40" s="141">
        <f t="shared" si="2"/>
        <v>0</v>
      </c>
      <c r="F40" s="141">
        <f t="shared" si="3"/>
        <v>0</v>
      </c>
      <c r="G40" s="141"/>
    </row>
    <row r="41">
      <c r="A41" s="134">
        <v>33.0</v>
      </c>
      <c r="B41" s="135">
        <f>CAPITAL!$C$5</f>
        <v>150000</v>
      </c>
      <c r="C41" s="136"/>
      <c r="D41" s="137"/>
      <c r="E41" s="137">
        <f t="shared" si="2"/>
        <v>0</v>
      </c>
      <c r="F41" s="137">
        <f t="shared" si="3"/>
        <v>0</v>
      </c>
      <c r="G41" s="137"/>
    </row>
    <row r="42">
      <c r="A42" s="138">
        <v>34.0</v>
      </c>
      <c r="B42" s="139">
        <f>CAPITAL!$C$5</f>
        <v>150000</v>
      </c>
      <c r="C42" s="140"/>
      <c r="D42" s="139"/>
      <c r="E42" s="141">
        <f t="shared" si="2"/>
        <v>0</v>
      </c>
      <c r="F42" s="141">
        <f t="shared" si="3"/>
        <v>0</v>
      </c>
      <c r="G42" s="139"/>
    </row>
    <row r="43">
      <c r="A43" s="134">
        <v>35.0</v>
      </c>
      <c r="B43" s="135">
        <f>CAPITAL!$C$5</f>
        <v>150000</v>
      </c>
      <c r="C43" s="136"/>
      <c r="D43" s="135"/>
      <c r="E43" s="137">
        <f t="shared" si="2"/>
        <v>0</v>
      </c>
      <c r="F43" s="137">
        <f t="shared" si="3"/>
        <v>0</v>
      </c>
      <c r="G43" s="137"/>
    </row>
    <row r="44">
      <c r="A44" s="138">
        <v>36.0</v>
      </c>
      <c r="B44" s="139">
        <f>CAPITAL!$C$5</f>
        <v>150000</v>
      </c>
      <c r="C44" s="140"/>
      <c r="D44" s="141"/>
      <c r="E44" s="141">
        <f t="shared" si="2"/>
        <v>0</v>
      </c>
      <c r="F44" s="141">
        <f t="shared" si="3"/>
        <v>0</v>
      </c>
      <c r="G44" s="141"/>
    </row>
    <row r="45">
      <c r="A45" s="134">
        <v>37.0</v>
      </c>
      <c r="B45" s="135">
        <f>CAPITAL!$C$5</f>
        <v>150000</v>
      </c>
      <c r="C45" s="136"/>
      <c r="D45" s="137"/>
      <c r="E45" s="137">
        <f t="shared" si="2"/>
        <v>0</v>
      </c>
      <c r="F45" s="137">
        <f t="shared" si="3"/>
        <v>0</v>
      </c>
      <c r="G45" s="137"/>
    </row>
    <row r="46">
      <c r="A46" s="138">
        <v>38.0</v>
      </c>
      <c r="B46" s="139">
        <f>CAPITAL!$C$5</f>
        <v>150000</v>
      </c>
      <c r="C46" s="140"/>
      <c r="D46" s="139"/>
      <c r="E46" s="141">
        <f t="shared" si="2"/>
        <v>0</v>
      </c>
      <c r="F46" s="141">
        <f t="shared" si="3"/>
        <v>0</v>
      </c>
      <c r="G46" s="139"/>
    </row>
    <row r="47">
      <c r="A47" s="134">
        <v>39.0</v>
      </c>
      <c r="B47" s="135">
        <f>CAPITAL!$C$5</f>
        <v>150000</v>
      </c>
      <c r="C47" s="136"/>
      <c r="D47" s="135"/>
      <c r="E47" s="137">
        <f t="shared" si="2"/>
        <v>0</v>
      </c>
      <c r="F47" s="137">
        <f t="shared" si="3"/>
        <v>0</v>
      </c>
      <c r="G47" s="137"/>
    </row>
    <row r="48">
      <c r="A48" s="138">
        <v>40.0</v>
      </c>
      <c r="B48" s="139">
        <f>CAPITAL!$C$5</f>
        <v>150000</v>
      </c>
      <c r="C48" s="140"/>
      <c r="D48" s="141"/>
      <c r="E48" s="141">
        <f t="shared" si="2"/>
        <v>0</v>
      </c>
      <c r="F48" s="141">
        <f t="shared" si="3"/>
        <v>0</v>
      </c>
      <c r="G48" s="141"/>
    </row>
    <row r="49">
      <c r="A49" s="134">
        <v>41.0</v>
      </c>
      <c r="B49" s="135">
        <f>CAPITAL!$C$5</f>
        <v>150000</v>
      </c>
      <c r="C49" s="136"/>
      <c r="D49" s="137"/>
      <c r="E49" s="137">
        <f t="shared" si="2"/>
        <v>0</v>
      </c>
      <c r="F49" s="137">
        <f t="shared" si="3"/>
        <v>0</v>
      </c>
      <c r="G49" s="137"/>
    </row>
    <row r="50">
      <c r="A50" s="138">
        <v>42.0</v>
      </c>
      <c r="B50" s="139">
        <f>CAPITAL!$C$5</f>
        <v>150000</v>
      </c>
      <c r="C50" s="140"/>
      <c r="D50" s="139"/>
      <c r="E50" s="141">
        <f t="shared" si="2"/>
        <v>0</v>
      </c>
      <c r="F50" s="141">
        <f t="shared" si="3"/>
        <v>0</v>
      </c>
      <c r="G50" s="139"/>
    </row>
    <row r="51">
      <c r="A51" s="134">
        <v>43.0</v>
      </c>
      <c r="B51" s="135">
        <f>CAPITAL!$C$5</f>
        <v>150000</v>
      </c>
      <c r="C51" s="136"/>
      <c r="D51" s="135"/>
      <c r="E51" s="137">
        <f t="shared" si="2"/>
        <v>0</v>
      </c>
      <c r="F51" s="137">
        <f t="shared" si="3"/>
        <v>0</v>
      </c>
      <c r="G51" s="137"/>
    </row>
    <row r="52">
      <c r="A52" s="138">
        <v>44.0</v>
      </c>
      <c r="B52" s="139">
        <f>CAPITAL!$C$5</f>
        <v>150000</v>
      </c>
      <c r="C52" s="140"/>
      <c r="D52" s="141"/>
      <c r="E52" s="141">
        <f t="shared" si="2"/>
        <v>0</v>
      </c>
      <c r="F52" s="141">
        <f t="shared" si="3"/>
        <v>0</v>
      </c>
      <c r="G52" s="141"/>
    </row>
    <row r="53">
      <c r="A53" s="134">
        <v>45.0</v>
      </c>
      <c r="B53" s="135">
        <f>CAPITAL!$C$5</f>
        <v>150000</v>
      </c>
      <c r="C53" s="136"/>
      <c r="D53" s="137"/>
      <c r="E53" s="137">
        <f t="shared" si="2"/>
        <v>0</v>
      </c>
      <c r="F53" s="137">
        <f t="shared" si="3"/>
        <v>0</v>
      </c>
      <c r="G53" s="137"/>
    </row>
    <row r="54">
      <c r="A54" s="138">
        <v>46.0</v>
      </c>
      <c r="B54" s="139">
        <f>CAPITAL!$C$5</f>
        <v>150000</v>
      </c>
      <c r="C54" s="140"/>
      <c r="D54" s="139"/>
      <c r="E54" s="141">
        <f t="shared" si="2"/>
        <v>0</v>
      </c>
      <c r="F54" s="141">
        <f t="shared" si="3"/>
        <v>0</v>
      </c>
      <c r="G54" s="139"/>
    </row>
    <row r="55">
      <c r="A55" s="134">
        <v>47.0</v>
      </c>
      <c r="B55" s="135">
        <f>CAPITAL!$C$5</f>
        <v>150000</v>
      </c>
      <c r="C55" s="136"/>
      <c r="D55" s="135"/>
      <c r="E55" s="137">
        <f t="shared" si="2"/>
        <v>0</v>
      </c>
      <c r="F55" s="137">
        <f t="shared" si="3"/>
        <v>0</v>
      </c>
      <c r="G55" s="137"/>
    </row>
    <row r="56">
      <c r="A56" s="138">
        <v>48.0</v>
      </c>
      <c r="B56" s="139">
        <f>CAPITAL!$C$5</f>
        <v>150000</v>
      </c>
      <c r="C56" s="140"/>
      <c r="D56" s="141"/>
      <c r="E56" s="141">
        <f t="shared" si="2"/>
        <v>0</v>
      </c>
      <c r="F56" s="141">
        <f t="shared" si="3"/>
        <v>0</v>
      </c>
      <c r="G56" s="141"/>
    </row>
    <row r="57">
      <c r="A57" s="134">
        <v>49.0</v>
      </c>
      <c r="B57" s="135">
        <f>CAPITAL!$C$5</f>
        <v>150000</v>
      </c>
      <c r="C57" s="136"/>
      <c r="D57" s="137"/>
      <c r="E57" s="137">
        <f t="shared" si="2"/>
        <v>0</v>
      </c>
      <c r="F57" s="137">
        <f t="shared" si="3"/>
        <v>0</v>
      </c>
      <c r="G57" s="137"/>
    </row>
    <row r="58">
      <c r="A58" s="138">
        <v>50.0</v>
      </c>
      <c r="B58" s="139">
        <f>CAPITAL!$C$5</f>
        <v>150000</v>
      </c>
      <c r="C58" s="140"/>
      <c r="D58" s="139"/>
      <c r="E58" s="141">
        <f t="shared" si="2"/>
        <v>0</v>
      </c>
      <c r="F58" s="141">
        <f t="shared" si="3"/>
        <v>0</v>
      </c>
      <c r="G58" s="139"/>
    </row>
    <row r="59">
      <c r="A59" s="134">
        <v>51.0</v>
      </c>
      <c r="B59" s="135">
        <f>CAPITAL!$C$5</f>
        <v>150000</v>
      </c>
      <c r="C59" s="136"/>
      <c r="D59" s="135"/>
      <c r="E59" s="137">
        <f t="shared" si="2"/>
        <v>0</v>
      </c>
      <c r="F59" s="137">
        <f t="shared" si="3"/>
        <v>0</v>
      </c>
      <c r="G59" s="137"/>
    </row>
    <row r="60">
      <c r="A60" s="138">
        <v>52.0</v>
      </c>
      <c r="B60" s="139">
        <f>CAPITAL!$C$5</f>
        <v>150000</v>
      </c>
      <c r="C60" s="140"/>
      <c r="D60" s="141"/>
      <c r="E60" s="141">
        <f t="shared" si="2"/>
        <v>0</v>
      </c>
      <c r="F60" s="141">
        <f t="shared" si="3"/>
        <v>0</v>
      </c>
      <c r="G60" s="141"/>
    </row>
    <row r="61">
      <c r="A61" s="134">
        <v>53.0</v>
      </c>
      <c r="B61" s="135">
        <f>CAPITAL!$C$5</f>
        <v>150000</v>
      </c>
      <c r="C61" s="136"/>
      <c r="D61" s="137"/>
      <c r="E61" s="137">
        <f t="shared" si="2"/>
        <v>0</v>
      </c>
      <c r="F61" s="137">
        <f t="shared" si="3"/>
        <v>0</v>
      </c>
      <c r="G61" s="137"/>
    </row>
    <row r="62">
      <c r="A62" s="138">
        <v>54.0</v>
      </c>
      <c r="B62" s="139">
        <f>CAPITAL!$C$5</f>
        <v>150000</v>
      </c>
      <c r="C62" s="140"/>
      <c r="D62" s="139"/>
      <c r="E62" s="141">
        <f t="shared" si="2"/>
        <v>0</v>
      </c>
      <c r="F62" s="141">
        <f t="shared" si="3"/>
        <v>0</v>
      </c>
      <c r="G62" s="139"/>
    </row>
    <row r="63">
      <c r="A63" s="143">
        <v>55.0</v>
      </c>
      <c r="B63" s="135">
        <f>CAPITAL!$C$5</f>
        <v>150000</v>
      </c>
      <c r="C63" s="136"/>
      <c r="D63" s="144"/>
      <c r="E63" s="137">
        <f t="shared" si="2"/>
        <v>0</v>
      </c>
      <c r="F63" s="137">
        <f t="shared" si="3"/>
        <v>0</v>
      </c>
      <c r="G63" s="144"/>
    </row>
    <row r="65">
      <c r="A65" s="1"/>
      <c r="B65" s="1"/>
      <c r="C65" s="1"/>
      <c r="D65" s="145"/>
      <c r="E65" s="146"/>
      <c r="F65" s="146"/>
      <c r="G65" s="2"/>
    </row>
    <row r="66">
      <c r="A66" s="1"/>
      <c r="B66" s="1"/>
      <c r="C66" s="1"/>
      <c r="D66" s="145"/>
      <c r="E66" s="146"/>
      <c r="F66" s="146"/>
      <c r="G66" s="2"/>
    </row>
    <row r="67">
      <c r="A67" s="1"/>
      <c r="B67" s="1"/>
      <c r="C67" s="1"/>
      <c r="D67" s="145"/>
      <c r="E67" s="146"/>
      <c r="F67" s="146"/>
      <c r="G67" s="2"/>
    </row>
    <row r="68">
      <c r="A68" s="1"/>
      <c r="B68" s="1"/>
      <c r="C68" s="1"/>
      <c r="D68" s="145"/>
      <c r="E68" s="146"/>
      <c r="F68" s="146"/>
      <c r="G68" s="2"/>
    </row>
    <row r="69">
      <c r="A69" s="1"/>
      <c r="B69" s="1"/>
      <c r="C69" s="1"/>
      <c r="D69" s="145"/>
      <c r="E69" s="146"/>
      <c r="F69" s="146"/>
      <c r="G69" s="2"/>
    </row>
    <row r="70">
      <c r="A70" s="1"/>
      <c r="B70" s="1"/>
      <c r="C70" s="1"/>
      <c r="D70" s="145"/>
      <c r="E70" s="146"/>
      <c r="F70" s="146"/>
      <c r="G70" s="2"/>
    </row>
  </sheetData>
  <mergeCells count="9">
    <mergeCell ref="D6:D7"/>
    <mergeCell ref="G6:G7"/>
    <mergeCell ref="A2:D3"/>
    <mergeCell ref="E2:E3"/>
    <mergeCell ref="F2:F3"/>
    <mergeCell ref="A4:C4"/>
    <mergeCell ref="A6:A7"/>
    <mergeCell ref="B6:B7"/>
    <mergeCell ref="C6:C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2" max="4" width="14.38"/>
  </cols>
  <sheetData>
    <row r="1">
      <c r="A1" s="2"/>
      <c r="B1" s="2"/>
      <c r="C1" s="2"/>
      <c r="D1" s="2"/>
      <c r="E1" s="6" t="s">
        <v>135</v>
      </c>
      <c r="F1" s="6"/>
      <c r="G1" s="2"/>
    </row>
    <row r="2">
      <c r="A2" s="114" t="s">
        <v>126</v>
      </c>
      <c r="B2" s="9"/>
      <c r="C2" s="9"/>
      <c r="D2" s="115"/>
      <c r="E2" s="116">
        <f>IFERROR(__xludf.DUMMYFUNCTION("SUM( FILTER(JOURNAL!X9:X1015, ISNUMBER(JOURNAL!X9:X1015)) )"),0.015051871641791037)</f>
        <v>0.01505187164</v>
      </c>
      <c r="F2" s="117">
        <f>JOURNAL!U6+F1</f>
        <v>2520.92518</v>
      </c>
      <c r="G2" s="118"/>
    </row>
    <row r="3">
      <c r="A3" s="48"/>
      <c r="B3" s="49"/>
      <c r="C3" s="49"/>
      <c r="D3" s="119"/>
      <c r="G3" s="118"/>
    </row>
    <row r="4">
      <c r="A4" s="1" t="s">
        <v>127</v>
      </c>
      <c r="D4" s="120">
        <f>F2-(SUM(D9:D62))</f>
        <v>2520.92518</v>
      </c>
      <c r="E4" s="121">
        <f t="shared" ref="E4:F4" si="1">SUM(E9:E62)</f>
        <v>0</v>
      </c>
      <c r="F4" s="121">
        <f t="shared" si="1"/>
        <v>0</v>
      </c>
      <c r="G4" s="2"/>
    </row>
    <row r="5">
      <c r="A5" s="2"/>
      <c r="B5" s="2"/>
      <c r="C5" s="2"/>
      <c r="D5" s="2"/>
      <c r="E5" s="2"/>
      <c r="F5" s="2"/>
      <c r="G5" s="2"/>
    </row>
    <row r="6">
      <c r="A6" s="122" t="s">
        <v>128</v>
      </c>
      <c r="B6" s="123" t="s">
        <v>0</v>
      </c>
      <c r="C6" s="123" t="s">
        <v>129</v>
      </c>
      <c r="D6" s="124" t="s">
        <v>130</v>
      </c>
      <c r="E6" s="125" t="s">
        <v>6</v>
      </c>
      <c r="F6" s="126" t="s">
        <v>132</v>
      </c>
      <c r="G6" s="127" t="s">
        <v>133</v>
      </c>
    </row>
    <row r="7">
      <c r="A7" s="128"/>
      <c r="B7" s="129"/>
      <c r="C7" s="129"/>
      <c r="D7" s="130"/>
      <c r="E7" s="131">
        <v>0.9</v>
      </c>
      <c r="F7" s="132">
        <v>0.1</v>
      </c>
      <c r="G7" s="133"/>
    </row>
    <row r="8" ht="3.0" customHeight="1">
      <c r="A8" s="2"/>
      <c r="B8" s="2"/>
      <c r="C8" s="2"/>
      <c r="D8" s="2"/>
      <c r="E8" s="2"/>
      <c r="F8" s="2"/>
      <c r="G8" s="2"/>
    </row>
    <row r="9">
      <c r="A9" s="134">
        <v>1.0</v>
      </c>
      <c r="B9" s="135">
        <f>CAPITAL!$C$6</f>
        <v>700000</v>
      </c>
      <c r="C9" s="136">
        <v>45986.0</v>
      </c>
      <c r="D9" s="135"/>
      <c r="E9" s="137">
        <f t="shared" ref="E9:E63" si="2">D9*$E$7</f>
        <v>0</v>
      </c>
      <c r="F9" s="137">
        <f t="shared" ref="F9:F63" si="3">D9*$F$7</f>
        <v>0</v>
      </c>
      <c r="G9" s="135" t="s">
        <v>134</v>
      </c>
    </row>
    <row r="10">
      <c r="A10" s="138">
        <v>2.0</v>
      </c>
      <c r="B10" s="139">
        <f>CAPITAL!$C$6</f>
        <v>700000</v>
      </c>
      <c r="C10" s="140"/>
      <c r="D10" s="139"/>
      <c r="E10" s="141">
        <f t="shared" si="2"/>
        <v>0</v>
      </c>
      <c r="F10" s="141">
        <f t="shared" si="3"/>
        <v>0</v>
      </c>
      <c r="G10" s="139"/>
    </row>
    <row r="11">
      <c r="A11" s="134">
        <v>3.0</v>
      </c>
      <c r="B11" s="135">
        <f>CAPITAL!$C$6</f>
        <v>700000</v>
      </c>
      <c r="C11" s="136"/>
      <c r="D11" s="135"/>
      <c r="E11" s="137">
        <f t="shared" si="2"/>
        <v>0</v>
      </c>
      <c r="F11" s="137">
        <f t="shared" si="3"/>
        <v>0</v>
      </c>
      <c r="G11" s="135"/>
    </row>
    <row r="12">
      <c r="A12" s="138">
        <v>4.0</v>
      </c>
      <c r="B12" s="139">
        <f>CAPITAL!$C$6</f>
        <v>700000</v>
      </c>
      <c r="C12" s="140"/>
      <c r="D12" s="139"/>
      <c r="E12" s="141">
        <f t="shared" si="2"/>
        <v>0</v>
      </c>
      <c r="F12" s="141">
        <f t="shared" si="3"/>
        <v>0</v>
      </c>
      <c r="G12" s="142"/>
    </row>
    <row r="13">
      <c r="A13" s="134">
        <v>5.0</v>
      </c>
      <c r="B13" s="135">
        <f>CAPITAL!$C$6</f>
        <v>700000</v>
      </c>
      <c r="C13" s="136"/>
      <c r="D13" s="135"/>
      <c r="E13" s="137">
        <f t="shared" si="2"/>
        <v>0</v>
      </c>
      <c r="F13" s="137">
        <f t="shared" si="3"/>
        <v>0</v>
      </c>
      <c r="G13" s="137"/>
    </row>
    <row r="14">
      <c r="A14" s="138">
        <v>6.0</v>
      </c>
      <c r="B14" s="139">
        <f>CAPITAL!$C$6</f>
        <v>700000</v>
      </c>
      <c r="C14" s="140"/>
      <c r="D14" s="139"/>
      <c r="E14" s="141">
        <f t="shared" si="2"/>
        <v>0</v>
      </c>
      <c r="F14" s="141">
        <f t="shared" si="3"/>
        <v>0</v>
      </c>
      <c r="G14" s="139"/>
    </row>
    <row r="15">
      <c r="A15" s="134">
        <v>7.0</v>
      </c>
      <c r="B15" s="135">
        <f>CAPITAL!$C$6</f>
        <v>700000</v>
      </c>
      <c r="C15" s="136"/>
      <c r="D15" s="135"/>
      <c r="E15" s="137">
        <f t="shared" si="2"/>
        <v>0</v>
      </c>
      <c r="F15" s="137">
        <f t="shared" si="3"/>
        <v>0</v>
      </c>
      <c r="G15" s="137"/>
    </row>
    <row r="16">
      <c r="A16" s="138">
        <v>8.0</v>
      </c>
      <c r="B16" s="139">
        <f>CAPITAL!$C$6</f>
        <v>700000</v>
      </c>
      <c r="C16" s="140"/>
      <c r="D16" s="141"/>
      <c r="E16" s="141">
        <f t="shared" si="2"/>
        <v>0</v>
      </c>
      <c r="F16" s="141">
        <f t="shared" si="3"/>
        <v>0</v>
      </c>
      <c r="G16" s="141"/>
    </row>
    <row r="17">
      <c r="A17" s="134">
        <v>9.0</v>
      </c>
      <c r="B17" s="135">
        <f>CAPITAL!$C$6</f>
        <v>700000</v>
      </c>
      <c r="C17" s="136"/>
      <c r="D17" s="137"/>
      <c r="E17" s="137">
        <f t="shared" si="2"/>
        <v>0</v>
      </c>
      <c r="F17" s="137">
        <f t="shared" si="3"/>
        <v>0</v>
      </c>
      <c r="G17" s="137"/>
    </row>
    <row r="18">
      <c r="A18" s="138">
        <v>10.0</v>
      </c>
      <c r="B18" s="139">
        <f>CAPITAL!$C$6</f>
        <v>700000</v>
      </c>
      <c r="C18" s="140"/>
      <c r="D18" s="139"/>
      <c r="E18" s="141">
        <f t="shared" si="2"/>
        <v>0</v>
      </c>
      <c r="F18" s="141">
        <f t="shared" si="3"/>
        <v>0</v>
      </c>
      <c r="G18" s="139"/>
    </row>
    <row r="19">
      <c r="A19" s="134">
        <v>11.0</v>
      </c>
      <c r="B19" s="135">
        <f>CAPITAL!$C$6</f>
        <v>700000</v>
      </c>
      <c r="C19" s="136"/>
      <c r="D19" s="135"/>
      <c r="E19" s="137">
        <f t="shared" si="2"/>
        <v>0</v>
      </c>
      <c r="F19" s="137">
        <f t="shared" si="3"/>
        <v>0</v>
      </c>
      <c r="G19" s="137"/>
    </row>
    <row r="20">
      <c r="A20" s="138">
        <v>12.0</v>
      </c>
      <c r="B20" s="139">
        <f>CAPITAL!$C$6</f>
        <v>700000</v>
      </c>
      <c r="C20" s="140"/>
      <c r="D20" s="141"/>
      <c r="E20" s="141">
        <f t="shared" si="2"/>
        <v>0</v>
      </c>
      <c r="F20" s="141">
        <f t="shared" si="3"/>
        <v>0</v>
      </c>
      <c r="G20" s="141"/>
    </row>
    <row r="21">
      <c r="A21" s="134">
        <v>13.0</v>
      </c>
      <c r="B21" s="135">
        <f>CAPITAL!$C$6</f>
        <v>700000</v>
      </c>
      <c r="C21" s="136"/>
      <c r="D21" s="137"/>
      <c r="E21" s="137">
        <f t="shared" si="2"/>
        <v>0</v>
      </c>
      <c r="F21" s="137">
        <f t="shared" si="3"/>
        <v>0</v>
      </c>
      <c r="G21" s="137"/>
    </row>
    <row r="22">
      <c r="A22" s="138">
        <v>14.0</v>
      </c>
      <c r="B22" s="139">
        <f>CAPITAL!$C$6</f>
        <v>700000</v>
      </c>
      <c r="C22" s="140"/>
      <c r="D22" s="139"/>
      <c r="E22" s="141">
        <f t="shared" si="2"/>
        <v>0</v>
      </c>
      <c r="F22" s="141">
        <f t="shared" si="3"/>
        <v>0</v>
      </c>
      <c r="G22" s="139"/>
    </row>
    <row r="23">
      <c r="A23" s="134">
        <v>15.0</v>
      </c>
      <c r="B23" s="135">
        <f>CAPITAL!$C$6</f>
        <v>700000</v>
      </c>
      <c r="C23" s="136"/>
      <c r="D23" s="135"/>
      <c r="E23" s="137">
        <f t="shared" si="2"/>
        <v>0</v>
      </c>
      <c r="F23" s="137">
        <f t="shared" si="3"/>
        <v>0</v>
      </c>
      <c r="G23" s="137"/>
    </row>
    <row r="24">
      <c r="A24" s="138">
        <v>16.0</v>
      </c>
      <c r="B24" s="139">
        <f>CAPITAL!$C$6</f>
        <v>700000</v>
      </c>
      <c r="C24" s="140"/>
      <c r="D24" s="141"/>
      <c r="E24" s="141">
        <f t="shared" si="2"/>
        <v>0</v>
      </c>
      <c r="F24" s="141">
        <f t="shared" si="3"/>
        <v>0</v>
      </c>
      <c r="G24" s="141"/>
    </row>
    <row r="25">
      <c r="A25" s="134">
        <v>17.0</v>
      </c>
      <c r="B25" s="135">
        <f>CAPITAL!$C$6</f>
        <v>700000</v>
      </c>
      <c r="C25" s="136"/>
      <c r="D25" s="137"/>
      <c r="E25" s="137">
        <f t="shared" si="2"/>
        <v>0</v>
      </c>
      <c r="F25" s="137">
        <f t="shared" si="3"/>
        <v>0</v>
      </c>
      <c r="G25" s="137"/>
    </row>
    <row r="26">
      <c r="A26" s="138">
        <v>18.0</v>
      </c>
      <c r="B26" s="139">
        <f>CAPITAL!$C$6</f>
        <v>700000</v>
      </c>
      <c r="C26" s="140"/>
      <c r="D26" s="139"/>
      <c r="E26" s="141">
        <f t="shared" si="2"/>
        <v>0</v>
      </c>
      <c r="F26" s="141">
        <f t="shared" si="3"/>
        <v>0</v>
      </c>
      <c r="G26" s="139"/>
    </row>
    <row r="27">
      <c r="A27" s="134">
        <v>19.0</v>
      </c>
      <c r="B27" s="135">
        <f>CAPITAL!$C$6</f>
        <v>700000</v>
      </c>
      <c r="C27" s="136"/>
      <c r="D27" s="135"/>
      <c r="E27" s="137">
        <f t="shared" si="2"/>
        <v>0</v>
      </c>
      <c r="F27" s="137">
        <f t="shared" si="3"/>
        <v>0</v>
      </c>
      <c r="G27" s="137"/>
    </row>
    <row r="28">
      <c r="A28" s="138">
        <v>20.0</v>
      </c>
      <c r="B28" s="139">
        <f>CAPITAL!$C$6</f>
        <v>700000</v>
      </c>
      <c r="C28" s="140"/>
      <c r="D28" s="141"/>
      <c r="E28" s="141">
        <f t="shared" si="2"/>
        <v>0</v>
      </c>
      <c r="F28" s="141">
        <f t="shared" si="3"/>
        <v>0</v>
      </c>
      <c r="G28" s="141"/>
    </row>
    <row r="29">
      <c r="A29" s="134">
        <v>21.0</v>
      </c>
      <c r="B29" s="135">
        <f>CAPITAL!$C$6</f>
        <v>700000</v>
      </c>
      <c r="C29" s="136"/>
      <c r="D29" s="137"/>
      <c r="E29" s="137">
        <f t="shared" si="2"/>
        <v>0</v>
      </c>
      <c r="F29" s="137">
        <f t="shared" si="3"/>
        <v>0</v>
      </c>
      <c r="G29" s="137"/>
    </row>
    <row r="30">
      <c r="A30" s="138">
        <v>22.0</v>
      </c>
      <c r="B30" s="139">
        <f>CAPITAL!$C$6</f>
        <v>700000</v>
      </c>
      <c r="C30" s="140"/>
      <c r="D30" s="139"/>
      <c r="E30" s="141">
        <f t="shared" si="2"/>
        <v>0</v>
      </c>
      <c r="F30" s="141">
        <f t="shared" si="3"/>
        <v>0</v>
      </c>
      <c r="G30" s="139"/>
    </row>
    <row r="31">
      <c r="A31" s="134">
        <v>23.0</v>
      </c>
      <c r="B31" s="135">
        <f>CAPITAL!$C$6</f>
        <v>700000</v>
      </c>
      <c r="C31" s="136"/>
      <c r="D31" s="135"/>
      <c r="E31" s="137">
        <f t="shared" si="2"/>
        <v>0</v>
      </c>
      <c r="F31" s="137">
        <f t="shared" si="3"/>
        <v>0</v>
      </c>
      <c r="G31" s="137"/>
    </row>
    <row r="32">
      <c r="A32" s="138">
        <v>24.0</v>
      </c>
      <c r="B32" s="139">
        <f>CAPITAL!$C$6</f>
        <v>700000</v>
      </c>
      <c r="C32" s="140"/>
      <c r="D32" s="141"/>
      <c r="E32" s="141">
        <f t="shared" si="2"/>
        <v>0</v>
      </c>
      <c r="F32" s="141">
        <f t="shared" si="3"/>
        <v>0</v>
      </c>
      <c r="G32" s="141"/>
    </row>
    <row r="33">
      <c r="A33" s="134">
        <v>25.0</v>
      </c>
      <c r="B33" s="135">
        <f>CAPITAL!$C$6</f>
        <v>700000</v>
      </c>
      <c r="C33" s="136"/>
      <c r="D33" s="137"/>
      <c r="E33" s="137">
        <f t="shared" si="2"/>
        <v>0</v>
      </c>
      <c r="F33" s="137">
        <f t="shared" si="3"/>
        <v>0</v>
      </c>
      <c r="G33" s="137"/>
    </row>
    <row r="34">
      <c r="A34" s="138">
        <v>26.0</v>
      </c>
      <c r="B34" s="139">
        <f>CAPITAL!$C$6</f>
        <v>700000</v>
      </c>
      <c r="C34" s="140"/>
      <c r="D34" s="139"/>
      <c r="E34" s="141">
        <f t="shared" si="2"/>
        <v>0</v>
      </c>
      <c r="F34" s="141">
        <f t="shared" si="3"/>
        <v>0</v>
      </c>
      <c r="G34" s="139"/>
    </row>
    <row r="35">
      <c r="A35" s="134">
        <v>27.0</v>
      </c>
      <c r="B35" s="135">
        <f>CAPITAL!$C$6</f>
        <v>700000</v>
      </c>
      <c r="C35" s="136"/>
      <c r="D35" s="135"/>
      <c r="E35" s="137">
        <f t="shared" si="2"/>
        <v>0</v>
      </c>
      <c r="F35" s="137">
        <f t="shared" si="3"/>
        <v>0</v>
      </c>
      <c r="G35" s="137"/>
    </row>
    <row r="36">
      <c r="A36" s="138">
        <v>28.0</v>
      </c>
      <c r="B36" s="139">
        <f>CAPITAL!$C$6</f>
        <v>700000</v>
      </c>
      <c r="C36" s="140"/>
      <c r="D36" s="141"/>
      <c r="E36" s="141">
        <f t="shared" si="2"/>
        <v>0</v>
      </c>
      <c r="F36" s="141">
        <f t="shared" si="3"/>
        <v>0</v>
      </c>
      <c r="G36" s="141"/>
    </row>
    <row r="37">
      <c r="A37" s="134">
        <v>29.0</v>
      </c>
      <c r="B37" s="135">
        <f>CAPITAL!$C$6</f>
        <v>700000</v>
      </c>
      <c r="C37" s="136"/>
      <c r="D37" s="137"/>
      <c r="E37" s="137">
        <f t="shared" si="2"/>
        <v>0</v>
      </c>
      <c r="F37" s="137">
        <f t="shared" si="3"/>
        <v>0</v>
      </c>
      <c r="G37" s="137"/>
    </row>
    <row r="38">
      <c r="A38" s="138">
        <v>30.0</v>
      </c>
      <c r="B38" s="139">
        <f>CAPITAL!$C$6</f>
        <v>700000</v>
      </c>
      <c r="C38" s="140"/>
      <c r="D38" s="139"/>
      <c r="E38" s="141">
        <f t="shared" si="2"/>
        <v>0</v>
      </c>
      <c r="F38" s="141">
        <f t="shared" si="3"/>
        <v>0</v>
      </c>
      <c r="G38" s="139"/>
    </row>
    <row r="39">
      <c r="A39" s="134">
        <v>31.0</v>
      </c>
      <c r="B39" s="135">
        <f>CAPITAL!$C$6</f>
        <v>700000</v>
      </c>
      <c r="C39" s="136"/>
      <c r="D39" s="135"/>
      <c r="E39" s="137">
        <f t="shared" si="2"/>
        <v>0</v>
      </c>
      <c r="F39" s="137">
        <f t="shared" si="3"/>
        <v>0</v>
      </c>
      <c r="G39" s="137"/>
    </row>
    <row r="40">
      <c r="A40" s="138">
        <v>32.0</v>
      </c>
      <c r="B40" s="139">
        <f>CAPITAL!$C$6</f>
        <v>700000</v>
      </c>
      <c r="C40" s="140"/>
      <c r="D40" s="141"/>
      <c r="E40" s="141">
        <f t="shared" si="2"/>
        <v>0</v>
      </c>
      <c r="F40" s="141">
        <f t="shared" si="3"/>
        <v>0</v>
      </c>
      <c r="G40" s="141"/>
    </row>
    <row r="41">
      <c r="A41" s="134">
        <v>33.0</v>
      </c>
      <c r="B41" s="135">
        <f>CAPITAL!$C$6</f>
        <v>700000</v>
      </c>
      <c r="C41" s="136"/>
      <c r="D41" s="137"/>
      <c r="E41" s="137">
        <f t="shared" si="2"/>
        <v>0</v>
      </c>
      <c r="F41" s="137">
        <f t="shared" si="3"/>
        <v>0</v>
      </c>
      <c r="G41" s="137"/>
    </row>
    <row r="42">
      <c r="A42" s="138">
        <v>34.0</v>
      </c>
      <c r="B42" s="139">
        <f>CAPITAL!$C$6</f>
        <v>700000</v>
      </c>
      <c r="C42" s="140"/>
      <c r="D42" s="139"/>
      <c r="E42" s="141">
        <f t="shared" si="2"/>
        <v>0</v>
      </c>
      <c r="F42" s="141">
        <f t="shared" si="3"/>
        <v>0</v>
      </c>
      <c r="G42" s="139"/>
    </row>
    <row r="43">
      <c r="A43" s="134">
        <v>35.0</v>
      </c>
      <c r="B43" s="135">
        <f>CAPITAL!$C$6</f>
        <v>700000</v>
      </c>
      <c r="C43" s="136"/>
      <c r="D43" s="135"/>
      <c r="E43" s="137">
        <f t="shared" si="2"/>
        <v>0</v>
      </c>
      <c r="F43" s="137">
        <f t="shared" si="3"/>
        <v>0</v>
      </c>
      <c r="G43" s="137"/>
    </row>
    <row r="44">
      <c r="A44" s="138">
        <v>36.0</v>
      </c>
      <c r="B44" s="139">
        <f>CAPITAL!$C$6</f>
        <v>700000</v>
      </c>
      <c r="C44" s="140"/>
      <c r="D44" s="141"/>
      <c r="E44" s="141">
        <f t="shared" si="2"/>
        <v>0</v>
      </c>
      <c r="F44" s="141">
        <f t="shared" si="3"/>
        <v>0</v>
      </c>
      <c r="G44" s="141"/>
    </row>
    <row r="45">
      <c r="A45" s="134">
        <v>37.0</v>
      </c>
      <c r="B45" s="135">
        <f>CAPITAL!$C$6</f>
        <v>700000</v>
      </c>
      <c r="C45" s="136"/>
      <c r="D45" s="137"/>
      <c r="E45" s="137">
        <f t="shared" si="2"/>
        <v>0</v>
      </c>
      <c r="F45" s="137">
        <f t="shared" si="3"/>
        <v>0</v>
      </c>
      <c r="G45" s="137"/>
    </row>
    <row r="46">
      <c r="A46" s="138">
        <v>38.0</v>
      </c>
      <c r="B46" s="139">
        <f>CAPITAL!$C$6</f>
        <v>700000</v>
      </c>
      <c r="C46" s="140"/>
      <c r="D46" s="139"/>
      <c r="E46" s="141">
        <f t="shared" si="2"/>
        <v>0</v>
      </c>
      <c r="F46" s="141">
        <f t="shared" si="3"/>
        <v>0</v>
      </c>
      <c r="G46" s="139"/>
    </row>
    <row r="47">
      <c r="A47" s="134">
        <v>39.0</v>
      </c>
      <c r="B47" s="135">
        <f>CAPITAL!$C$6</f>
        <v>700000</v>
      </c>
      <c r="C47" s="136"/>
      <c r="D47" s="135"/>
      <c r="E47" s="137">
        <f t="shared" si="2"/>
        <v>0</v>
      </c>
      <c r="F47" s="137">
        <f t="shared" si="3"/>
        <v>0</v>
      </c>
      <c r="G47" s="137"/>
    </row>
    <row r="48">
      <c r="A48" s="138">
        <v>40.0</v>
      </c>
      <c r="B48" s="139">
        <f>CAPITAL!$C$6</f>
        <v>700000</v>
      </c>
      <c r="C48" s="140"/>
      <c r="D48" s="141"/>
      <c r="E48" s="141">
        <f t="shared" si="2"/>
        <v>0</v>
      </c>
      <c r="F48" s="141">
        <f t="shared" si="3"/>
        <v>0</v>
      </c>
      <c r="G48" s="141"/>
    </row>
    <row r="49">
      <c r="A49" s="134">
        <v>41.0</v>
      </c>
      <c r="B49" s="135">
        <f>CAPITAL!$C$6</f>
        <v>700000</v>
      </c>
      <c r="C49" s="136"/>
      <c r="D49" s="137"/>
      <c r="E49" s="137">
        <f t="shared" si="2"/>
        <v>0</v>
      </c>
      <c r="F49" s="137">
        <f t="shared" si="3"/>
        <v>0</v>
      </c>
      <c r="G49" s="137"/>
    </row>
    <row r="50">
      <c r="A50" s="138">
        <v>42.0</v>
      </c>
      <c r="B50" s="139">
        <f>CAPITAL!$C$6</f>
        <v>700000</v>
      </c>
      <c r="C50" s="140"/>
      <c r="D50" s="139"/>
      <c r="E50" s="141">
        <f t="shared" si="2"/>
        <v>0</v>
      </c>
      <c r="F50" s="141">
        <f t="shared" si="3"/>
        <v>0</v>
      </c>
      <c r="G50" s="139"/>
    </row>
    <row r="51">
      <c r="A51" s="134">
        <v>43.0</v>
      </c>
      <c r="B51" s="135">
        <f>CAPITAL!$C$6</f>
        <v>700000</v>
      </c>
      <c r="C51" s="136"/>
      <c r="D51" s="135"/>
      <c r="E51" s="137">
        <f t="shared" si="2"/>
        <v>0</v>
      </c>
      <c r="F51" s="137">
        <f t="shared" si="3"/>
        <v>0</v>
      </c>
      <c r="G51" s="137"/>
    </row>
    <row r="52">
      <c r="A52" s="138">
        <v>44.0</v>
      </c>
      <c r="B52" s="139">
        <f>CAPITAL!$C$6</f>
        <v>700000</v>
      </c>
      <c r="C52" s="140"/>
      <c r="D52" s="141"/>
      <c r="E52" s="141">
        <f t="shared" si="2"/>
        <v>0</v>
      </c>
      <c r="F52" s="141">
        <f t="shared" si="3"/>
        <v>0</v>
      </c>
      <c r="G52" s="141"/>
    </row>
    <row r="53">
      <c r="A53" s="134">
        <v>45.0</v>
      </c>
      <c r="B53" s="135">
        <f>CAPITAL!$C$6</f>
        <v>700000</v>
      </c>
      <c r="C53" s="136"/>
      <c r="D53" s="137"/>
      <c r="E53" s="137">
        <f t="shared" si="2"/>
        <v>0</v>
      </c>
      <c r="F53" s="137">
        <f t="shared" si="3"/>
        <v>0</v>
      </c>
      <c r="G53" s="137"/>
    </row>
    <row r="54">
      <c r="A54" s="138">
        <v>46.0</v>
      </c>
      <c r="B54" s="139">
        <f>CAPITAL!$C$6</f>
        <v>700000</v>
      </c>
      <c r="C54" s="140"/>
      <c r="D54" s="139"/>
      <c r="E54" s="141">
        <f t="shared" si="2"/>
        <v>0</v>
      </c>
      <c r="F54" s="141">
        <f t="shared" si="3"/>
        <v>0</v>
      </c>
      <c r="G54" s="139"/>
    </row>
    <row r="55">
      <c r="A55" s="134">
        <v>47.0</v>
      </c>
      <c r="B55" s="135">
        <f>CAPITAL!$C$6</f>
        <v>700000</v>
      </c>
      <c r="C55" s="136"/>
      <c r="D55" s="135"/>
      <c r="E55" s="137">
        <f t="shared" si="2"/>
        <v>0</v>
      </c>
      <c r="F55" s="137">
        <f t="shared" si="3"/>
        <v>0</v>
      </c>
      <c r="G55" s="137"/>
    </row>
    <row r="56">
      <c r="A56" s="138">
        <v>48.0</v>
      </c>
      <c r="B56" s="139">
        <f>CAPITAL!$C$6</f>
        <v>700000</v>
      </c>
      <c r="C56" s="140"/>
      <c r="D56" s="141"/>
      <c r="E56" s="141">
        <f t="shared" si="2"/>
        <v>0</v>
      </c>
      <c r="F56" s="141">
        <f t="shared" si="3"/>
        <v>0</v>
      </c>
      <c r="G56" s="141"/>
    </row>
    <row r="57">
      <c r="A57" s="134">
        <v>49.0</v>
      </c>
      <c r="B57" s="135">
        <f>CAPITAL!$C$6</f>
        <v>700000</v>
      </c>
      <c r="C57" s="136"/>
      <c r="D57" s="137"/>
      <c r="E57" s="137">
        <f t="shared" si="2"/>
        <v>0</v>
      </c>
      <c r="F57" s="137">
        <f t="shared" si="3"/>
        <v>0</v>
      </c>
      <c r="G57" s="137"/>
    </row>
    <row r="58">
      <c r="A58" s="138">
        <v>50.0</v>
      </c>
      <c r="B58" s="139">
        <f>CAPITAL!$C$6</f>
        <v>700000</v>
      </c>
      <c r="C58" s="140"/>
      <c r="D58" s="139"/>
      <c r="E58" s="141">
        <f t="shared" si="2"/>
        <v>0</v>
      </c>
      <c r="F58" s="141">
        <f t="shared" si="3"/>
        <v>0</v>
      </c>
      <c r="G58" s="139"/>
    </row>
    <row r="59">
      <c r="A59" s="134">
        <v>51.0</v>
      </c>
      <c r="B59" s="135">
        <f>CAPITAL!$C$6</f>
        <v>700000</v>
      </c>
      <c r="C59" s="136"/>
      <c r="D59" s="135"/>
      <c r="E59" s="137">
        <f t="shared" si="2"/>
        <v>0</v>
      </c>
      <c r="F59" s="137">
        <f t="shared" si="3"/>
        <v>0</v>
      </c>
      <c r="G59" s="137"/>
    </row>
    <row r="60">
      <c r="A60" s="138">
        <v>52.0</v>
      </c>
      <c r="B60" s="139">
        <f>CAPITAL!$C$6</f>
        <v>700000</v>
      </c>
      <c r="C60" s="140"/>
      <c r="D60" s="141"/>
      <c r="E60" s="141">
        <f t="shared" si="2"/>
        <v>0</v>
      </c>
      <c r="F60" s="141">
        <f t="shared" si="3"/>
        <v>0</v>
      </c>
      <c r="G60" s="141"/>
    </row>
    <row r="61">
      <c r="A61" s="134">
        <v>53.0</v>
      </c>
      <c r="B61" s="135">
        <f>CAPITAL!$C$6</f>
        <v>700000</v>
      </c>
      <c r="C61" s="136"/>
      <c r="D61" s="137"/>
      <c r="E61" s="137">
        <f t="shared" si="2"/>
        <v>0</v>
      </c>
      <c r="F61" s="137">
        <f t="shared" si="3"/>
        <v>0</v>
      </c>
      <c r="G61" s="137"/>
    </row>
    <row r="62">
      <c r="A62" s="138">
        <v>54.0</v>
      </c>
      <c r="B62" s="139">
        <f>CAPITAL!$C$6</f>
        <v>700000</v>
      </c>
      <c r="C62" s="140"/>
      <c r="D62" s="139"/>
      <c r="E62" s="141">
        <f t="shared" si="2"/>
        <v>0</v>
      </c>
      <c r="F62" s="141">
        <f t="shared" si="3"/>
        <v>0</v>
      </c>
      <c r="G62" s="139"/>
    </row>
    <row r="63">
      <c r="A63" s="143">
        <v>55.0</v>
      </c>
      <c r="B63" s="135">
        <f>CAPITAL!$C$6</f>
        <v>700000</v>
      </c>
      <c r="C63" s="136"/>
      <c r="D63" s="144"/>
      <c r="E63" s="137">
        <f t="shared" si="2"/>
        <v>0</v>
      </c>
      <c r="F63" s="137">
        <f t="shared" si="3"/>
        <v>0</v>
      </c>
      <c r="G63" s="144"/>
    </row>
    <row r="65">
      <c r="A65" s="1"/>
      <c r="B65" s="1"/>
      <c r="C65" s="1"/>
      <c r="D65" s="145"/>
      <c r="E65" s="146"/>
      <c r="F65" s="146"/>
      <c r="G65" s="2"/>
    </row>
    <row r="66">
      <c r="A66" s="1"/>
      <c r="B66" s="1"/>
      <c r="C66" s="1"/>
      <c r="D66" s="145"/>
      <c r="E66" s="146"/>
      <c r="F66" s="146"/>
      <c r="G66" s="2"/>
    </row>
    <row r="67">
      <c r="A67" s="1"/>
      <c r="B67" s="1"/>
      <c r="C67" s="1"/>
      <c r="D67" s="145"/>
      <c r="E67" s="146"/>
      <c r="F67" s="146"/>
      <c r="G67" s="2"/>
    </row>
    <row r="68">
      <c r="A68" s="1"/>
      <c r="B68" s="1"/>
      <c r="C68" s="1"/>
      <c r="D68" s="145"/>
      <c r="E68" s="146"/>
      <c r="F68" s="146"/>
      <c r="G68" s="2"/>
    </row>
    <row r="69">
      <c r="A69" s="1"/>
      <c r="B69" s="1"/>
      <c r="C69" s="1"/>
      <c r="D69" s="145"/>
      <c r="E69" s="146"/>
      <c r="F69" s="146"/>
      <c r="G69" s="2"/>
    </row>
    <row r="70">
      <c r="A70" s="1"/>
      <c r="B70" s="1"/>
      <c r="C70" s="1"/>
      <c r="D70" s="145"/>
      <c r="E70" s="146"/>
      <c r="F70" s="146"/>
      <c r="G70" s="2"/>
    </row>
  </sheetData>
  <mergeCells count="9">
    <mergeCell ref="D6:D7"/>
    <mergeCell ref="G6:G7"/>
    <mergeCell ref="A2:D3"/>
    <mergeCell ref="E2:E3"/>
    <mergeCell ref="F2:F3"/>
    <mergeCell ref="A4:C4"/>
    <mergeCell ref="A6:A7"/>
    <mergeCell ref="B6:B7"/>
    <mergeCell ref="C6:C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1.88"/>
    <col customWidth="1" min="5" max="6" width="14.75"/>
    <col customWidth="1" min="7" max="7" width="19.88"/>
  </cols>
  <sheetData>
    <row r="1">
      <c r="A1" s="147" t="s">
        <v>136</v>
      </c>
      <c r="D1" s="148"/>
      <c r="E1" s="149" t="s">
        <v>137</v>
      </c>
    </row>
    <row r="2">
      <c r="D2" s="148"/>
    </row>
    <row r="3">
      <c r="A3" s="150" t="s">
        <v>128</v>
      </c>
      <c r="B3" s="6" t="s">
        <v>129</v>
      </c>
      <c r="C3" s="6" t="s">
        <v>130</v>
      </c>
      <c r="D3" s="6"/>
      <c r="E3" s="150" t="s">
        <v>128</v>
      </c>
      <c r="F3" s="6" t="s">
        <v>129</v>
      </c>
      <c r="G3" s="6" t="s">
        <v>130</v>
      </c>
    </row>
    <row r="4" ht="5.25" customHeight="1">
      <c r="A4" s="150"/>
      <c r="B4" s="6"/>
      <c r="C4" s="6"/>
      <c r="D4" s="6"/>
      <c r="E4" s="6"/>
    </row>
    <row r="5">
      <c r="A5" s="6"/>
      <c r="B5" s="1" t="s">
        <v>138</v>
      </c>
      <c r="C5" s="151">
        <f>SUM(C7:C56)</f>
        <v>150000</v>
      </c>
      <c r="D5" s="152"/>
      <c r="E5" s="6"/>
      <c r="F5" s="1" t="s">
        <v>138</v>
      </c>
      <c r="G5" s="151">
        <f>SUM(G7:G56)</f>
        <v>700000</v>
      </c>
    </row>
    <row r="6" ht="4.5" customHeight="1">
      <c r="A6" s="6"/>
      <c r="B6" s="6"/>
      <c r="C6" s="6"/>
      <c r="D6" s="6"/>
      <c r="E6" s="6"/>
      <c r="F6" s="153"/>
      <c r="G6" s="71"/>
    </row>
    <row r="7">
      <c r="A7" s="6">
        <v>1.0</v>
      </c>
      <c r="B7" s="154">
        <v>45782.0</v>
      </c>
      <c r="C7" s="71">
        <v>50000.0</v>
      </c>
      <c r="D7" s="71"/>
      <c r="E7" s="6">
        <v>1.0</v>
      </c>
      <c r="F7" s="153">
        <v>45789.0</v>
      </c>
      <c r="G7" s="71">
        <v>200000.0</v>
      </c>
    </row>
    <row r="8">
      <c r="A8" s="6">
        <v>2.0</v>
      </c>
      <c r="B8" s="154">
        <v>45798.0</v>
      </c>
      <c r="C8" s="71">
        <v>40000.0</v>
      </c>
      <c r="D8" s="71"/>
      <c r="E8" s="6">
        <v>2.0</v>
      </c>
      <c r="F8" s="153">
        <v>45834.0</v>
      </c>
      <c r="G8" s="71">
        <v>200000.0</v>
      </c>
    </row>
    <row r="9">
      <c r="A9" s="6">
        <v>3.0</v>
      </c>
      <c r="B9" s="154">
        <v>45832.0</v>
      </c>
      <c r="C9" s="71">
        <v>60000.0</v>
      </c>
      <c r="D9" s="71"/>
      <c r="E9" s="6">
        <v>3.0</v>
      </c>
      <c r="F9" s="153">
        <v>45874.0</v>
      </c>
      <c r="G9" s="71">
        <v>100000.0</v>
      </c>
    </row>
    <row r="10">
      <c r="A10" s="6">
        <v>4.0</v>
      </c>
      <c r="B10" s="155"/>
      <c r="C10" s="74"/>
      <c r="D10" s="74"/>
      <c r="E10" s="6">
        <v>4.0</v>
      </c>
      <c r="F10" s="153">
        <v>45979.0</v>
      </c>
      <c r="G10" s="71">
        <v>200000.0</v>
      </c>
    </row>
    <row r="11">
      <c r="A11" s="6">
        <v>5.0</v>
      </c>
      <c r="B11" s="155"/>
      <c r="C11" s="74"/>
      <c r="D11" s="74"/>
      <c r="E11" s="6">
        <v>5.0</v>
      </c>
      <c r="F11" s="155"/>
      <c r="G11" s="74"/>
    </row>
    <row r="12">
      <c r="A12" s="6">
        <v>6.0</v>
      </c>
      <c r="B12" s="155"/>
      <c r="C12" s="74"/>
      <c r="D12" s="74"/>
      <c r="E12" s="6">
        <v>6.0</v>
      </c>
      <c r="F12" s="155"/>
      <c r="G12" s="74"/>
    </row>
    <row r="13">
      <c r="A13" s="2"/>
      <c r="B13" s="2"/>
      <c r="C13" s="2"/>
      <c r="D13" s="2"/>
      <c r="E13" s="6">
        <v>7.0</v>
      </c>
      <c r="F13" s="2"/>
      <c r="G13" s="2"/>
    </row>
    <row r="14">
      <c r="A14" s="2"/>
      <c r="B14" s="2"/>
      <c r="C14" s="2"/>
      <c r="D14" s="2"/>
      <c r="E14" s="6">
        <v>8.0</v>
      </c>
      <c r="F14" s="2"/>
      <c r="G14" s="2"/>
    </row>
    <row r="15">
      <c r="A15" s="2"/>
      <c r="B15" s="2"/>
      <c r="C15" s="2"/>
      <c r="D15" s="2"/>
      <c r="E15" s="6">
        <v>9.0</v>
      </c>
      <c r="F15" s="2"/>
      <c r="G15" s="2"/>
    </row>
    <row r="16">
      <c r="A16" s="2"/>
      <c r="B16" s="2"/>
      <c r="C16" s="2"/>
      <c r="D16" s="2"/>
      <c r="E16" s="6">
        <v>10.0</v>
      </c>
      <c r="F16" s="2"/>
      <c r="G16" s="2"/>
    </row>
    <row r="17">
      <c r="A17" s="2"/>
      <c r="B17" s="2"/>
      <c r="C17" s="2"/>
      <c r="D17" s="2"/>
      <c r="E17" s="6">
        <v>11.0</v>
      </c>
      <c r="F17" s="2"/>
      <c r="G17" s="2"/>
    </row>
    <row r="18">
      <c r="A18" s="2"/>
      <c r="B18" s="2"/>
      <c r="C18" s="2"/>
      <c r="D18" s="2"/>
      <c r="E18" s="6">
        <v>12.0</v>
      </c>
      <c r="F18" s="2"/>
      <c r="G18" s="2"/>
    </row>
    <row r="19">
      <c r="A19" s="2"/>
      <c r="B19" s="2"/>
      <c r="C19" s="2"/>
      <c r="D19" s="2"/>
      <c r="E19" s="6">
        <v>13.0</v>
      </c>
      <c r="F19" s="2"/>
      <c r="G19" s="2"/>
    </row>
    <row r="20">
      <c r="A20" s="2"/>
      <c r="B20" s="2"/>
      <c r="C20" s="2"/>
      <c r="D20" s="2"/>
      <c r="E20" s="6">
        <v>14.0</v>
      </c>
      <c r="F20" s="2"/>
      <c r="G20" s="2"/>
    </row>
    <row r="21">
      <c r="A21" s="2"/>
      <c r="B21" s="2"/>
      <c r="C21" s="2"/>
      <c r="D21" s="2"/>
      <c r="E21" s="6">
        <v>15.0</v>
      </c>
      <c r="F21" s="2"/>
      <c r="G21" s="2"/>
    </row>
    <row r="22">
      <c r="A22" s="2"/>
      <c r="B22" s="2"/>
      <c r="C22" s="2"/>
      <c r="D22" s="2"/>
      <c r="E22" s="6">
        <v>16.0</v>
      </c>
      <c r="F22" s="2"/>
      <c r="G22" s="2"/>
    </row>
    <row r="23">
      <c r="A23" s="2"/>
      <c r="B23" s="1"/>
      <c r="C23" s="152"/>
      <c r="D23" s="152"/>
      <c r="E23" s="6"/>
      <c r="F23" s="2"/>
      <c r="G23" s="2"/>
    </row>
    <row r="24">
      <c r="A24" s="2"/>
      <c r="B24" s="1"/>
      <c r="C24" s="152"/>
      <c r="D24" s="152"/>
      <c r="E24" s="6"/>
      <c r="F24" s="2"/>
      <c r="G24" s="2"/>
    </row>
    <row r="25">
      <c r="A25" s="2"/>
      <c r="B25" s="1"/>
      <c r="C25" s="152"/>
      <c r="D25" s="152"/>
      <c r="E25" s="6"/>
      <c r="F25" s="2"/>
      <c r="G25" s="2"/>
    </row>
    <row r="26">
      <c r="A26" s="2"/>
      <c r="B26" s="1"/>
      <c r="C26" s="152"/>
      <c r="D26" s="152"/>
      <c r="E26" s="6"/>
      <c r="F26" s="2"/>
      <c r="G26" s="2"/>
    </row>
    <row r="27">
      <c r="A27" s="2"/>
      <c r="B27" s="1"/>
      <c r="C27" s="152"/>
      <c r="D27" s="152"/>
      <c r="E27" s="6"/>
      <c r="F27" s="2"/>
      <c r="G27" s="2"/>
    </row>
    <row r="28">
      <c r="A28" s="2"/>
      <c r="B28" s="1"/>
      <c r="C28" s="152"/>
      <c r="D28" s="152"/>
      <c r="E28" s="6"/>
      <c r="F28" s="2"/>
      <c r="G28" s="2"/>
    </row>
    <row r="29">
      <c r="A29" s="2"/>
      <c r="B29" s="1"/>
      <c r="C29" s="152"/>
      <c r="D29" s="152"/>
      <c r="E29" s="6"/>
      <c r="F29" s="2"/>
      <c r="G29" s="2"/>
    </row>
    <row r="30">
      <c r="A30" s="2"/>
      <c r="B30" s="1"/>
      <c r="C30" s="152"/>
      <c r="D30" s="152"/>
      <c r="E30" s="6"/>
      <c r="F30" s="2"/>
      <c r="G30" s="2"/>
    </row>
    <row r="31">
      <c r="A31" s="2"/>
      <c r="B31" s="1"/>
      <c r="C31" s="152"/>
      <c r="D31" s="152"/>
      <c r="E31" s="6"/>
      <c r="F31" s="2"/>
      <c r="G31" s="2"/>
    </row>
    <row r="32">
      <c r="A32" s="2"/>
      <c r="B32" s="1"/>
      <c r="C32" s="152"/>
      <c r="D32" s="152"/>
      <c r="E32" s="6"/>
      <c r="F32" s="2"/>
      <c r="G32" s="2"/>
    </row>
    <row r="33">
      <c r="A33" s="2"/>
      <c r="B33" s="1"/>
      <c r="C33" s="152"/>
      <c r="D33" s="152"/>
      <c r="E33" s="6"/>
      <c r="F33" s="2"/>
      <c r="G33" s="2"/>
    </row>
    <row r="34">
      <c r="A34" s="2"/>
      <c r="B34" s="1"/>
      <c r="C34" s="152"/>
      <c r="D34" s="152"/>
      <c r="E34" s="6"/>
      <c r="F34" s="2"/>
      <c r="G34" s="2"/>
    </row>
    <row r="35">
      <c r="A35" s="2"/>
      <c r="B35" s="1"/>
      <c r="C35" s="152"/>
      <c r="D35" s="152"/>
      <c r="E35" s="6"/>
      <c r="F35" s="2"/>
      <c r="G35" s="2"/>
    </row>
    <row r="36">
      <c r="A36" s="2"/>
      <c r="B36" s="1"/>
      <c r="C36" s="152"/>
      <c r="D36" s="152"/>
      <c r="E36" s="6"/>
      <c r="F36" s="2"/>
      <c r="G36" s="2"/>
    </row>
    <row r="37">
      <c r="A37" s="2"/>
      <c r="B37" s="1"/>
      <c r="C37" s="152"/>
      <c r="D37" s="152"/>
      <c r="E37" s="6"/>
      <c r="F37" s="2"/>
      <c r="G37" s="2"/>
    </row>
    <row r="38">
      <c r="A38" s="2"/>
      <c r="B38" s="1"/>
      <c r="C38" s="152"/>
      <c r="D38" s="152"/>
      <c r="E38" s="6"/>
      <c r="F38" s="2"/>
      <c r="G38" s="2"/>
    </row>
    <row r="39">
      <c r="A39" s="2"/>
      <c r="B39" s="1"/>
      <c r="C39" s="152"/>
      <c r="D39" s="152"/>
      <c r="E39" s="6"/>
      <c r="F39" s="2"/>
      <c r="G39" s="2"/>
    </row>
    <row r="40">
      <c r="A40" s="2"/>
      <c r="B40" s="1"/>
      <c r="C40" s="152"/>
      <c r="D40" s="152"/>
      <c r="E40" s="6"/>
      <c r="F40" s="2"/>
      <c r="G40" s="2"/>
    </row>
    <row r="41">
      <c r="A41" s="2"/>
      <c r="B41" s="1"/>
      <c r="C41" s="152"/>
      <c r="D41" s="152"/>
      <c r="E41" s="6"/>
      <c r="F41" s="2"/>
      <c r="G41" s="2"/>
    </row>
    <row r="42">
      <c r="A42" s="2"/>
      <c r="B42" s="1"/>
      <c r="C42" s="152"/>
      <c r="D42" s="152"/>
      <c r="E42" s="6"/>
      <c r="F42" s="2"/>
      <c r="G42" s="2"/>
    </row>
    <row r="43">
      <c r="A43" s="2"/>
      <c r="B43" s="1"/>
      <c r="C43" s="152"/>
      <c r="D43" s="152"/>
      <c r="E43" s="6"/>
      <c r="F43" s="2"/>
      <c r="G43" s="2"/>
    </row>
    <row r="44">
      <c r="A44" s="2"/>
      <c r="B44" s="1"/>
      <c r="C44" s="152"/>
      <c r="D44" s="152"/>
      <c r="E44" s="6"/>
      <c r="F44" s="2"/>
      <c r="G44" s="2"/>
    </row>
    <row r="45">
      <c r="A45" s="2"/>
      <c r="B45" s="1"/>
      <c r="C45" s="152"/>
      <c r="D45" s="152"/>
      <c r="E45" s="6"/>
      <c r="F45" s="2"/>
      <c r="G45" s="2"/>
    </row>
    <row r="46">
      <c r="A46" s="2"/>
      <c r="B46" s="1"/>
      <c r="C46" s="152"/>
      <c r="D46" s="152"/>
      <c r="E46" s="6"/>
      <c r="F46" s="2"/>
      <c r="G46" s="2"/>
    </row>
    <row r="47">
      <c r="A47" s="2"/>
      <c r="B47" s="1"/>
      <c r="C47" s="152"/>
      <c r="D47" s="152"/>
      <c r="E47" s="6"/>
      <c r="F47" s="2"/>
      <c r="G47" s="2"/>
    </row>
    <row r="48">
      <c r="A48" s="2"/>
      <c r="B48" s="1"/>
      <c r="C48" s="152"/>
      <c r="D48" s="152"/>
      <c r="E48" s="6"/>
      <c r="F48" s="2"/>
      <c r="G48" s="2"/>
    </row>
    <row r="49">
      <c r="A49" s="2"/>
      <c r="B49" s="1"/>
      <c r="C49" s="152"/>
      <c r="D49" s="152"/>
      <c r="E49" s="6"/>
      <c r="F49" s="2"/>
      <c r="G49" s="2"/>
    </row>
    <row r="50">
      <c r="A50" s="2"/>
      <c r="B50" s="1"/>
      <c r="C50" s="152"/>
      <c r="D50" s="152"/>
      <c r="E50" s="6"/>
      <c r="F50" s="2"/>
      <c r="G50" s="2"/>
    </row>
    <row r="51">
      <c r="A51" s="2"/>
      <c r="B51" s="1"/>
      <c r="C51" s="152"/>
      <c r="D51" s="152"/>
      <c r="E51" s="6"/>
      <c r="F51" s="2"/>
      <c r="G51" s="2"/>
    </row>
    <row r="52">
      <c r="A52" s="2"/>
      <c r="B52" s="1"/>
      <c r="C52" s="152"/>
      <c r="D52" s="152"/>
      <c r="E52" s="6"/>
      <c r="F52" s="2"/>
      <c r="G52" s="2"/>
    </row>
    <row r="53">
      <c r="A53" s="2"/>
      <c r="B53" s="1"/>
      <c r="C53" s="152"/>
      <c r="D53" s="152"/>
      <c r="E53" s="6"/>
      <c r="F53" s="2"/>
      <c r="G53" s="2"/>
    </row>
    <row r="54">
      <c r="A54" s="2"/>
      <c r="B54" s="1"/>
      <c r="C54" s="152"/>
      <c r="D54" s="152"/>
      <c r="E54" s="6"/>
      <c r="F54" s="2"/>
      <c r="G54" s="2"/>
    </row>
    <row r="55">
      <c r="A55" s="2"/>
      <c r="B55" s="1"/>
      <c r="C55" s="152"/>
      <c r="D55" s="152"/>
      <c r="E55" s="6"/>
      <c r="F55" s="2"/>
      <c r="G55" s="2"/>
    </row>
    <row r="56">
      <c r="A56" s="2"/>
      <c r="B56" s="1"/>
      <c r="C56" s="152"/>
      <c r="D56" s="152"/>
      <c r="E56" s="6"/>
      <c r="F56" s="2"/>
      <c r="G56" s="2"/>
    </row>
    <row r="57">
      <c r="A57" s="2"/>
      <c r="B57" s="1"/>
      <c r="C57" s="152"/>
      <c r="D57" s="152"/>
      <c r="E57" s="6"/>
      <c r="F57" s="2"/>
      <c r="G57" s="2"/>
    </row>
    <row r="58">
      <c r="A58" s="2"/>
      <c r="B58" s="1"/>
      <c r="C58" s="152"/>
      <c r="D58" s="152"/>
      <c r="E58" s="6"/>
      <c r="F58" s="2"/>
      <c r="G58" s="2"/>
    </row>
    <row r="59">
      <c r="A59" s="2"/>
      <c r="B59" s="1"/>
      <c r="C59" s="152"/>
      <c r="D59" s="152"/>
      <c r="E59" s="6"/>
      <c r="F59" s="2"/>
      <c r="G59" s="2"/>
    </row>
    <row r="60">
      <c r="A60" s="2"/>
      <c r="B60" s="1"/>
      <c r="C60" s="152"/>
      <c r="D60" s="152"/>
      <c r="E60" s="6"/>
      <c r="F60" s="2"/>
      <c r="G60" s="2"/>
    </row>
    <row r="61">
      <c r="A61" s="2"/>
      <c r="B61" s="1"/>
      <c r="C61" s="152"/>
      <c r="D61" s="152"/>
      <c r="E61" s="6"/>
      <c r="F61" s="2"/>
      <c r="G61" s="2"/>
    </row>
    <row r="62">
      <c r="A62" s="2"/>
      <c r="B62" s="1"/>
      <c r="C62" s="152"/>
      <c r="D62" s="152"/>
      <c r="E62" s="6"/>
      <c r="F62" s="2"/>
      <c r="G62" s="2"/>
    </row>
    <row r="63">
      <c r="A63" s="2"/>
      <c r="B63" s="1"/>
      <c r="C63" s="152"/>
      <c r="D63" s="152"/>
      <c r="E63" s="6"/>
      <c r="F63" s="2"/>
      <c r="G63" s="2"/>
    </row>
    <row r="64">
      <c r="A64" s="2"/>
      <c r="B64" s="1"/>
      <c r="C64" s="152"/>
      <c r="D64" s="152"/>
      <c r="E64" s="6"/>
      <c r="F64" s="2"/>
      <c r="G64" s="2"/>
    </row>
    <row r="65">
      <c r="A65" s="2"/>
      <c r="B65" s="1"/>
      <c r="C65" s="152"/>
      <c r="D65" s="152"/>
      <c r="E65" s="6"/>
      <c r="F65" s="2"/>
      <c r="G65" s="2"/>
    </row>
    <row r="66">
      <c r="A66" s="2"/>
      <c r="B66" s="1"/>
      <c r="C66" s="152"/>
      <c r="D66" s="152"/>
      <c r="E66" s="6"/>
      <c r="F66" s="2"/>
      <c r="G66" s="2"/>
    </row>
    <row r="67">
      <c r="A67" s="2"/>
      <c r="B67" s="1"/>
      <c r="C67" s="152"/>
      <c r="D67" s="152"/>
      <c r="E67" s="6"/>
      <c r="F67" s="2"/>
      <c r="G67" s="2"/>
    </row>
    <row r="68">
      <c r="A68" s="2"/>
      <c r="B68" s="1"/>
      <c r="C68" s="152"/>
      <c r="D68" s="152"/>
      <c r="E68" s="6"/>
      <c r="F68" s="2"/>
      <c r="G68" s="2"/>
    </row>
    <row r="69">
      <c r="A69" s="2"/>
      <c r="B69" s="1"/>
      <c r="C69" s="152"/>
      <c r="D69" s="152"/>
      <c r="E69" s="6"/>
      <c r="F69" s="2"/>
      <c r="G69" s="2"/>
    </row>
    <row r="70">
      <c r="A70" s="2"/>
      <c r="B70" s="1"/>
      <c r="C70" s="152"/>
      <c r="D70" s="152"/>
      <c r="E70" s="6"/>
      <c r="F70" s="2"/>
      <c r="G70" s="2"/>
    </row>
    <row r="71">
      <c r="A71" s="2"/>
      <c r="B71" s="1"/>
      <c r="C71" s="152"/>
      <c r="D71" s="152"/>
      <c r="E71" s="6"/>
      <c r="F71" s="2"/>
      <c r="G71" s="2"/>
    </row>
    <row r="72">
      <c r="A72" s="2"/>
      <c r="B72" s="1"/>
      <c r="C72" s="152"/>
      <c r="D72" s="152"/>
      <c r="E72" s="6"/>
      <c r="F72" s="2"/>
      <c r="G72" s="2"/>
    </row>
    <row r="73">
      <c r="A73" s="2"/>
      <c r="B73" s="1"/>
      <c r="C73" s="152"/>
      <c r="D73" s="152"/>
      <c r="E73" s="6"/>
      <c r="F73" s="2"/>
      <c r="G73" s="2"/>
    </row>
  </sheetData>
  <mergeCells count="3">
    <mergeCell ref="A1:C2"/>
    <mergeCell ref="E1:G2"/>
    <mergeCell ref="E4:G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32.5"/>
    <col customWidth="1" min="4" max="4" width="25.88"/>
    <col customWidth="1" min="5" max="5" width="15.1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6"/>
      <c r="E3" s="6"/>
      <c r="F3" s="6"/>
      <c r="G3" s="2"/>
      <c r="H3" s="2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6" t="s">
        <v>139</v>
      </c>
      <c r="C4" s="6" t="s">
        <v>140</v>
      </c>
      <c r="D4" s="6"/>
      <c r="E4" s="1" t="s">
        <v>141</v>
      </c>
      <c r="F4" s="1" t="s">
        <v>142</v>
      </c>
      <c r="G4" s="1" t="s">
        <v>143</v>
      </c>
      <c r="H4" s="1" t="s">
        <v>51</v>
      </c>
      <c r="I4" s="6" t="s">
        <v>55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6" t="s">
        <v>144</v>
      </c>
      <c r="C5" s="2"/>
      <c r="D5" s="2"/>
      <c r="E5" s="1" t="str">
        <f>SA_JOURNAL!F9</f>
        <v>#REF!</v>
      </c>
      <c r="F5" s="1" t="str">
        <f>SA_JOURNAL!I9</f>
        <v>#REF!</v>
      </c>
      <c r="G5" s="1" t="str">
        <f>SA_JOURNAL!G9</f>
        <v>#REF!</v>
      </c>
      <c r="H5" s="152" t="str">
        <f>(F5-E5)*G5</f>
        <v>#REF!</v>
      </c>
      <c r="I5" s="2" t="str">
        <f>H5-E16</f>
        <v>#REF!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6"/>
      <c r="C6" s="2"/>
      <c r="D6" s="1" t="s">
        <v>145</v>
      </c>
      <c r="E6" s="2" t="str">
        <f>E5*G5</f>
        <v>#REF!</v>
      </c>
      <c r="F6" s="2" t="str">
        <f>F5*G5</f>
        <v>#REF!</v>
      </c>
      <c r="G6" s="2" t="str">
        <f>E6+F6</f>
        <v>#REF!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6" t="s">
        <v>146</v>
      </c>
      <c r="C8" s="2"/>
      <c r="D8" s="2"/>
      <c r="E8" s="2" t="str">
        <f>E6*0.001</f>
        <v>#REF!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/>
      <c r="C9" s="6" t="s">
        <v>147</v>
      </c>
      <c r="D9" s="156">
        <v>0.001</v>
      </c>
      <c r="E9" s="2" t="str">
        <f>E6*D9</f>
        <v>#REF!</v>
      </c>
      <c r="F9" s="2" t="str">
        <f>F6*D9</f>
        <v>#REF!</v>
      </c>
      <c r="G9" s="7" t="str">
        <f>E9+F9</f>
        <v>#REF!</v>
      </c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6" t="s">
        <v>148</v>
      </c>
      <c r="D10" s="157">
        <v>3.0E-5</v>
      </c>
      <c r="E10" s="158" t="str">
        <f>D10*G6</f>
        <v>#REF!</v>
      </c>
      <c r="H10" s="6">
        <v>0.6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6" t="s">
        <v>149</v>
      </c>
      <c r="D11" s="159">
        <v>1.0E-6</v>
      </c>
      <c r="E11" s="160" t="str">
        <f>G6*D11</f>
        <v>#REF!</v>
      </c>
      <c r="H11" s="161">
        <v>0.02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162"/>
      <c r="D12" s="163" t="s">
        <v>150</v>
      </c>
      <c r="E12" s="164" t="str">
        <f>E10+E11</f>
        <v>#REF!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62" t="s">
        <v>151</v>
      </c>
      <c r="D13" s="165">
        <v>0.18</v>
      </c>
      <c r="E13" s="2" t="str">
        <f>E12*D13</f>
        <v>#REF!</v>
      </c>
      <c r="H13" s="2"/>
      <c r="I13" s="2"/>
      <c r="J13" s="2"/>
      <c r="K13" s="6" t="s">
        <v>152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6" t="s">
        <v>153</v>
      </c>
      <c r="D14" s="166">
        <v>1.5E-4</v>
      </c>
      <c r="E14" s="167" t="str">
        <f>D14*E6</f>
        <v>#REF!</v>
      </c>
      <c r="H14" s="6">
        <v>1.5</v>
      </c>
      <c r="I14" s="2"/>
      <c r="J14" s="2"/>
      <c r="K14" s="2">
        <f>0.001/100</f>
        <v>0.00001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 t="str">
        <f>G9+E10+E11+E13+E14</f>
        <v>#REF!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6">
    <mergeCell ref="E10:G10"/>
    <mergeCell ref="E11:G11"/>
    <mergeCell ref="E12:G12"/>
    <mergeCell ref="E13:G13"/>
    <mergeCell ref="E14:G14"/>
    <mergeCell ref="E16:G16"/>
  </mergeCells>
  <drawing r:id="rId1"/>
</worksheet>
</file>